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rojeto Auto Sharp\Sharp Color Tool\OS Modelo\"/>
    </mc:Choice>
  </mc:AlternateContent>
  <bookViews>
    <workbookView xWindow="0" yWindow="0" windowWidth="21570" windowHeight="8145" tabRatio="786"/>
  </bookViews>
  <sheets>
    <sheet name="Ordem de Serviço" sheetId="1" r:id="rId1"/>
    <sheet name="Dados" sheetId="3" state="hidden" r:id="rId2"/>
    <sheet name="PIgmentos Desconsiderados Carga" sheetId="21" state="hidden" r:id="rId3"/>
    <sheet name="Etiqueta" sheetId="11" state="hidden" r:id="rId4"/>
    <sheet name="Tempo" sheetId="14" r:id="rId5"/>
    <sheet name="Observações" sheetId="15" state="hidden" r:id="rId6"/>
    <sheet name="Logs" sheetId="16" state="hidden" r:id="rId7"/>
    <sheet name="Teste" sheetId="17" r:id="rId8"/>
    <sheet name="Clientes" sheetId="22" state="hidden" r:id="rId9"/>
    <sheet name="Config" sheetId="23" r:id="rId10"/>
  </sheets>
  <functionGroups builtInGroupCount="18"/>
  <externalReferences>
    <externalReference r:id="rId11"/>
  </externalReferences>
  <definedNames>
    <definedName name="CLIENTES" localSheetId="2">[1]Cliente!$A:$A</definedName>
    <definedName name="CLIENTES">Clientes!$A:$A</definedName>
    <definedName name="Coloristas" localSheetId="2">#REF!</definedName>
    <definedName name="Emb_Emb1">IF('Ordem de Serviço'!$C$8="","",IF(Dados!$J$3="Plástico",IF(AND('Ordem de Serviço'!$C$14&gt;0,'Ordem de Serviço'!$C$14&lt;=700),"Pote 700",IF(AND('Ordem de Serviço'!$C$14&gt;700,'Ordem de Serviço'!$C$14&lt;=2200),"Pote 2200",IF(AND('Ordem de Serviço'!$C$14&gt;2200,'Ordem de Serviço'!$C$14&lt;=3600),"Pote 3600",IF(AND('Ordem de Serviço'!$C$14&gt;3600,'Ordem de Serviço'!$C$14&lt;=4400),"Pote 2200",IF(AND('Ordem de Serviço'!$C$14&gt;4400,'Ordem de Serviço'!$C$14&lt;=7200),"Pote 3600",IF(AND('Ordem de Serviço'!$C$14&gt;7200,'Ordem de Serviço'!$C$14&lt;=9400),"Pote 3600",IF(AND('Ordem de Serviço'!$C$14&gt;9400,'Ordem de Serviço'!$C$14&lt;=10800),"Pote 3600",""))))))),IF(Dados!$J$3="Metal",IF(AND('Ordem de Serviço'!$C$14&gt;0,'Ordem de Serviço'!$C$14&lt;=1000),"Lata 01LT",IF(AND('Ordem de Serviço'!$C$14&gt;1000,'Ordem de Serviço'!$C$14&lt;=3600),"Lata 3,6LT",IF(AND('Ordem de Serviço'!$C$14&gt;3600,'Ordem de Serviço'!$C$14&lt;=4600),"Lata 3,6LT",IF(AND('Ordem de Serviço'!$C$14&gt;4600,'Ordem de Serviço'!$C$14&lt;=7200),"Lata 3,6LT",IF(AND('Ordem de Serviço'!$C$14&gt;7200,'Ordem de Serviço'!$C$14&lt;=8200),"Lata 3,6LT",IF(AND('Ordem de Serviço'!$C$14&gt;8200,'Ordem de Serviço'!$C$14&lt;=10800),"Lata 3,6LT","")))))))))</definedName>
    <definedName name="Emb_Emb2">IF('Ordem de Serviço'!$C$8="","",IF(Dados!$J$3="Plástico",IF(AND('Ordem de Serviço'!$C$14&gt;0,'Ordem de Serviço'!$C$14&lt;=700),"",IF(AND('Ordem de Serviço'!$C$14&gt;700,'Ordem de Serviço'!$C$14&lt;=2200),"",IF(AND('Ordem de Serviço'!$C$14&gt;2200,'Ordem de Serviço'!$C$14&lt;=3600),"",IF(AND('Ordem de Serviço'!$C$14&gt;3600,'Ordem de Serviço'!$C$14&lt;=4400),"",IF(AND('Ordem de Serviço'!$C$14&gt;4400,'Ordem de Serviço'!$C$14&lt;=7200),"",IF(AND('Ordem de Serviço'!$C$14&gt;7200,'Ordem de Serviço'!$C$14&lt;=9400),"Pote 2200",IF(AND('Ordem de Serviço'!$C$14&gt;9400,'Ordem de Serviço'!$C$14&lt;=10800),"",""))))))),IF(Dados!$J$3="Metal",IF(AND('Ordem de Serviço'!$C$14&gt;0,'Ordem de Serviço'!$C$14&lt;=1000),"",IF(AND('Ordem de Serviço'!$C$14&gt;1000,'Ordem de Serviço'!$C$14&lt;=3600),"",IF(AND('Ordem de Serviço'!$C$14&gt;3600,'Ordem de Serviço'!$C$14&lt;=4600),"Lata 01LT",IF(AND('Ordem de Serviço'!$C$14&gt;4600,'Ordem de Serviço'!$C$14&lt;=7200),"",IF(AND('Ordem de Serviço'!$C$14&gt;7200,'Ordem de Serviço'!$C$14&lt;=8200),"Lata 01LT",IF(AND('Ordem de Serviço'!$C$14&gt;8200,'Ordem de Serviço'!$C$14&lt;=10800),"","")))))))))</definedName>
    <definedName name="Emb_Qnt1">IF('Ordem de Serviço'!$C$8="","",IF(Dados!$J$3="Plástico",IF(AND('Ordem de Serviço'!$C$14&gt;0,'Ordem de Serviço'!$C$14&lt;=700),"1",IF(AND('Ordem de Serviço'!$C$14&gt;700,'Ordem de Serviço'!$C$14&lt;=2200),"1",IF(AND('Ordem de Serviço'!$C$14&gt;2200,'Ordem de Serviço'!$C$14&lt;=3600),"1",IF(AND('Ordem de Serviço'!$C$14&gt;3600,'Ordem de Serviço'!$C$14&lt;=4400),"2",IF(AND('Ordem de Serviço'!$C$14&gt;4400,'Ordem de Serviço'!$C$14&lt;=7200),"2",IF(AND('Ordem de Serviço'!$C$14&gt;7200,'Ordem de Serviço'!$C$14&lt;=9400),"2",IF(AND('Ordem de Serviço'!$C$14&gt;9400,'Ordem de Serviço'!$C$14&lt;=10800),"3",""))))))),IF(Dados!$J$3="Metal",IF(AND('Ordem de Serviço'!$C$14&gt;0,'Ordem de Serviço'!$C$14&lt;=1000),"1",IF(AND('Ordem de Serviço'!$C$14&gt;1000,'Ordem de Serviço'!$C$14&lt;=3600),"1",IF(AND('Ordem de Serviço'!$C$14&gt;3600,'Ordem de Serviço'!$C$14&lt;=4600),"1",IF(AND('Ordem de Serviço'!$C$14&gt;4600,'Ordem de Serviço'!$C$14&lt;=7200),"2",IF(AND('Ordem de Serviço'!$C$14&gt;7200,'Ordem de Serviço'!$C$14&lt;=8200),"2",IF(AND('Ordem de Serviço'!$C$14&gt;8200,'Ordem de Serviço'!$C$14&lt;=10800),"3","")))))))))</definedName>
    <definedName name="Emb_Qnt2">IF('Ordem de Serviço'!$C$8="","",IF(Dados!$J$3="Plástico",IF(AND('Ordem de Serviço'!$C$14&gt;0,'Ordem de Serviço'!$C$14&lt;=700),"",IF(AND('Ordem de Serviço'!$C$14&gt;700,'Ordem de Serviço'!$C$14&lt;=2200),"",IF(AND('Ordem de Serviço'!$C$14&gt;2200,'Ordem de Serviço'!$C$14&lt;=3600),"",IF(AND('Ordem de Serviço'!$C$14&gt;3600,'Ordem de Serviço'!$C$14&lt;=4400),"",IF(AND('Ordem de Serviço'!$C$14&gt;4400,'Ordem de Serviço'!$C$14&lt;=7200),"",IF(AND('Ordem de Serviço'!$C$14&gt;7200,'Ordem de Serviço'!$C$14&lt;=9400),"1",IF(AND('Ordem de Serviço'!$C$14&gt;9400,'Ordem de Serviço'!$C$14&lt;=10800),"",""))))))),IF(Dados!$J$3="Metal",IF(AND('Ordem de Serviço'!$C$14&gt;0,'Ordem de Serviço'!$C$14&lt;=1000),"",IF(AND('Ordem de Serviço'!$C$14&gt;1000,'Ordem de Serviço'!$C$14&lt;=3600),"",IF(AND('Ordem de Serviço'!$C$14&gt;3600,'Ordem de Serviço'!$C$14&lt;=4600),"1",IF(AND('Ordem de Serviço'!$C$14&gt;4600,'Ordem de Serviço'!$C$14&lt;=7200),"",IF(AND('Ordem de Serviço'!$C$14&gt;7200,'Ordem de Serviço'!$C$14&lt;=8200),"1",IF(AND('Ordem de Serviço'!$C$14&gt;8200,'Ordem de Serviço'!$C$14&lt;=10800),"","")))))))))</definedName>
    <definedName name="Embalagens" localSheetId="2">[1]Valores!$A$380:$A$385</definedName>
    <definedName name="Pigmentos" localSheetId="2">[1]Valores!$A$2:$I$400</definedName>
    <definedName name="Pigmentos">[1]Valores!$A$2:$J$400</definedName>
    <definedName name="Pigmentos_Desconsiderados">'PIgmentos Desconsiderados Carga'!$B:$F</definedName>
    <definedName name="SP" localSheetId="2">Dados!$A$41:$A$61</definedName>
    <definedName name="SP">Dados!$A$41:$A$61</definedName>
    <definedName name="TipoDeCor" localSheetId="2">Dados!$A$68:$A$84</definedName>
    <definedName name="TipoDeCor">Dados!$A$68:$A$84</definedName>
  </definedNames>
  <calcPr calcId="152511"/>
  <customWorkbookViews>
    <customWorkbookView name="1" guid="{D55CE6E8-65B5-4F63-A4E5-57C33F897D62}" includeHiddenRowCol="0" maximized="1" xWindow="-8" yWindow="-8" windowWidth="1616" windowHeight="876" activeSheetId="1"/>
  </customWorkbookViews>
</workbook>
</file>

<file path=xl/calcChain.xml><?xml version="1.0" encoding="utf-8"?>
<calcChain xmlns="http://schemas.openxmlformats.org/spreadsheetml/2006/main">
  <c r="D362" i="17" l="1"/>
  <c r="C3" i="14"/>
  <c r="A18" i="23"/>
  <c r="B18" i="23"/>
  <c r="A19" i="23"/>
  <c r="B19" i="23"/>
  <c r="A20" i="23"/>
  <c r="B20" i="23"/>
  <c r="A21" i="23"/>
  <c r="B21" i="23"/>
  <c r="A22" i="23"/>
  <c r="B22" i="23"/>
  <c r="A23" i="23"/>
  <c r="B23" i="23"/>
  <c r="A24" i="23"/>
  <c r="B24" i="23"/>
  <c r="A17" i="23" l="1"/>
  <c r="B17" i="23"/>
  <c r="A12" i="23" l="1"/>
  <c r="B12" i="23"/>
  <c r="A13" i="23"/>
  <c r="B13" i="23"/>
  <c r="A14" i="23"/>
  <c r="B14" i="23"/>
  <c r="A15" i="23"/>
  <c r="B15" i="23"/>
  <c r="A16" i="23"/>
  <c r="B16" i="23"/>
  <c r="H8" i="1" l="1"/>
  <c r="H7" i="1"/>
  <c r="H6" i="1"/>
  <c r="F6" i="3"/>
  <c r="A11" i="23"/>
  <c r="B11" i="23"/>
  <c r="A10" i="23"/>
  <c r="B10" i="23"/>
  <c r="G14" i="1" s="1"/>
  <c r="F12" i="3" l="1"/>
  <c r="I7" i="1" s="1"/>
  <c r="F9" i="3"/>
  <c r="I6" i="1" s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B2" i="23"/>
  <c r="B3" i="23"/>
  <c r="B4" i="23"/>
  <c r="B5" i="23"/>
  <c r="H14" i="1" s="1"/>
  <c r="B6" i="23"/>
  <c r="B7" i="23"/>
  <c r="A18" i="1" s="1"/>
  <c r="B8" i="23"/>
  <c r="B9" i="23"/>
  <c r="B1" i="23"/>
  <c r="A2" i="23"/>
  <c r="A3" i="23"/>
  <c r="A4" i="23"/>
  <c r="A5" i="23"/>
  <c r="A6" i="23"/>
  <c r="A7" i="23"/>
  <c r="A8" i="23"/>
  <c r="A9" i="23"/>
  <c r="A1" i="23"/>
  <c r="I5" i="1" l="1"/>
  <c r="H5" i="1"/>
  <c r="F15" i="3"/>
  <c r="H9" i="1"/>
  <c r="I10" i="1"/>
  <c r="J2" i="1"/>
  <c r="J3" i="1"/>
  <c r="J4" i="1"/>
  <c r="I3" i="1"/>
  <c r="A29" i="3"/>
  <c r="F18" i="3" l="1"/>
  <c r="I8" i="1"/>
  <c r="J3" i="3"/>
  <c r="K16" i="1" s="1"/>
  <c r="K3" i="3"/>
  <c r="G19" i="3" l="1"/>
  <c r="A8" i="3"/>
  <c r="D17" i="1" l="1"/>
  <c r="D16" i="1"/>
  <c r="C17" i="1"/>
  <c r="C16" i="1"/>
  <c r="A91" i="3"/>
  <c r="A92" i="3"/>
  <c r="A88" i="3"/>
  <c r="A89" i="3"/>
  <c r="A90" i="3"/>
  <c r="A87" i="3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" i="22"/>
  <c r="A3" i="22"/>
  <c r="A4" i="22"/>
  <c r="A5" i="22"/>
  <c r="A6" i="22"/>
  <c r="A7" i="22"/>
  <c r="A8" i="22"/>
  <c r="A9" i="22"/>
  <c r="A1" i="22"/>
  <c r="I3" i="3" l="1"/>
  <c r="A78" i="21"/>
  <c r="B78" i="21" s="1"/>
  <c r="A79" i="21"/>
  <c r="B79" i="21" s="1"/>
  <c r="A80" i="21"/>
  <c r="B80" i="21" s="1"/>
  <c r="A81" i="21"/>
  <c r="B81" i="21" s="1"/>
  <c r="A82" i="21"/>
  <c r="E82" i="21" s="1"/>
  <c r="A83" i="21"/>
  <c r="C83" i="21" s="1"/>
  <c r="A84" i="21"/>
  <c r="E84" i="21" s="1"/>
  <c r="A85" i="21"/>
  <c r="C85" i="21" s="1"/>
  <c r="A86" i="21"/>
  <c r="E86" i="21" s="1"/>
  <c r="A87" i="21"/>
  <c r="C87" i="21" s="1"/>
  <c r="A88" i="21"/>
  <c r="E88" i="21" s="1"/>
  <c r="A89" i="21"/>
  <c r="C89" i="21" s="1"/>
  <c r="A90" i="21"/>
  <c r="E90" i="21" s="1"/>
  <c r="A91" i="21"/>
  <c r="C91" i="21" s="1"/>
  <c r="A92" i="21"/>
  <c r="E92" i="21" s="1"/>
  <c r="A93" i="21"/>
  <c r="C93" i="21" s="1"/>
  <c r="A94" i="21"/>
  <c r="E94" i="21" s="1"/>
  <c r="A95" i="21"/>
  <c r="C95" i="21" s="1"/>
  <c r="A96" i="21"/>
  <c r="E96" i="21" s="1"/>
  <c r="A97" i="21"/>
  <c r="C97" i="21" s="1"/>
  <c r="A98" i="21"/>
  <c r="E98" i="21" s="1"/>
  <c r="A99" i="21"/>
  <c r="C99" i="21" s="1"/>
  <c r="A100" i="21"/>
  <c r="E100" i="21" s="1"/>
  <c r="A101" i="21"/>
  <c r="C101" i="21" s="1"/>
  <c r="A102" i="21"/>
  <c r="E102" i="21" s="1"/>
  <c r="A103" i="21"/>
  <c r="C103" i="21" s="1"/>
  <c r="A104" i="21"/>
  <c r="E104" i="21" s="1"/>
  <c r="A105" i="21"/>
  <c r="C105" i="21" s="1"/>
  <c r="A106" i="21"/>
  <c r="E106" i="21" s="1"/>
  <c r="A107" i="21"/>
  <c r="C107" i="21" s="1"/>
  <c r="A108" i="21"/>
  <c r="E108" i="21" s="1"/>
  <c r="A109" i="21"/>
  <c r="C109" i="21" s="1"/>
  <c r="A110" i="21"/>
  <c r="E110" i="21" s="1"/>
  <c r="A111" i="21"/>
  <c r="C111" i="21" s="1"/>
  <c r="A112" i="21"/>
  <c r="E112" i="21" s="1"/>
  <c r="A113" i="21"/>
  <c r="C113" i="21" s="1"/>
  <c r="A114" i="21"/>
  <c r="E114" i="21" s="1"/>
  <c r="A115" i="21"/>
  <c r="C115" i="21" s="1"/>
  <c r="A116" i="21"/>
  <c r="E116" i="21" s="1"/>
  <c r="A117" i="21"/>
  <c r="C117" i="21" s="1"/>
  <c r="A118" i="21"/>
  <c r="E118" i="21" s="1"/>
  <c r="A119" i="21"/>
  <c r="C119" i="21" s="1"/>
  <c r="A120" i="21"/>
  <c r="E120" i="21" s="1"/>
  <c r="A121" i="21"/>
  <c r="C121" i="21" s="1"/>
  <c r="A122" i="21"/>
  <c r="E122" i="21" s="1"/>
  <c r="A123" i="21"/>
  <c r="C123" i="21" s="1"/>
  <c r="A124" i="21"/>
  <c r="E124" i="21" s="1"/>
  <c r="A125" i="21"/>
  <c r="C125" i="21" s="1"/>
  <c r="A126" i="21"/>
  <c r="E126" i="21" s="1"/>
  <c r="A127" i="21"/>
  <c r="C127" i="21" s="1"/>
  <c r="A128" i="21"/>
  <c r="E128" i="21" s="1"/>
  <c r="A129" i="21"/>
  <c r="C129" i="21" s="1"/>
  <c r="A130" i="21"/>
  <c r="E130" i="21" s="1"/>
  <c r="A131" i="21"/>
  <c r="C131" i="21" s="1"/>
  <c r="A132" i="21"/>
  <c r="E132" i="21" s="1"/>
  <c r="A133" i="21"/>
  <c r="C133" i="21" s="1"/>
  <c r="A134" i="21"/>
  <c r="E134" i="21" s="1"/>
  <c r="A135" i="21"/>
  <c r="C135" i="21" s="1"/>
  <c r="A136" i="21"/>
  <c r="E136" i="21" s="1"/>
  <c r="A137" i="21"/>
  <c r="C137" i="21" s="1"/>
  <c r="A138" i="21"/>
  <c r="E138" i="21" s="1"/>
  <c r="A139" i="21"/>
  <c r="C139" i="21" s="1"/>
  <c r="A140" i="21"/>
  <c r="E140" i="21" s="1"/>
  <c r="A141" i="21"/>
  <c r="C141" i="21" s="1"/>
  <c r="A142" i="21"/>
  <c r="E142" i="21" s="1"/>
  <c r="A143" i="21"/>
  <c r="C143" i="21" s="1"/>
  <c r="A144" i="21"/>
  <c r="E144" i="21" s="1"/>
  <c r="A145" i="21"/>
  <c r="C145" i="21" s="1"/>
  <c r="A146" i="21"/>
  <c r="E146" i="21" s="1"/>
  <c r="A147" i="21"/>
  <c r="C147" i="21" s="1"/>
  <c r="A148" i="21"/>
  <c r="E148" i="21" s="1"/>
  <c r="A149" i="21"/>
  <c r="C149" i="21" s="1"/>
  <c r="A150" i="21"/>
  <c r="E150" i="21" s="1"/>
  <c r="A151" i="21"/>
  <c r="C151" i="21" s="1"/>
  <c r="A152" i="21"/>
  <c r="E152" i="21" s="1"/>
  <c r="A153" i="21"/>
  <c r="C153" i="21" s="1"/>
  <c r="A154" i="21"/>
  <c r="E154" i="21" s="1"/>
  <c r="A155" i="21"/>
  <c r="C155" i="21" s="1"/>
  <c r="A156" i="21"/>
  <c r="E156" i="21" s="1"/>
  <c r="A157" i="21"/>
  <c r="C157" i="21" s="1"/>
  <c r="A158" i="21"/>
  <c r="E158" i="21" s="1"/>
  <c r="A159" i="21"/>
  <c r="C159" i="21" s="1"/>
  <c r="A160" i="21"/>
  <c r="E160" i="21" s="1"/>
  <c r="A161" i="21"/>
  <c r="C161" i="21" s="1"/>
  <c r="A162" i="21"/>
  <c r="E162" i="21" s="1"/>
  <c r="A163" i="21"/>
  <c r="B163" i="21" s="1"/>
  <c r="A164" i="21"/>
  <c r="B164" i="21" s="1"/>
  <c r="A165" i="21"/>
  <c r="B165" i="21" s="1"/>
  <c r="A166" i="21"/>
  <c r="B166" i="21" s="1"/>
  <c r="A167" i="21"/>
  <c r="B167" i="21" s="1"/>
  <c r="A168" i="21"/>
  <c r="B168" i="21" s="1"/>
  <c r="A169" i="21"/>
  <c r="B169" i="21" s="1"/>
  <c r="A170" i="21"/>
  <c r="B170" i="21" s="1"/>
  <c r="A171" i="21"/>
  <c r="B171" i="21" s="1"/>
  <c r="A172" i="21"/>
  <c r="B172" i="21" s="1"/>
  <c r="A173" i="21"/>
  <c r="B173" i="21" s="1"/>
  <c r="A174" i="21"/>
  <c r="B174" i="21" s="1"/>
  <c r="A175" i="21"/>
  <c r="B175" i="21" s="1"/>
  <c r="A176" i="21"/>
  <c r="B176" i="21" s="1"/>
  <c r="A177" i="21"/>
  <c r="B177" i="21" s="1"/>
  <c r="A178" i="21"/>
  <c r="B178" i="21" s="1"/>
  <c r="A179" i="21"/>
  <c r="B179" i="21" s="1"/>
  <c r="A180" i="21"/>
  <c r="B180" i="21" s="1"/>
  <c r="A181" i="21"/>
  <c r="B181" i="21" s="1"/>
  <c r="A182" i="21"/>
  <c r="B182" i="21" s="1"/>
  <c r="A183" i="21"/>
  <c r="B183" i="21" s="1"/>
  <c r="A184" i="21"/>
  <c r="B184" i="21" s="1"/>
  <c r="A185" i="21"/>
  <c r="B185" i="21" s="1"/>
  <c r="A186" i="21"/>
  <c r="B186" i="21" s="1"/>
  <c r="A187" i="21"/>
  <c r="B187" i="21" s="1"/>
  <c r="A188" i="21"/>
  <c r="B188" i="21" s="1"/>
  <c r="A189" i="21"/>
  <c r="B189" i="21" s="1"/>
  <c r="A190" i="21"/>
  <c r="B190" i="21" s="1"/>
  <c r="A191" i="21"/>
  <c r="B191" i="21" s="1"/>
  <c r="A192" i="21"/>
  <c r="B192" i="21" s="1"/>
  <c r="A193" i="21"/>
  <c r="B193" i="21" s="1"/>
  <c r="A194" i="21"/>
  <c r="B194" i="21" s="1"/>
  <c r="A195" i="21"/>
  <c r="B195" i="21" s="1"/>
  <c r="A196" i="21"/>
  <c r="B196" i="21" s="1"/>
  <c r="A197" i="21"/>
  <c r="B197" i="21" s="1"/>
  <c r="A198" i="21"/>
  <c r="B198" i="21" s="1"/>
  <c r="A199" i="21"/>
  <c r="B199" i="21" s="1"/>
  <c r="A200" i="21"/>
  <c r="B200" i="21" s="1"/>
  <c r="A201" i="21"/>
  <c r="B201" i="21" s="1"/>
  <c r="A202" i="21"/>
  <c r="B202" i="21" s="1"/>
  <c r="A203" i="21"/>
  <c r="B203" i="21" s="1"/>
  <c r="A204" i="21"/>
  <c r="B204" i="21" s="1"/>
  <c r="A205" i="21"/>
  <c r="B205" i="21" s="1"/>
  <c r="A206" i="21"/>
  <c r="B206" i="21" s="1"/>
  <c r="A40" i="21"/>
  <c r="B40" i="21" s="1"/>
  <c r="A41" i="21"/>
  <c r="B41" i="21" s="1"/>
  <c r="A42" i="21"/>
  <c r="B42" i="21" s="1"/>
  <c r="A43" i="21"/>
  <c r="B43" i="21" s="1"/>
  <c r="A44" i="21"/>
  <c r="B44" i="21" s="1"/>
  <c r="A45" i="21"/>
  <c r="B45" i="21" s="1"/>
  <c r="A46" i="21"/>
  <c r="B46" i="21" s="1"/>
  <c r="A47" i="21"/>
  <c r="B47" i="21" s="1"/>
  <c r="A48" i="21"/>
  <c r="B48" i="21" s="1"/>
  <c r="A49" i="21"/>
  <c r="B49" i="21" s="1"/>
  <c r="A50" i="21"/>
  <c r="B50" i="21" s="1"/>
  <c r="A51" i="21"/>
  <c r="B51" i="21" s="1"/>
  <c r="A52" i="21"/>
  <c r="B52" i="21" s="1"/>
  <c r="A53" i="21"/>
  <c r="B53" i="21" s="1"/>
  <c r="A54" i="21"/>
  <c r="B54" i="21" s="1"/>
  <c r="A55" i="21"/>
  <c r="B55" i="21" s="1"/>
  <c r="A56" i="21"/>
  <c r="B56" i="21" s="1"/>
  <c r="A57" i="21"/>
  <c r="B57" i="21" s="1"/>
  <c r="A58" i="21"/>
  <c r="B58" i="21" s="1"/>
  <c r="A59" i="21"/>
  <c r="B59" i="21" s="1"/>
  <c r="A60" i="21"/>
  <c r="B60" i="21" s="1"/>
  <c r="A61" i="21"/>
  <c r="B61" i="21" s="1"/>
  <c r="A62" i="21"/>
  <c r="B62" i="21" s="1"/>
  <c r="A63" i="21"/>
  <c r="B63" i="21" s="1"/>
  <c r="A64" i="21"/>
  <c r="B64" i="21" s="1"/>
  <c r="A65" i="21"/>
  <c r="B65" i="21" s="1"/>
  <c r="A66" i="21"/>
  <c r="B66" i="21" s="1"/>
  <c r="A67" i="21"/>
  <c r="B67" i="21" s="1"/>
  <c r="A68" i="21"/>
  <c r="B68" i="21" s="1"/>
  <c r="A69" i="21"/>
  <c r="B69" i="21" s="1"/>
  <c r="A70" i="21"/>
  <c r="B70" i="21" s="1"/>
  <c r="A71" i="21"/>
  <c r="B71" i="21" s="1"/>
  <c r="A72" i="21"/>
  <c r="B72" i="21" s="1"/>
  <c r="A73" i="21"/>
  <c r="B73" i="21" s="1"/>
  <c r="A74" i="21"/>
  <c r="B74" i="21" s="1"/>
  <c r="A75" i="21"/>
  <c r="B75" i="21" s="1"/>
  <c r="A76" i="21"/>
  <c r="B76" i="21" s="1"/>
  <c r="A77" i="21"/>
  <c r="B77" i="21" s="1"/>
  <c r="A3" i="21"/>
  <c r="C3" i="21" s="1"/>
  <c r="A4" i="21"/>
  <c r="C4" i="21" s="1"/>
  <c r="A5" i="21"/>
  <c r="C5" i="21" s="1"/>
  <c r="A6" i="21"/>
  <c r="C6" i="21" s="1"/>
  <c r="A7" i="21"/>
  <c r="C7" i="21" s="1"/>
  <c r="A8" i="21"/>
  <c r="C8" i="21" s="1"/>
  <c r="A9" i="21"/>
  <c r="C9" i="21" s="1"/>
  <c r="A10" i="21"/>
  <c r="C10" i="21" s="1"/>
  <c r="A11" i="21"/>
  <c r="C11" i="21" s="1"/>
  <c r="A12" i="21"/>
  <c r="C12" i="21" s="1"/>
  <c r="A13" i="21"/>
  <c r="C13" i="21" s="1"/>
  <c r="A14" i="21"/>
  <c r="C14" i="21" s="1"/>
  <c r="A15" i="21"/>
  <c r="C15" i="21" s="1"/>
  <c r="A16" i="21"/>
  <c r="C16" i="21" s="1"/>
  <c r="A17" i="21"/>
  <c r="C17" i="21" s="1"/>
  <c r="A18" i="21"/>
  <c r="C18" i="21" s="1"/>
  <c r="A19" i="21"/>
  <c r="C19" i="21" s="1"/>
  <c r="A20" i="21"/>
  <c r="C20" i="21" s="1"/>
  <c r="A21" i="21"/>
  <c r="C21" i="21" s="1"/>
  <c r="A22" i="21"/>
  <c r="C22" i="21" s="1"/>
  <c r="A23" i="21"/>
  <c r="C23" i="21" s="1"/>
  <c r="A24" i="21"/>
  <c r="C24" i="21" s="1"/>
  <c r="A25" i="21"/>
  <c r="C25" i="21" s="1"/>
  <c r="A26" i="21"/>
  <c r="C26" i="21" s="1"/>
  <c r="A27" i="21"/>
  <c r="C27" i="21" s="1"/>
  <c r="A28" i="21"/>
  <c r="C28" i="21" s="1"/>
  <c r="A29" i="21"/>
  <c r="C29" i="21" s="1"/>
  <c r="A30" i="21"/>
  <c r="C30" i="21" s="1"/>
  <c r="A31" i="21"/>
  <c r="C31" i="21" s="1"/>
  <c r="A32" i="21"/>
  <c r="C32" i="21" s="1"/>
  <c r="A33" i="21"/>
  <c r="C33" i="21" s="1"/>
  <c r="A34" i="21"/>
  <c r="C34" i="21" s="1"/>
  <c r="A35" i="21"/>
  <c r="C35" i="21" s="1"/>
  <c r="A36" i="21"/>
  <c r="C36" i="21" s="1"/>
  <c r="A37" i="21"/>
  <c r="C37" i="21" s="1"/>
  <c r="A38" i="21"/>
  <c r="C38" i="21" s="1"/>
  <c r="A39" i="21"/>
  <c r="C39" i="21" s="1"/>
  <c r="A2" i="21"/>
  <c r="C2" i="21" s="1"/>
  <c r="B11" i="21"/>
  <c r="D27" i="21" l="1"/>
  <c r="D15" i="21"/>
  <c r="D19" i="21"/>
  <c r="D13" i="21"/>
  <c r="D35" i="21"/>
  <c r="D39" i="21"/>
  <c r="D31" i="21"/>
  <c r="D23" i="21"/>
  <c r="D17" i="21"/>
  <c r="D37" i="21"/>
  <c r="D33" i="21"/>
  <c r="D29" i="21"/>
  <c r="D25" i="21"/>
  <c r="D21" i="21"/>
  <c r="D6" i="21"/>
  <c r="E81" i="21"/>
  <c r="D38" i="21"/>
  <c r="D36" i="21"/>
  <c r="D34" i="21"/>
  <c r="D32" i="21"/>
  <c r="D30" i="21"/>
  <c r="D28" i="21"/>
  <c r="D26" i="21"/>
  <c r="B24" i="21"/>
  <c r="F22" i="21"/>
  <c r="B20" i="21"/>
  <c r="F18" i="21"/>
  <c r="B16" i="21"/>
  <c r="F14" i="21"/>
  <c r="B12" i="21"/>
  <c r="F8" i="21"/>
  <c r="B4" i="21"/>
  <c r="B2" i="21"/>
  <c r="B9" i="21"/>
  <c r="F7" i="21"/>
  <c r="B5" i="21"/>
  <c r="F3" i="21"/>
  <c r="E206" i="21"/>
  <c r="E145" i="21"/>
  <c r="E89" i="21"/>
  <c r="E129" i="21"/>
  <c r="E174" i="21"/>
  <c r="E161" i="21"/>
  <c r="E137" i="21"/>
  <c r="E117" i="21"/>
  <c r="E190" i="21"/>
  <c r="E153" i="21"/>
  <c r="E97" i="21"/>
  <c r="E105" i="21"/>
  <c r="F39" i="21"/>
  <c r="B39" i="21"/>
  <c r="F37" i="21"/>
  <c r="B37" i="21"/>
  <c r="F35" i="21"/>
  <c r="B35" i="21"/>
  <c r="F33" i="21"/>
  <c r="B33" i="21"/>
  <c r="F31" i="21"/>
  <c r="B31" i="21"/>
  <c r="F29" i="21"/>
  <c r="B29" i="21"/>
  <c r="F27" i="21"/>
  <c r="B27" i="21"/>
  <c r="F25" i="21"/>
  <c r="B25" i="21"/>
  <c r="F23" i="21"/>
  <c r="B23" i="21"/>
  <c r="F21" i="21"/>
  <c r="B21" i="21"/>
  <c r="F19" i="21"/>
  <c r="B19" i="21"/>
  <c r="F17" i="21"/>
  <c r="B17" i="21"/>
  <c r="F15" i="21"/>
  <c r="B15" i="21"/>
  <c r="F13" i="21"/>
  <c r="B13" i="21"/>
  <c r="F11" i="21"/>
  <c r="F9" i="21"/>
  <c r="B7" i="21"/>
  <c r="F5" i="21"/>
  <c r="B3" i="21"/>
  <c r="E77" i="21"/>
  <c r="E66" i="21"/>
  <c r="E47" i="21"/>
  <c r="E198" i="21"/>
  <c r="E182" i="21"/>
  <c r="E166" i="21"/>
  <c r="F163" i="21"/>
  <c r="E157" i="21"/>
  <c r="E149" i="21"/>
  <c r="E141" i="21"/>
  <c r="E133" i="21"/>
  <c r="E121" i="21"/>
  <c r="E109" i="21"/>
  <c r="E101" i="21"/>
  <c r="E93" i="21"/>
  <c r="E85" i="21"/>
  <c r="E55" i="21"/>
  <c r="E125" i="21"/>
  <c r="E113" i="21"/>
  <c r="F38" i="21"/>
  <c r="B38" i="21"/>
  <c r="F36" i="21"/>
  <c r="B36" i="21"/>
  <c r="F34" i="21"/>
  <c r="B34" i="21"/>
  <c r="F32" i="21"/>
  <c r="B32" i="21"/>
  <c r="F30" i="21"/>
  <c r="B30" i="21"/>
  <c r="F28" i="21"/>
  <c r="B28" i="21"/>
  <c r="F26" i="21"/>
  <c r="B26" i="21"/>
  <c r="F24" i="21"/>
  <c r="B22" i="21"/>
  <c r="F20" i="21"/>
  <c r="B18" i="21"/>
  <c r="F16" i="21"/>
  <c r="B14" i="21"/>
  <c r="F12" i="21"/>
  <c r="D10" i="21"/>
  <c r="B8" i="21"/>
  <c r="F4" i="21"/>
  <c r="E73" i="21"/>
  <c r="E70" i="21"/>
  <c r="E62" i="21"/>
  <c r="E59" i="21"/>
  <c r="E51" i="21"/>
  <c r="E43" i="21"/>
  <c r="E202" i="21"/>
  <c r="E194" i="21"/>
  <c r="E186" i="21"/>
  <c r="E178" i="21"/>
  <c r="E170" i="21"/>
  <c r="D163" i="21"/>
  <c r="E159" i="21"/>
  <c r="E155" i="21"/>
  <c r="E151" i="21"/>
  <c r="E147" i="21"/>
  <c r="E143" i="21"/>
  <c r="E139" i="21"/>
  <c r="E135" i="21"/>
  <c r="E131" i="21"/>
  <c r="E127" i="21"/>
  <c r="E123" i="21"/>
  <c r="E119" i="21"/>
  <c r="E115" i="21"/>
  <c r="E111" i="21"/>
  <c r="E107" i="21"/>
  <c r="E103" i="21"/>
  <c r="E99" i="21"/>
  <c r="E95" i="21"/>
  <c r="E91" i="21"/>
  <c r="E87" i="21"/>
  <c r="E83" i="21"/>
  <c r="C81" i="21"/>
  <c r="E80" i="21"/>
  <c r="E79" i="21"/>
  <c r="D24" i="21"/>
  <c r="D22" i="21"/>
  <c r="D20" i="21"/>
  <c r="D18" i="21"/>
  <c r="D16" i="21"/>
  <c r="D14" i="21"/>
  <c r="D12" i="21"/>
  <c r="F10" i="21"/>
  <c r="B10" i="21"/>
  <c r="D8" i="21"/>
  <c r="F6" i="21"/>
  <c r="B6" i="21"/>
  <c r="D4" i="21"/>
  <c r="C77" i="21"/>
  <c r="E76" i="21"/>
  <c r="E75" i="21"/>
  <c r="C73" i="21"/>
  <c r="E72" i="21"/>
  <c r="C70" i="21"/>
  <c r="E69" i="21"/>
  <c r="E68" i="21"/>
  <c r="C66" i="21"/>
  <c r="E65" i="21"/>
  <c r="E64" i="21"/>
  <c r="C62" i="21"/>
  <c r="E61" i="21"/>
  <c r="C59" i="21"/>
  <c r="E58" i="21"/>
  <c r="E57" i="21"/>
  <c r="C55" i="21"/>
  <c r="E54" i="21"/>
  <c r="E53" i="21"/>
  <c r="C51" i="21"/>
  <c r="E50" i="21"/>
  <c r="E49" i="21"/>
  <c r="C47" i="21"/>
  <c r="E46" i="21"/>
  <c r="E45" i="21"/>
  <c r="C43" i="21"/>
  <c r="E42" i="21"/>
  <c r="E41" i="21"/>
  <c r="C206" i="21"/>
  <c r="E205" i="21"/>
  <c r="E204" i="21"/>
  <c r="C202" i="21"/>
  <c r="E201" i="21"/>
  <c r="E200" i="21"/>
  <c r="C198" i="21"/>
  <c r="E197" i="21"/>
  <c r="E196" i="21"/>
  <c r="C194" i="21"/>
  <c r="E193" i="21"/>
  <c r="E192" i="21"/>
  <c r="C190" i="21"/>
  <c r="E189" i="21"/>
  <c r="E188" i="21"/>
  <c r="C186" i="21"/>
  <c r="E185" i="21"/>
  <c r="E184" i="21"/>
  <c r="C182" i="21"/>
  <c r="E181" i="21"/>
  <c r="E180" i="21"/>
  <c r="C178" i="21"/>
  <c r="E177" i="21"/>
  <c r="E176" i="21"/>
  <c r="C174" i="21"/>
  <c r="E173" i="21"/>
  <c r="E172" i="21"/>
  <c r="C170" i="21"/>
  <c r="E169" i="21"/>
  <c r="E168" i="21"/>
  <c r="C166" i="21"/>
  <c r="E165" i="21"/>
  <c r="E164" i="21"/>
  <c r="C75" i="21"/>
  <c r="E74" i="21"/>
  <c r="C68" i="21"/>
  <c r="E67" i="21"/>
  <c r="C64" i="21"/>
  <c r="E63" i="21"/>
  <c r="C57" i="21"/>
  <c r="E56" i="21"/>
  <c r="C53" i="21"/>
  <c r="E52" i="21"/>
  <c r="C49" i="21"/>
  <c r="E48" i="21"/>
  <c r="C45" i="21"/>
  <c r="E44" i="21"/>
  <c r="C41" i="21"/>
  <c r="E40" i="21"/>
  <c r="C204" i="21"/>
  <c r="E203" i="21"/>
  <c r="C200" i="21"/>
  <c r="E199" i="21"/>
  <c r="C196" i="21"/>
  <c r="E195" i="21"/>
  <c r="C192" i="21"/>
  <c r="E191" i="21"/>
  <c r="C188" i="21"/>
  <c r="E187" i="21"/>
  <c r="C184" i="21"/>
  <c r="E183" i="21"/>
  <c r="C180" i="21"/>
  <c r="E179" i="21"/>
  <c r="C176" i="21"/>
  <c r="E175" i="21"/>
  <c r="C172" i="21"/>
  <c r="E171" i="21"/>
  <c r="C168" i="21"/>
  <c r="E167" i="21"/>
  <c r="C164" i="21"/>
  <c r="C79" i="21"/>
  <c r="E78" i="21"/>
  <c r="D11" i="21"/>
  <c r="D9" i="21"/>
  <c r="D7" i="21"/>
  <c r="D5" i="21"/>
  <c r="D3" i="21"/>
  <c r="E2" i="21"/>
  <c r="C76" i="21"/>
  <c r="C74" i="21"/>
  <c r="C72" i="21"/>
  <c r="E71" i="21"/>
  <c r="C69" i="21"/>
  <c r="C67" i="21"/>
  <c r="C65" i="21"/>
  <c r="C63" i="21"/>
  <c r="C61" i="21"/>
  <c r="E60" i="21"/>
  <c r="C58" i="21"/>
  <c r="C56" i="21"/>
  <c r="C54" i="21"/>
  <c r="C52" i="21"/>
  <c r="C50" i="21"/>
  <c r="C48" i="21"/>
  <c r="C46" i="21"/>
  <c r="C44" i="21"/>
  <c r="C42" i="21"/>
  <c r="C40" i="21"/>
  <c r="C205" i="21"/>
  <c r="C203" i="21"/>
  <c r="C201" i="21"/>
  <c r="C199" i="21"/>
  <c r="C197" i="21"/>
  <c r="C195" i="21"/>
  <c r="C193" i="21"/>
  <c r="C191" i="21"/>
  <c r="C189" i="21"/>
  <c r="C187" i="21"/>
  <c r="C185" i="21"/>
  <c r="C183" i="21"/>
  <c r="C181" i="21"/>
  <c r="C179" i="21"/>
  <c r="C177" i="21"/>
  <c r="C175" i="21"/>
  <c r="C173" i="21"/>
  <c r="C171" i="21"/>
  <c r="C169" i="21"/>
  <c r="C167" i="21"/>
  <c r="C165" i="21"/>
  <c r="E163" i="21"/>
  <c r="C163" i="21"/>
  <c r="C80" i="21"/>
  <c r="C78" i="21"/>
  <c r="B162" i="21"/>
  <c r="D162" i="21"/>
  <c r="F162" i="21"/>
  <c r="B160" i="21"/>
  <c r="D160" i="21"/>
  <c r="F160" i="21"/>
  <c r="B158" i="21"/>
  <c r="D158" i="21"/>
  <c r="F158" i="21"/>
  <c r="B156" i="21"/>
  <c r="D156" i="21"/>
  <c r="F156" i="21"/>
  <c r="B154" i="21"/>
  <c r="D154" i="21"/>
  <c r="F154" i="21"/>
  <c r="B152" i="21"/>
  <c r="D152" i="21"/>
  <c r="F152" i="21"/>
  <c r="B150" i="21"/>
  <c r="D150" i="21"/>
  <c r="F150" i="21"/>
  <c r="B148" i="21"/>
  <c r="D148" i="21"/>
  <c r="F148" i="21"/>
  <c r="B146" i="21"/>
  <c r="D146" i="21"/>
  <c r="F146" i="21"/>
  <c r="B144" i="21"/>
  <c r="D144" i="21"/>
  <c r="F144" i="21"/>
  <c r="B142" i="21"/>
  <c r="D142" i="21"/>
  <c r="F142" i="21"/>
  <c r="B140" i="21"/>
  <c r="D140" i="21"/>
  <c r="F140" i="21"/>
  <c r="B138" i="21"/>
  <c r="D138" i="21"/>
  <c r="F138" i="21"/>
  <c r="B136" i="21"/>
  <c r="D136" i="21"/>
  <c r="F136" i="21"/>
  <c r="B134" i="21"/>
  <c r="D134" i="21"/>
  <c r="F134" i="21"/>
  <c r="B132" i="21"/>
  <c r="D132" i="21"/>
  <c r="F132" i="21"/>
  <c r="B130" i="21"/>
  <c r="D130" i="21"/>
  <c r="F130" i="21"/>
  <c r="B128" i="21"/>
  <c r="D128" i="21"/>
  <c r="F128" i="21"/>
  <c r="B126" i="21"/>
  <c r="D126" i="21"/>
  <c r="F126" i="21"/>
  <c r="B124" i="21"/>
  <c r="D124" i="21"/>
  <c r="F124" i="21"/>
  <c r="B122" i="21"/>
  <c r="D122" i="21"/>
  <c r="F122" i="21"/>
  <c r="B120" i="21"/>
  <c r="D120" i="21"/>
  <c r="F120" i="21"/>
  <c r="B118" i="21"/>
  <c r="D118" i="21"/>
  <c r="F118" i="21"/>
  <c r="B116" i="21"/>
  <c r="D116" i="21"/>
  <c r="F116" i="21"/>
  <c r="B114" i="21"/>
  <c r="D114" i="21"/>
  <c r="F114" i="21"/>
  <c r="B112" i="21"/>
  <c r="D112" i="21"/>
  <c r="F112" i="21"/>
  <c r="B110" i="21"/>
  <c r="D110" i="21"/>
  <c r="F110" i="21"/>
  <c r="B108" i="21"/>
  <c r="D108" i="21"/>
  <c r="F108" i="21"/>
  <c r="B106" i="21"/>
  <c r="D106" i="21"/>
  <c r="F106" i="21"/>
  <c r="B104" i="21"/>
  <c r="D104" i="21"/>
  <c r="F104" i="21"/>
  <c r="B102" i="21"/>
  <c r="D102" i="21"/>
  <c r="F102" i="21"/>
  <c r="B100" i="21"/>
  <c r="D100" i="21"/>
  <c r="F100" i="21"/>
  <c r="B98" i="21"/>
  <c r="D98" i="21"/>
  <c r="F98" i="21"/>
  <c r="B96" i="21"/>
  <c r="D96" i="21"/>
  <c r="F96" i="21"/>
  <c r="B94" i="21"/>
  <c r="D94" i="21"/>
  <c r="F94" i="21"/>
  <c r="B92" i="21"/>
  <c r="D92" i="21"/>
  <c r="F92" i="21"/>
  <c r="B90" i="21"/>
  <c r="D90" i="21"/>
  <c r="F90" i="21"/>
  <c r="B88" i="21"/>
  <c r="D88" i="21"/>
  <c r="F88" i="21"/>
  <c r="B86" i="21"/>
  <c r="D86" i="21"/>
  <c r="F86" i="21"/>
  <c r="B84" i="21"/>
  <c r="D84" i="21"/>
  <c r="F84" i="21"/>
  <c r="B82" i="21"/>
  <c r="D82" i="21"/>
  <c r="F82" i="21"/>
  <c r="C71" i="21"/>
  <c r="B161" i="21"/>
  <c r="D161" i="21"/>
  <c r="F161" i="21"/>
  <c r="B159" i="21"/>
  <c r="D159" i="21"/>
  <c r="F159" i="21"/>
  <c r="B157" i="21"/>
  <c r="D157" i="21"/>
  <c r="F157" i="21"/>
  <c r="B155" i="21"/>
  <c r="D155" i="21"/>
  <c r="F155" i="21"/>
  <c r="B153" i="21"/>
  <c r="D153" i="21"/>
  <c r="F153" i="21"/>
  <c r="B151" i="21"/>
  <c r="D151" i="21"/>
  <c r="F151" i="21"/>
  <c r="B149" i="21"/>
  <c r="D149" i="21"/>
  <c r="F149" i="21"/>
  <c r="B147" i="21"/>
  <c r="D147" i="21"/>
  <c r="F147" i="21"/>
  <c r="B145" i="21"/>
  <c r="D145" i="21"/>
  <c r="F145" i="21"/>
  <c r="B143" i="21"/>
  <c r="D143" i="21"/>
  <c r="F143" i="21"/>
  <c r="B141" i="21"/>
  <c r="D141" i="21"/>
  <c r="F141" i="21"/>
  <c r="B139" i="21"/>
  <c r="D139" i="21"/>
  <c r="F139" i="21"/>
  <c r="B137" i="21"/>
  <c r="D137" i="21"/>
  <c r="F137" i="21"/>
  <c r="B135" i="21"/>
  <c r="D135" i="21"/>
  <c r="F135" i="21"/>
  <c r="B133" i="21"/>
  <c r="D133" i="21"/>
  <c r="F133" i="21"/>
  <c r="B131" i="21"/>
  <c r="D131" i="21"/>
  <c r="F131" i="21"/>
  <c r="B129" i="21"/>
  <c r="D129" i="21"/>
  <c r="F129" i="21"/>
  <c r="B127" i="21"/>
  <c r="D127" i="21"/>
  <c r="F127" i="21"/>
  <c r="B125" i="21"/>
  <c r="D125" i="21"/>
  <c r="F125" i="21"/>
  <c r="B123" i="21"/>
  <c r="D123" i="21"/>
  <c r="F123" i="21"/>
  <c r="B121" i="21"/>
  <c r="D121" i="21"/>
  <c r="F121" i="21"/>
  <c r="B119" i="21"/>
  <c r="D119" i="21"/>
  <c r="F119" i="21"/>
  <c r="B117" i="21"/>
  <c r="D117" i="21"/>
  <c r="F117" i="21"/>
  <c r="B115" i="21"/>
  <c r="D115" i="21"/>
  <c r="F115" i="21"/>
  <c r="B113" i="21"/>
  <c r="D113" i="21"/>
  <c r="F113" i="21"/>
  <c r="B111" i="21"/>
  <c r="D111" i="21"/>
  <c r="F111" i="21"/>
  <c r="B109" i="21"/>
  <c r="D109" i="21"/>
  <c r="F109" i="21"/>
  <c r="B107" i="21"/>
  <c r="D107" i="21"/>
  <c r="F107" i="21"/>
  <c r="B105" i="21"/>
  <c r="D105" i="21"/>
  <c r="F105" i="21"/>
  <c r="B103" i="21"/>
  <c r="D103" i="21"/>
  <c r="F103" i="21"/>
  <c r="B101" i="21"/>
  <c r="D101" i="21"/>
  <c r="F101" i="21"/>
  <c r="B99" i="21"/>
  <c r="D99" i="21"/>
  <c r="F99" i="21"/>
  <c r="B97" i="21"/>
  <c r="D97" i="21"/>
  <c r="F97" i="21"/>
  <c r="B95" i="21"/>
  <c r="D95" i="21"/>
  <c r="F95" i="21"/>
  <c r="B93" i="21"/>
  <c r="D93" i="21"/>
  <c r="F93" i="21"/>
  <c r="B91" i="21"/>
  <c r="D91" i="21"/>
  <c r="F91" i="21"/>
  <c r="B89" i="21"/>
  <c r="D89" i="21"/>
  <c r="F89" i="21"/>
  <c r="B87" i="21"/>
  <c r="D87" i="21"/>
  <c r="F87" i="21"/>
  <c r="B85" i="21"/>
  <c r="D85" i="21"/>
  <c r="F85" i="21"/>
  <c r="B83" i="21"/>
  <c r="D83" i="21"/>
  <c r="F83" i="21"/>
  <c r="C60" i="21"/>
  <c r="E39" i="21"/>
  <c r="E37" i="21"/>
  <c r="E35" i="21"/>
  <c r="E33" i="21"/>
  <c r="E31" i="21"/>
  <c r="E29" i="21"/>
  <c r="E27" i="21"/>
  <c r="E25" i="21"/>
  <c r="E23" i="21"/>
  <c r="E21" i="21"/>
  <c r="E19" i="21"/>
  <c r="E17" i="21"/>
  <c r="E15" i="21"/>
  <c r="E13" i="21"/>
  <c r="E11" i="21"/>
  <c r="E9" i="21"/>
  <c r="E7" i="21"/>
  <c r="E5" i="21"/>
  <c r="E3" i="21"/>
  <c r="F2" i="21"/>
  <c r="D2" i="21"/>
  <c r="F77" i="21"/>
  <c r="D77" i="21"/>
  <c r="F76" i="21"/>
  <c r="D76" i="21"/>
  <c r="F75" i="21"/>
  <c r="D75" i="21"/>
  <c r="F74" i="21"/>
  <c r="D74" i="21"/>
  <c r="F73" i="21"/>
  <c r="D73" i="21"/>
  <c r="F72" i="21"/>
  <c r="D72" i="21"/>
  <c r="F71" i="21"/>
  <c r="D71" i="21"/>
  <c r="F70" i="21"/>
  <c r="D70" i="21"/>
  <c r="F69" i="21"/>
  <c r="D69" i="21"/>
  <c r="F68" i="21"/>
  <c r="D68" i="21"/>
  <c r="F67" i="21"/>
  <c r="D67" i="21"/>
  <c r="F66" i="21"/>
  <c r="D66" i="21"/>
  <c r="F65" i="21"/>
  <c r="D65" i="21"/>
  <c r="F64" i="21"/>
  <c r="D64" i="21"/>
  <c r="F63" i="21"/>
  <c r="D63" i="21"/>
  <c r="F62" i="21"/>
  <c r="D62" i="21"/>
  <c r="F61" i="21"/>
  <c r="D61" i="21"/>
  <c r="F60" i="21"/>
  <c r="D60" i="21"/>
  <c r="F59" i="21"/>
  <c r="D59" i="21"/>
  <c r="F58" i="21"/>
  <c r="D58" i="21"/>
  <c r="F57" i="21"/>
  <c r="D57" i="21"/>
  <c r="F56" i="21"/>
  <c r="D56" i="21"/>
  <c r="F55" i="21"/>
  <c r="D55" i="21"/>
  <c r="F54" i="21"/>
  <c r="D54" i="21"/>
  <c r="F53" i="21"/>
  <c r="D53" i="21"/>
  <c r="F52" i="21"/>
  <c r="D52" i="21"/>
  <c r="F51" i="21"/>
  <c r="D51" i="21"/>
  <c r="F50" i="21"/>
  <c r="D50" i="21"/>
  <c r="F49" i="21"/>
  <c r="D49" i="21"/>
  <c r="F48" i="21"/>
  <c r="D48" i="21"/>
  <c r="F47" i="21"/>
  <c r="D47" i="21"/>
  <c r="F46" i="21"/>
  <c r="D46" i="21"/>
  <c r="F45" i="21"/>
  <c r="D45" i="21"/>
  <c r="F44" i="21"/>
  <c r="D44" i="21"/>
  <c r="F43" i="21"/>
  <c r="D43" i="21"/>
  <c r="F42" i="21"/>
  <c r="D42" i="21"/>
  <c r="F41" i="21"/>
  <c r="D41" i="21"/>
  <c r="F40" i="21"/>
  <c r="D40" i="21"/>
  <c r="F206" i="21"/>
  <c r="D206" i="21"/>
  <c r="F205" i="21"/>
  <c r="D205" i="21"/>
  <c r="F204" i="21"/>
  <c r="D204" i="21"/>
  <c r="F203" i="21"/>
  <c r="D203" i="21"/>
  <c r="F202" i="21"/>
  <c r="D202" i="21"/>
  <c r="F201" i="21"/>
  <c r="D201" i="21"/>
  <c r="F200" i="21"/>
  <c r="D200" i="21"/>
  <c r="F199" i="21"/>
  <c r="D199" i="21"/>
  <c r="F198" i="21"/>
  <c r="D198" i="21"/>
  <c r="F197" i="21"/>
  <c r="D197" i="21"/>
  <c r="F196" i="21"/>
  <c r="D196" i="21"/>
  <c r="F195" i="21"/>
  <c r="D195" i="21"/>
  <c r="F194" i="21"/>
  <c r="D194" i="21"/>
  <c r="F193" i="21"/>
  <c r="D193" i="21"/>
  <c r="F192" i="21"/>
  <c r="D192" i="21"/>
  <c r="F191" i="21"/>
  <c r="D191" i="21"/>
  <c r="F190" i="21"/>
  <c r="D190" i="21"/>
  <c r="F189" i="21"/>
  <c r="D189" i="21"/>
  <c r="F188" i="21"/>
  <c r="D188" i="21"/>
  <c r="F187" i="21"/>
  <c r="D187" i="21"/>
  <c r="F186" i="21"/>
  <c r="D186" i="21"/>
  <c r="F185" i="21"/>
  <c r="D185" i="21"/>
  <c r="F184" i="21"/>
  <c r="D184" i="21"/>
  <c r="F183" i="21"/>
  <c r="D183" i="21"/>
  <c r="F182" i="21"/>
  <c r="D182" i="21"/>
  <c r="F181" i="21"/>
  <c r="D181" i="21"/>
  <c r="F180" i="21"/>
  <c r="D180" i="21"/>
  <c r="F179" i="21"/>
  <c r="D179" i="21"/>
  <c r="F178" i="21"/>
  <c r="D178" i="21"/>
  <c r="F177" i="21"/>
  <c r="D177" i="21"/>
  <c r="F176" i="21"/>
  <c r="D176" i="21"/>
  <c r="F175" i="21"/>
  <c r="D175" i="21"/>
  <c r="F174" i="21"/>
  <c r="D174" i="21"/>
  <c r="F173" i="21"/>
  <c r="D173" i="21"/>
  <c r="F172" i="21"/>
  <c r="D172" i="21"/>
  <c r="F171" i="21"/>
  <c r="D171" i="21"/>
  <c r="F170" i="21"/>
  <c r="D170" i="21"/>
  <c r="F169" i="21"/>
  <c r="D169" i="21"/>
  <c r="F168" i="21"/>
  <c r="D168" i="21"/>
  <c r="F167" i="21"/>
  <c r="D167" i="21"/>
  <c r="F166" i="21"/>
  <c r="D166" i="21"/>
  <c r="F165" i="21"/>
  <c r="D165" i="21"/>
  <c r="F164" i="21"/>
  <c r="D164" i="21"/>
  <c r="C162" i="21"/>
  <c r="C160" i="21"/>
  <c r="C158" i="21"/>
  <c r="C156" i="21"/>
  <c r="C154" i="21"/>
  <c r="C152" i="21"/>
  <c r="C150" i="21"/>
  <c r="C148" i="21"/>
  <c r="C146" i="21"/>
  <c r="C144" i="21"/>
  <c r="C142" i="21"/>
  <c r="C140" i="21"/>
  <c r="C138" i="21"/>
  <c r="C136" i="21"/>
  <c r="C134" i="21"/>
  <c r="C132" i="21"/>
  <c r="C130" i="21"/>
  <c r="C128" i="21"/>
  <c r="C126" i="21"/>
  <c r="C124" i="21"/>
  <c r="C122" i="21"/>
  <c r="C120" i="21"/>
  <c r="C118" i="21"/>
  <c r="C116" i="21"/>
  <c r="C114" i="21"/>
  <c r="C112" i="21"/>
  <c r="C110" i="21"/>
  <c r="C108" i="21"/>
  <c r="C106" i="21"/>
  <c r="C104" i="21"/>
  <c r="C102" i="21"/>
  <c r="C100" i="21"/>
  <c r="C98" i="21"/>
  <c r="C96" i="21"/>
  <c r="C94" i="21"/>
  <c r="C92" i="21"/>
  <c r="C90" i="21"/>
  <c r="C88" i="21"/>
  <c r="C86" i="21"/>
  <c r="C84" i="21"/>
  <c r="C82" i="21"/>
  <c r="F81" i="21"/>
  <c r="D81" i="21"/>
  <c r="F80" i="21"/>
  <c r="D80" i="21"/>
  <c r="F79" i="21"/>
  <c r="D79" i="21"/>
  <c r="F78" i="21"/>
  <c r="D78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E10" i="21"/>
  <c r="E8" i="21"/>
  <c r="E6" i="21"/>
  <c r="E4" i="2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6" i="1"/>
  <c r="J37" i="1"/>
  <c r="J38" i="1"/>
  <c r="J39" i="1"/>
  <c r="J40" i="1"/>
  <c r="J41" i="1"/>
  <c r="J42" i="1"/>
  <c r="J43" i="1"/>
  <c r="J44" i="1"/>
  <c r="J45" i="1"/>
  <c r="L81" i="3" l="1"/>
  <c r="L82" i="3"/>
  <c r="B7" i="11"/>
  <c r="H10" i="1" l="1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68" i="3"/>
  <c r="F3" i="3" l="1"/>
  <c r="F6" i="11" l="1"/>
  <c r="D4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4" i="14"/>
  <c r="C5" i="14"/>
  <c r="C6" i="14"/>
  <c r="C7" i="14"/>
  <c r="C8" i="14"/>
  <c r="C9" i="14"/>
  <c r="C10" i="14"/>
  <c r="C2" i="14"/>
  <c r="B4" i="11"/>
  <c r="D3" i="3"/>
  <c r="D2" i="14" l="1"/>
  <c r="D3" i="14" l="1"/>
  <c r="F18" i="1" s="1"/>
  <c r="D18" i="1"/>
  <c r="A84" i="3"/>
  <c r="A83" i="3"/>
  <c r="A82" i="3"/>
  <c r="B82" i="3" s="1"/>
  <c r="A81" i="3"/>
  <c r="A80" i="3"/>
  <c r="A79" i="3"/>
  <c r="A78" i="3"/>
  <c r="A77" i="3"/>
  <c r="A76" i="3"/>
  <c r="A75" i="3"/>
  <c r="B75" i="3" s="1"/>
  <c r="A74" i="3"/>
  <c r="A73" i="3"/>
  <c r="A72" i="3"/>
  <c r="A71" i="3"/>
  <c r="A70" i="3"/>
  <c r="A69" i="3"/>
  <c r="A68" i="3"/>
  <c r="B68" i="3" l="1"/>
  <c r="B72" i="3"/>
  <c r="B76" i="3"/>
  <c r="B78" i="3"/>
  <c r="B80" i="3"/>
  <c r="B84" i="3"/>
  <c r="B70" i="3"/>
  <c r="B74" i="3"/>
  <c r="B69" i="3"/>
  <c r="B71" i="3"/>
  <c r="B73" i="3"/>
  <c r="B77" i="3"/>
  <c r="B79" i="3"/>
  <c r="B81" i="3"/>
  <c r="B83" i="3"/>
  <c r="A65" i="3" l="1"/>
  <c r="B65" i="3" l="1"/>
  <c r="I65" i="3"/>
  <c r="C65" i="3"/>
  <c r="H65" i="3"/>
  <c r="F65" i="3"/>
  <c r="D65" i="3"/>
  <c r="G65" i="3"/>
  <c r="E65" i="3"/>
  <c r="E36" i="3" l="1"/>
  <c r="C36" i="3" s="1"/>
  <c r="E5" i="11"/>
  <c r="E4" i="11"/>
  <c r="E3" i="11"/>
  <c r="B6" i="11"/>
  <c r="B5" i="11"/>
  <c r="B3" i="11"/>
  <c r="B2" i="11"/>
  <c r="G69" i="3" l="1"/>
  <c r="M81" i="3"/>
  <c r="L84" i="3"/>
  <c r="A33" i="3"/>
  <c r="A32" i="3"/>
  <c r="B32" i="3"/>
  <c r="N81" i="3" l="1"/>
  <c r="C32" i="3"/>
  <c r="B33" i="3"/>
  <c r="C33" i="3" s="1"/>
  <c r="H69" i="3" l="1"/>
  <c r="B21" i="3"/>
  <c r="B22" i="3"/>
  <c r="B23" i="3"/>
  <c r="B24" i="3"/>
  <c r="B25" i="3"/>
  <c r="B26" i="3"/>
  <c r="B27" i="3"/>
  <c r="B28" i="3"/>
  <c r="B29" i="3"/>
  <c r="B20" i="3"/>
  <c r="B5" i="3"/>
  <c r="B6" i="3"/>
  <c r="B7" i="3"/>
  <c r="B8" i="3"/>
  <c r="C8" i="3" s="1"/>
  <c r="K24" i="1" s="1"/>
  <c r="B9" i="3"/>
  <c r="B10" i="3"/>
  <c r="B11" i="3"/>
  <c r="B12" i="3"/>
  <c r="B13" i="3"/>
  <c r="B14" i="3"/>
  <c r="B15" i="3"/>
  <c r="B16" i="3"/>
  <c r="B17" i="3"/>
  <c r="B18" i="3"/>
  <c r="B4" i="3"/>
  <c r="A28" i="3"/>
  <c r="G29" i="3"/>
  <c r="A20" i="3"/>
  <c r="A21" i="3"/>
  <c r="G21" i="3" s="1"/>
  <c r="A22" i="3"/>
  <c r="A23" i="3"/>
  <c r="G23" i="3" s="1"/>
  <c r="A24" i="3"/>
  <c r="G24" i="3" s="1"/>
  <c r="A25" i="3"/>
  <c r="G25" i="3" s="1"/>
  <c r="A26" i="3"/>
  <c r="G26" i="3" s="1"/>
  <c r="A27" i="3"/>
  <c r="G27" i="3" s="1"/>
  <c r="A17" i="3"/>
  <c r="A18" i="3"/>
  <c r="A5" i="3"/>
  <c r="A6" i="3"/>
  <c r="A7" i="3"/>
  <c r="A9" i="3"/>
  <c r="A10" i="3"/>
  <c r="A11" i="3"/>
  <c r="A12" i="3"/>
  <c r="A13" i="3"/>
  <c r="A14" i="3"/>
  <c r="A15" i="3"/>
  <c r="A16" i="3"/>
  <c r="A4" i="3"/>
  <c r="G4" i="3" s="1"/>
  <c r="G22" i="3" l="1"/>
  <c r="C9" i="3"/>
  <c r="K25" i="1" s="1"/>
  <c r="G20" i="3"/>
  <c r="C6" i="3"/>
  <c r="K22" i="1" s="1"/>
  <c r="C5" i="3"/>
  <c r="K21" i="1" s="1"/>
  <c r="C7" i="3"/>
  <c r="K23" i="1" s="1"/>
  <c r="G28" i="3"/>
  <c r="C28" i="3"/>
  <c r="K44" i="1" s="1"/>
  <c r="C18" i="3"/>
  <c r="K34" i="1" s="1"/>
  <c r="C16" i="3"/>
  <c r="K32" i="1" s="1"/>
  <c r="C14" i="3"/>
  <c r="K30" i="1" s="1"/>
  <c r="C12" i="3"/>
  <c r="K28" i="1" s="1"/>
  <c r="C10" i="3"/>
  <c r="K26" i="1" s="1"/>
  <c r="C20" i="3"/>
  <c r="C26" i="3"/>
  <c r="K42" i="1" s="1"/>
  <c r="C24" i="3"/>
  <c r="K40" i="1" s="1"/>
  <c r="C22" i="3"/>
  <c r="K38" i="1" s="1"/>
  <c r="C17" i="3"/>
  <c r="K33" i="1" s="1"/>
  <c r="C15" i="3"/>
  <c r="K31" i="1" s="1"/>
  <c r="C13" i="3"/>
  <c r="K29" i="1" s="1"/>
  <c r="C11" i="3"/>
  <c r="K27" i="1" s="1"/>
  <c r="C29" i="3"/>
  <c r="K45" i="1" s="1"/>
  <c r="C27" i="3"/>
  <c r="K43" i="1" s="1"/>
  <c r="C25" i="3"/>
  <c r="K41" i="1" s="1"/>
  <c r="C23" i="3"/>
  <c r="K39" i="1" s="1"/>
  <c r="C21" i="3"/>
  <c r="K37" i="1" s="1"/>
  <c r="G5" i="3"/>
  <c r="G8" i="3"/>
  <c r="G6" i="3"/>
  <c r="G18" i="3"/>
  <c r="G17" i="3"/>
  <c r="G16" i="3"/>
  <c r="G15" i="3"/>
  <c r="G14" i="3"/>
  <c r="G13" i="3"/>
  <c r="G12" i="3"/>
  <c r="G11" i="3"/>
  <c r="G10" i="3"/>
  <c r="G9" i="3"/>
  <c r="G7" i="3"/>
  <c r="C4" i="3"/>
  <c r="L83" i="3"/>
  <c r="K36" i="1" l="1"/>
  <c r="C37" i="3"/>
  <c r="F14" i="1"/>
  <c r="K20" i="1"/>
  <c r="I4" i="1" l="1"/>
  <c r="D4" i="3"/>
  <c r="H4" i="1" l="1"/>
  <c r="I2" i="1"/>
  <c r="H15" i="1"/>
  <c r="D83" i="3"/>
  <c r="E83" i="3" s="1"/>
  <c r="F83" i="3" s="1"/>
  <c r="G83" i="3" s="1"/>
  <c r="H83" i="3" s="1"/>
  <c r="D79" i="3"/>
  <c r="E79" i="3" s="1"/>
  <c r="F79" i="3" s="1"/>
  <c r="G79" i="3" s="1"/>
  <c r="H79" i="3" s="1"/>
  <c r="D75" i="3"/>
  <c r="E75" i="3" s="1"/>
  <c r="F75" i="3" s="1"/>
  <c r="G75" i="3" s="1"/>
  <c r="H75" i="3" s="1"/>
  <c r="D71" i="3"/>
  <c r="E71" i="3" s="1"/>
  <c r="F71" i="3" s="1"/>
  <c r="G71" i="3" s="1"/>
  <c r="H71" i="3" s="1"/>
  <c r="D84" i="3"/>
  <c r="E84" i="3" s="1"/>
  <c r="F84" i="3" s="1"/>
  <c r="G84" i="3" s="1"/>
  <c r="H84" i="3" s="1"/>
  <c r="D80" i="3"/>
  <c r="E80" i="3" s="1"/>
  <c r="F80" i="3" s="1"/>
  <c r="G80" i="3" s="1"/>
  <c r="H80" i="3" s="1"/>
  <c r="D76" i="3"/>
  <c r="E76" i="3" s="1"/>
  <c r="F76" i="3" s="1"/>
  <c r="G76" i="3" s="1"/>
  <c r="H76" i="3" s="1"/>
  <c r="D68" i="3"/>
  <c r="E68" i="3" s="1"/>
  <c r="F68" i="3" s="1"/>
  <c r="G68" i="3" s="1"/>
  <c r="H68" i="3" s="1"/>
  <c r="D81" i="3"/>
  <c r="E81" i="3" s="1"/>
  <c r="F81" i="3" s="1"/>
  <c r="G81" i="3" s="1"/>
  <c r="H81" i="3" s="1"/>
  <c r="D77" i="3"/>
  <c r="E77" i="3" s="1"/>
  <c r="F77" i="3" s="1"/>
  <c r="G77" i="3" s="1"/>
  <c r="H77" i="3" s="1"/>
  <c r="D73" i="3"/>
  <c r="E73" i="3" s="1"/>
  <c r="F73" i="3" s="1"/>
  <c r="G73" i="3" s="1"/>
  <c r="H73" i="3" s="1"/>
  <c r="D69" i="3"/>
  <c r="E69" i="3" s="1"/>
  <c r="D82" i="3"/>
  <c r="E82" i="3" s="1"/>
  <c r="F82" i="3" s="1"/>
  <c r="G82" i="3" s="1"/>
  <c r="H82" i="3" s="1"/>
  <c r="D78" i="3"/>
  <c r="E78" i="3" s="1"/>
  <c r="F78" i="3" s="1"/>
  <c r="G78" i="3" s="1"/>
  <c r="H78" i="3" s="1"/>
  <c r="D74" i="3"/>
  <c r="E74" i="3" s="1"/>
  <c r="F74" i="3" s="1"/>
  <c r="G74" i="3" s="1"/>
  <c r="H74" i="3" s="1"/>
  <c r="D70" i="3"/>
  <c r="E70" i="3" s="1"/>
  <c r="F70" i="3" s="1"/>
  <c r="G70" i="3" s="1"/>
  <c r="D72" i="3"/>
  <c r="E72" i="3" s="1"/>
  <c r="F72" i="3" s="1"/>
  <c r="G72" i="3" s="1"/>
  <c r="H72" i="3" s="1"/>
  <c r="J65" i="3" l="1"/>
  <c r="L65" i="3" s="1"/>
  <c r="H70" i="3"/>
  <c r="J11" i="1" s="1"/>
  <c r="H13" i="1" l="1"/>
  <c r="H11" i="1"/>
  <c r="K65" i="3"/>
  <c r="I13" i="1" l="1"/>
</calcChain>
</file>

<file path=xl/sharedStrings.xml><?xml version="1.0" encoding="utf-8"?>
<sst xmlns="http://schemas.openxmlformats.org/spreadsheetml/2006/main" count="1501" uniqueCount="352">
  <si>
    <t>VEICULO</t>
  </si>
  <si>
    <t>PLACA</t>
  </si>
  <si>
    <t>CLIENTE</t>
  </si>
  <si>
    <t>NOME DA COR</t>
  </si>
  <si>
    <t xml:space="preserve">QUANTIDADE </t>
  </si>
  <si>
    <t>QUANTIDADE REPESADA</t>
  </si>
  <si>
    <t>PIGMENTO</t>
  </si>
  <si>
    <t>REPESAGEM</t>
  </si>
  <si>
    <t>PIGMENTOS ADICIONAIS</t>
  </si>
  <si>
    <t>EMBALAGEM</t>
  </si>
  <si>
    <t>CUSTO REAL TINTA</t>
  </si>
  <si>
    <t>Gramas</t>
  </si>
  <si>
    <t>Descrição:</t>
  </si>
  <si>
    <t>Fabricante:</t>
  </si>
  <si>
    <t>FABRICANTE</t>
  </si>
  <si>
    <t>SISTEMA PINTURA</t>
  </si>
  <si>
    <t>Placa:</t>
  </si>
  <si>
    <t>Veiculo:</t>
  </si>
  <si>
    <t>Cliente:</t>
  </si>
  <si>
    <t>Data:</t>
  </si>
  <si>
    <t>DATA</t>
  </si>
  <si>
    <t>MAQ TINTAS COMERCIO DE TINTAS LTDA</t>
  </si>
  <si>
    <t>QNT:</t>
  </si>
  <si>
    <t>SP:</t>
  </si>
  <si>
    <t>Sistemas de Pintura.</t>
  </si>
  <si>
    <t>Deltron® BC</t>
  </si>
  <si>
    <t>Deltron® DG</t>
  </si>
  <si>
    <t>Delfleet® PU 350</t>
  </si>
  <si>
    <t>Delfleet® PU 280</t>
  </si>
  <si>
    <t>Delfleet® PU 290</t>
  </si>
  <si>
    <t>Delfleet® Epoxi</t>
  </si>
  <si>
    <t>Industran® Sintetico</t>
  </si>
  <si>
    <t>Industran® PU</t>
  </si>
  <si>
    <t>Dulon® Duco</t>
  </si>
  <si>
    <t>Dulon® PU</t>
  </si>
  <si>
    <t>Dulon® Sintético</t>
  </si>
  <si>
    <t>MLs</t>
  </si>
  <si>
    <t>Etiqueta</t>
  </si>
  <si>
    <t>Gravar OS</t>
  </si>
  <si>
    <t>Cod.Var.:</t>
  </si>
  <si>
    <t>Industran® PU Fosco</t>
  </si>
  <si>
    <t>Delfleet® PU Fosco</t>
  </si>
  <si>
    <t>Delfleet® PU Semi-Brilho</t>
  </si>
  <si>
    <t>Deltron® Tricoat (Base)</t>
  </si>
  <si>
    <t>Deltron® Tricoat (Efeito)</t>
  </si>
  <si>
    <t>COMISSÃO</t>
  </si>
  <si>
    <t xml:space="preserve">Valor p/ Litro </t>
  </si>
  <si>
    <t>Qnt. (ML)</t>
  </si>
  <si>
    <t>MLS</t>
  </si>
  <si>
    <t>CARGA</t>
  </si>
  <si>
    <t>PESAGEM</t>
  </si>
  <si>
    <t>LT</t>
  </si>
  <si>
    <t>TOTAL</t>
  </si>
  <si>
    <t>Valor</t>
  </si>
  <si>
    <t xml:space="preserve">CUSTO TOTAL </t>
  </si>
  <si>
    <t>Margem Sugerida</t>
  </si>
  <si>
    <t>TIPO COR</t>
  </si>
  <si>
    <t>FATOR</t>
  </si>
  <si>
    <t>Sistema de Pintura</t>
  </si>
  <si>
    <t>Vermelho -</t>
  </si>
  <si>
    <t>Amarelo -</t>
  </si>
  <si>
    <t>Verde</t>
  </si>
  <si>
    <t>Amarelo +</t>
  </si>
  <si>
    <t>Vermelho +</t>
  </si>
  <si>
    <t>Amarelo+</t>
  </si>
  <si>
    <t>Dulon® Poliéster</t>
  </si>
  <si>
    <t>GR.</t>
  </si>
  <si>
    <t>MSG.</t>
  </si>
  <si>
    <t>GR. X Fator</t>
  </si>
  <si>
    <t>MENSAGENS</t>
  </si>
  <si>
    <t>Carga quase correta. Favor AUMENTAR!</t>
  </si>
  <si>
    <t>Carga Regulada CORRETAMENTE!</t>
  </si>
  <si>
    <t>Carga quase correta. Favor REDUZIR!</t>
  </si>
  <si>
    <t>Carga Muito ALTA!</t>
  </si>
  <si>
    <t>Carga Muito BAIXA!</t>
  </si>
  <si>
    <t>CARGA DELTRON</t>
  </si>
  <si>
    <t>CARGA GERAL</t>
  </si>
  <si>
    <t>807 sugerido</t>
  </si>
  <si>
    <t>807 utilizado</t>
  </si>
  <si>
    <t>diferença</t>
  </si>
  <si>
    <t>Diluente quase correto, Favor DIMINUIR!</t>
  </si>
  <si>
    <t>Diluição efetuada CORRETAMENTE!</t>
  </si>
  <si>
    <t>Diluente quase correto, Favor AUMENTAR!</t>
  </si>
  <si>
    <t>FALTA de Diluente!</t>
  </si>
  <si>
    <t>EXCESSO de diluente !</t>
  </si>
  <si>
    <t>COD SP</t>
  </si>
  <si>
    <t>ACS Evolution® Poliéster</t>
  </si>
  <si>
    <t>CÓDIGO</t>
  </si>
  <si>
    <t>Tempo Inicio</t>
  </si>
  <si>
    <t>Tempo Fim</t>
  </si>
  <si>
    <t>Periodo</t>
  </si>
  <si>
    <t>Total de Horas</t>
  </si>
  <si>
    <t>horas</t>
  </si>
  <si>
    <t>status</t>
  </si>
  <si>
    <t>Envirobase® Solido</t>
  </si>
  <si>
    <t>Envirobase® Metalico</t>
  </si>
  <si>
    <t>CARGA ENVIROBASE SOLIDO</t>
  </si>
  <si>
    <t>CARGA ENVIROBASE METALICO</t>
  </si>
  <si>
    <t>Tipo OS</t>
  </si>
  <si>
    <t>CPP Basecoat® Poliéster</t>
  </si>
  <si>
    <t>FATOR COR</t>
  </si>
  <si>
    <t>FATOR CLIENTE</t>
  </si>
  <si>
    <t>SP</t>
  </si>
  <si>
    <t>OBSERVAÇÕES</t>
  </si>
  <si>
    <t>Usuário</t>
  </si>
  <si>
    <t>Historico de coloristas</t>
  </si>
  <si>
    <r>
      <rPr>
        <sz val="13"/>
        <color theme="1"/>
        <rFont val="Franklin Gothic Demi"/>
        <family val="2"/>
      </rPr>
      <t>DISK TINTAS</t>
    </r>
    <r>
      <rPr>
        <b/>
        <sz val="13"/>
        <color theme="1"/>
        <rFont val="Geometr706 BlkCn BT"/>
        <family val="2"/>
      </rPr>
      <t xml:space="preserve">    (49) 3444 3200</t>
    </r>
  </si>
  <si>
    <t>Colorista:</t>
  </si>
  <si>
    <t>CORPO DE PROVA</t>
  </si>
  <si>
    <t>qnt. Pigmentos</t>
  </si>
  <si>
    <t>Faltando</t>
  </si>
  <si>
    <t>Volume Por Peso Especifico</t>
  </si>
  <si>
    <t>Data Alteração</t>
  </si>
  <si>
    <t>Planilha</t>
  </si>
  <si>
    <t>Celula Alterada</t>
  </si>
  <si>
    <t>Valor Alterado</t>
  </si>
  <si>
    <t>Jhoni</t>
  </si>
  <si>
    <t>Tempo salvamento</t>
  </si>
  <si>
    <t>Embalagens</t>
  </si>
  <si>
    <t>Tipo Embalagem</t>
  </si>
  <si>
    <t>Automático</t>
  </si>
  <si>
    <t>Tempo Entre pesagem</t>
  </si>
  <si>
    <t>QUANTIDADE CHAPINHAS</t>
  </si>
  <si>
    <t>Chapinhas</t>
  </si>
  <si>
    <t>Alteração nos Pigmentos</t>
  </si>
  <si>
    <t>QUANTIDADE DE TINTA CONSUMIDA NO AJUSTE</t>
  </si>
  <si>
    <t>QUANTIDADE DE VERNIZ CONSUMIDA NO AJUSTE</t>
  </si>
  <si>
    <t>QUANTIDADE A SER RESPOTA APÓS AJUSTE</t>
  </si>
  <si>
    <t>custo de reposição</t>
  </si>
  <si>
    <t>Colorista</t>
  </si>
  <si>
    <t>29/04/2017</t>
  </si>
  <si>
    <t>Gravado</t>
  </si>
  <si>
    <t>Ordem de Serviço</t>
  </si>
  <si>
    <t>$H$3</t>
  </si>
  <si>
    <t xml:space="preserve">HILUX </t>
  </si>
  <si>
    <t>$C$6</t>
  </si>
  <si>
    <t>MKW 3742</t>
  </si>
  <si>
    <t>$C$7</t>
  </si>
  <si>
    <t xml:space="preserve">CAVALIERI  </t>
  </si>
  <si>
    <t>$C$8</t>
  </si>
  <si>
    <t xml:space="preserve">Prata </t>
  </si>
  <si>
    <t>$C$9</t>
  </si>
  <si>
    <t>PRATA ONIX</t>
  </si>
  <si>
    <t>$C$10</t>
  </si>
  <si>
    <t>TOYOTA</t>
  </si>
  <si>
    <t>$C$11</t>
  </si>
  <si>
    <t>$C$12</t>
  </si>
  <si>
    <t>$C$13</t>
  </si>
  <si>
    <t>$C$14</t>
  </si>
  <si>
    <t>$A$20</t>
  </si>
  <si>
    <t>$A$21</t>
  </si>
  <si>
    <t>$A$22</t>
  </si>
  <si>
    <t>$A$23</t>
  </si>
  <si>
    <t>$A$24</t>
  </si>
  <si>
    <t>$A$25</t>
  </si>
  <si>
    <t>$A$26</t>
  </si>
  <si>
    <t>$A$27</t>
  </si>
  <si>
    <t>$A$28</t>
  </si>
  <si>
    <t>$A$29</t>
  </si>
  <si>
    <t>$A$30</t>
  </si>
  <si>
    <t>$A$31</t>
  </si>
  <si>
    <t>$A$32</t>
  </si>
  <si>
    <t>$A$33</t>
  </si>
  <si>
    <t>$A$34</t>
  </si>
  <si>
    <t>$A$36</t>
  </si>
  <si>
    <t>$A$37</t>
  </si>
  <si>
    <t>$A$38</t>
  </si>
  <si>
    <t>$A$39</t>
  </si>
  <si>
    <t>$A$40</t>
  </si>
  <si>
    <t>$A$41</t>
  </si>
  <si>
    <t>$A$42</t>
  </si>
  <si>
    <t>$A$43</t>
  </si>
  <si>
    <t>$A$44</t>
  </si>
  <si>
    <t>$A$45</t>
  </si>
  <si>
    <t>$C$20</t>
  </si>
  <si>
    <t>$C$21</t>
  </si>
  <si>
    <t>$C$22</t>
  </si>
  <si>
    <t>$C$23</t>
  </si>
  <si>
    <t>$C$24</t>
  </si>
  <si>
    <t>$C$25</t>
  </si>
  <si>
    <t>$C$26</t>
  </si>
  <si>
    <t>$C$27</t>
  </si>
  <si>
    <t>$C$28</t>
  </si>
  <si>
    <t>$C$29</t>
  </si>
  <si>
    <t>$C$30</t>
  </si>
  <si>
    <t>$C$31</t>
  </si>
  <si>
    <t>$C$32</t>
  </si>
  <si>
    <t>$C$33</t>
  </si>
  <si>
    <t>$C$34</t>
  </si>
  <si>
    <t>$C$36</t>
  </si>
  <si>
    <t>$C$37</t>
  </si>
  <si>
    <t>$C$38</t>
  </si>
  <si>
    <t>$C$39</t>
  </si>
  <si>
    <t>$C$40</t>
  </si>
  <si>
    <t>$C$41</t>
  </si>
  <si>
    <t>$C$42</t>
  </si>
  <si>
    <t>$C$43</t>
  </si>
  <si>
    <t>$C$44</t>
  </si>
  <si>
    <t>$C$45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</si>
  <si>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</si>
  <si>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</si>
  <si>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</si>
  <si>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</si>
  <si>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</si>
  <si>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</si>
  <si>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</si>
  <si>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</si>
  <si>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</si>
  <si>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$D$29</t>
  </si>
  <si>
    <t>$D$30</t>
  </si>
  <si>
    <t>$D$31</t>
  </si>
  <si>
    <t>$D$32</t>
  </si>
  <si>
    <t>$D$33</t>
  </si>
  <si>
    <t>$D$34</t>
  </si>
  <si>
    <t>$D$36</t>
  </si>
  <si>
    <t>$D$37</t>
  </si>
  <si>
    <t>$D$38</t>
  </si>
  <si>
    <t>$D$39</t>
  </si>
  <si>
    <t>$D$40</t>
  </si>
  <si>
    <t>$D$41</t>
  </si>
  <si>
    <t>$D$42</t>
  </si>
  <si>
    <t>$D$43</t>
  </si>
  <si>
    <t>$D$44</t>
  </si>
  <si>
    <t>$D$45</t>
  </si>
  <si>
    <t>$E$20</t>
  </si>
  <si>
    <t>$E$21</t>
  </si>
  <si>
    <t>$E$22</t>
  </si>
  <si>
    <t>$E$23</t>
  </si>
  <si>
    <t>$E$24</t>
  </si>
  <si>
    <t>$E$25</t>
  </si>
  <si>
    <t>$E$26</t>
  </si>
  <si>
    <t>$E$27</t>
  </si>
  <si>
    <t>$E$28</t>
  </si>
  <si>
    <t>$E$29</t>
  </si>
  <si>
    <t>$E$30</t>
  </si>
  <si>
    <t>$E$31</t>
  </si>
  <si>
    <t>$E$32</t>
  </si>
  <si>
    <t>$E$33</t>
  </si>
  <si>
    <t>$E$34</t>
  </si>
  <si>
    <t>$E$36</t>
  </si>
  <si>
    <t>$E$37</t>
  </si>
  <si>
    <t>$E$38</t>
  </si>
  <si>
    <t>$E$39</t>
  </si>
  <si>
    <t>$E$40</t>
  </si>
  <si>
    <t>$E$41</t>
  </si>
  <si>
    <t>$E$42</t>
  </si>
  <si>
    <t>$E$43</t>
  </si>
  <si>
    <t>$E$44</t>
  </si>
  <si>
    <t>$E$45</t>
  </si>
  <si>
    <t>$F$20</t>
  </si>
  <si>
    <t>$F$21</t>
  </si>
  <si>
    <t>$F$22</t>
  </si>
  <si>
    <t>$F$23</t>
  </si>
  <si>
    <t>$F$24</t>
  </si>
  <si>
    <t>$F$25</t>
  </si>
  <si>
    <t>$F$26</t>
  </si>
  <si>
    <t>$F$27</t>
  </si>
  <si>
    <t>$F$28</t>
  </si>
  <si>
    <t>$F$29</t>
  </si>
  <si>
    <t>$F$30</t>
  </si>
  <si>
    <t>$F$31</t>
  </si>
  <si>
    <t>$F$32</t>
  </si>
  <si>
    <t>$F$33</t>
  </si>
  <si>
    <t>$F$34</t>
  </si>
  <si>
    <t>$F$36</t>
  </si>
  <si>
    <t>$F$37</t>
  </si>
  <si>
    <t>$F$38</t>
  </si>
  <si>
    <t>$F$39</t>
  </si>
  <si>
    <t>$F$40</t>
  </si>
  <si>
    <t>$F$41</t>
  </si>
  <si>
    <t>$F$42</t>
  </si>
  <si>
    <t>$F$43</t>
  </si>
  <si>
    <t>$F$44</t>
  </si>
  <si>
    <t>$F$45</t>
  </si>
  <si>
    <t>$G$20</t>
  </si>
  <si>
    <t>$G$21</t>
  </si>
  <si>
    <t>$G$22</t>
  </si>
  <si>
    <t>$G$23</t>
  </si>
  <si>
    <t>$G$24</t>
  </si>
  <si>
    <t>$G$25</t>
  </si>
  <si>
    <t>$G$26</t>
  </si>
  <si>
    <t>$G$27</t>
  </si>
  <si>
    <t>$G$28</t>
  </si>
  <si>
    <t>$G$29</t>
  </si>
  <si>
    <t>$G$30</t>
  </si>
  <si>
    <t>$G$31</t>
  </si>
  <si>
    <t>$G$32</t>
  </si>
  <si>
    <t>$G$33</t>
  </si>
  <si>
    <t>$G$34</t>
  </si>
  <si>
    <t>$G$36</t>
  </si>
  <si>
    <t>$G$37</t>
  </si>
  <si>
    <t>$G$38</t>
  </si>
  <si>
    <t>$G$39</t>
  </si>
  <si>
    <t>$G$40</t>
  </si>
  <si>
    <t>$G$41</t>
  </si>
  <si>
    <t>$G$42</t>
  </si>
  <si>
    <t>$G$43</t>
  </si>
  <si>
    <t>$G$44</t>
  </si>
  <si>
    <t>$G$45</t>
  </si>
  <si>
    <t>$C$15</t>
  </si>
  <si>
    <t>$A$35</t>
  </si>
  <si>
    <t>$D$35</t>
  </si>
  <si>
    <t>$E$35</t>
  </si>
  <si>
    <t>$F$35</t>
  </si>
  <si>
    <t>$G$35</t>
  </si>
  <si>
    <t>$H$18:$I$18</t>
  </si>
  <si>
    <t>Valores Alterados</t>
  </si>
  <si>
    <t>$D$20:$G$34</t>
  </si>
  <si>
    <t>$D$36:$G$45</t>
  </si>
  <si>
    <t>Fechado</t>
  </si>
  <si>
    <t>Tempo</t>
  </si>
  <si>
    <t>$F$2</t>
  </si>
  <si>
    <t>$B$2</t>
  </si>
  <si>
    <t>Aberto</t>
  </si>
  <si>
    <t>$A$2</t>
  </si>
  <si>
    <t>$B$3</t>
  </si>
  <si>
    <t>$A$3</t>
  </si>
  <si>
    <t>$C$3</t>
  </si>
  <si>
    <t>$B$4</t>
  </si>
  <si>
    <t>$C$4</t>
  </si>
  <si>
    <t>$C$6:$C$15</t>
  </si>
  <si>
    <t>$A$20:$G$34</t>
  </si>
  <si>
    <t>$A$36:$G$45</t>
  </si>
  <si>
    <t>$A$4</t>
  </si>
  <si>
    <t>$B$5</t>
  </si>
  <si>
    <t>$A$5</t>
  </si>
  <si>
    <t>$A$6</t>
  </si>
  <si>
    <t>teste</t>
  </si>
  <si>
    <t>tess3</t>
  </si>
  <si>
    <t>teste 3</t>
  </si>
  <si>
    <t>teste 2</t>
  </si>
  <si>
    <t>$B$6</t>
  </si>
  <si>
    <t>$F$5</t>
  </si>
  <si>
    <t>ERRADA</t>
  </si>
  <si>
    <t>$F$4:$G$4</t>
  </si>
  <si>
    <t>$A$7</t>
  </si>
  <si>
    <t>$A$8</t>
  </si>
  <si>
    <t>$A$9</t>
  </si>
  <si>
    <t>$A$10</t>
  </si>
  <si>
    <t>$A$11</t>
  </si>
  <si>
    <t>$F$5:$G$5</t>
  </si>
  <si>
    <t>$C$6:$G$6</t>
  </si>
  <si>
    <t>$C$7:$G$7</t>
  </si>
  <si>
    <t>$C$8:$G$8</t>
  </si>
  <si>
    <t>$C$9:$G$9</t>
  </si>
  <si>
    <t>$C$13:$G$13</t>
  </si>
  <si>
    <t>$C$14:$D$14</t>
  </si>
  <si>
    <t>$C$6:$G$10</t>
  </si>
  <si>
    <t>$A$12</t>
  </si>
  <si>
    <t>AJUSTE</t>
  </si>
  <si>
    <t>$C$6:$G$13</t>
  </si>
  <si>
    <t>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</si>
</sst>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&quot;R$&quot;* #,##0.00_-;\-&quot;R$&quot;* #,##0.00_-;_-&quot;R$&quot;* &quot;-&quot;??_-;_-@_-"/>
    <numFmt numFmtId="165" formatCode="0.0"/>
    <numFmt numFmtId="166" formatCode=";;;"/>
    <numFmt numFmtId="167" formatCode="_-&quot;R$&quot;\ * #,##0.00000_-;\-&quot;R$&quot;\ * #,##0.00000_-;_-&quot;R$&quot;\ * &quot;-&quot;??_-;_-@_-"/>
    <numFmt numFmtId="168" formatCode="[$-416]d\ \ mmmm\,\ yyyy;@"/>
    <numFmt numFmtId="169" formatCode="_-&quot;R$&quot;\ * #,##0_-;\-&quot;R$&quot;\ * #,##0_-;_-&quot;R$&quot;\ * &quot;-&quot;??_-;_-@_-"/>
    <numFmt numFmtId="170" formatCode="0.0000"/>
    <numFmt numFmtId="171" formatCode="_-&quot;R$&quot;* #,##0.00000_-;\-&quot;R$&quot;* #,##0.00000_-;_-&quot;R$&quot;* &quot;-&quot;?????_-;_-@_-"/>
    <numFmt numFmtId="172" formatCode="[$-F400]h:mm:ss\ AM/PM"/>
    <numFmt numFmtId="173" formatCode="[h]:mm:ss;@"/>
  </numFmts>
  <fonts count="5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1"/>
      <name val="Geometr706 BlkCn BT"/>
      <family val="2"/>
    </font>
    <font>
      <b/>
      <sz val="12"/>
      <color theme="1"/>
      <name val="Calibri"/>
      <family val="2"/>
      <scheme val="minor"/>
    </font>
    <font>
      <sz val="12"/>
      <color theme="1"/>
      <name val="Featured Item"/>
    </font>
    <font>
      <b/>
      <sz val="11"/>
      <color theme="1"/>
      <name val="DoradoHeadline"/>
    </font>
    <font>
      <sz val="14"/>
      <color theme="1"/>
      <name val="Calibri"/>
      <family val="2"/>
      <scheme val="minor"/>
    </font>
    <font>
      <sz val="10"/>
      <color theme="1"/>
      <name val="Featured Item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3"/>
      <color theme="1"/>
      <name val="Geometr706 BlkCn BT"/>
      <family val="2"/>
    </font>
    <font>
      <sz val="13"/>
      <color theme="1"/>
      <name val="Franklin Gothic Demi"/>
      <family val="2"/>
    </font>
    <font>
      <sz val="12"/>
      <color theme="1"/>
      <name val="Calibri"/>
      <family val="2"/>
      <scheme val="minor"/>
    </font>
    <font>
      <b/>
      <i/>
      <sz val="11"/>
      <color theme="4" tint="0.399975585192419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4"/>
      <color rgb="FF000000"/>
      <name val="Courier New"/>
      <family val="3"/>
    </font>
    <font>
      <sz val="10"/>
      <color rgb="FF000000"/>
      <name val="Courier New"/>
      <family val="3"/>
    </font>
    <font>
      <b/>
      <sz val="9"/>
      <color rgb="FF000000"/>
      <name val="Courier New"/>
      <family val="3"/>
    </font>
    <font>
      <sz val="9"/>
      <color rgb="FF000000"/>
      <name val="Courier New"/>
      <family val="3"/>
    </font>
    <font>
      <sz val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FFFF0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9" tint="0.39997558519241921"/>
      <name val="Calibri"/>
      <family val="2"/>
      <scheme val="minor"/>
    </font>
    <font>
      <b/>
      <sz val="11"/>
      <color indexed="23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 tint="0.14999847407452621"/>
      </left>
      <right/>
      <top style="medium">
        <color theme="1" tint="0.14999847407452621"/>
      </top>
      <bottom style="medium">
        <color indexed="64"/>
      </bottom>
      <diagonal/>
    </border>
    <border>
      <left/>
      <right style="medium">
        <color indexed="64"/>
      </right>
      <top style="medium">
        <color theme="1" tint="0.14999847407452621"/>
      </top>
      <bottom style="medium">
        <color indexed="64"/>
      </bottom>
      <diagonal/>
    </border>
    <border>
      <left style="medium">
        <color indexed="64"/>
      </left>
      <right/>
      <top style="medium">
        <color theme="1" tint="0.14999847407452621"/>
      </top>
      <bottom style="medium">
        <color indexed="64"/>
      </bottom>
      <diagonal/>
    </border>
    <border>
      <left/>
      <right/>
      <top style="medium">
        <color theme="1" tint="0.14999847407452621"/>
      </top>
      <bottom style="medium">
        <color indexed="64"/>
      </bottom>
      <diagonal/>
    </border>
    <border>
      <left/>
      <right style="medium">
        <color theme="1" tint="0.14999847407452621"/>
      </right>
      <top style="medium">
        <color theme="1" tint="0.14999847407452621"/>
      </top>
      <bottom style="medium">
        <color indexed="64"/>
      </bottom>
      <diagonal/>
    </border>
    <border>
      <left style="medium">
        <color theme="1" tint="0.1499984740745262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 tint="0.14999847407452621"/>
      </right>
      <top style="medium">
        <color indexed="64"/>
      </top>
      <bottom style="thin">
        <color indexed="64"/>
      </bottom>
      <diagonal/>
    </border>
    <border>
      <left style="medium">
        <color theme="1" tint="0.14999847407452621"/>
      </left>
      <right/>
      <top/>
      <bottom style="medium">
        <color indexed="64"/>
      </bottom>
      <diagonal/>
    </border>
    <border>
      <left/>
      <right style="medium">
        <color theme="1" tint="0.14999847407452621"/>
      </right>
      <top/>
      <bottom style="thin">
        <color indexed="64"/>
      </bottom>
      <diagonal/>
    </border>
    <border>
      <left/>
      <right style="medium">
        <color theme="1" tint="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theme="1" tint="0.14999847407452621"/>
      </right>
      <top/>
      <bottom style="medium">
        <color indexed="64"/>
      </bottom>
      <diagonal/>
    </border>
    <border>
      <left/>
      <right style="medium">
        <color theme="1" tint="0.14999847407452621"/>
      </right>
      <top/>
      <bottom/>
      <diagonal/>
    </border>
    <border>
      <left style="medium">
        <color indexed="64"/>
      </left>
      <right style="medium">
        <color theme="1" tint="0.14999847407452621"/>
      </right>
      <top/>
      <bottom/>
      <diagonal/>
    </border>
    <border>
      <left/>
      <right style="medium">
        <color theme="1" tint="0.14999847407452621"/>
      </right>
      <top/>
      <bottom style="medium">
        <color indexed="64"/>
      </bottom>
      <diagonal/>
    </border>
    <border>
      <left style="medium">
        <color theme="1" tint="0.14999847407452621"/>
      </left>
      <right/>
      <top style="medium">
        <color indexed="64"/>
      </top>
      <bottom/>
      <diagonal/>
    </border>
    <border>
      <left style="medium">
        <color theme="1" tint="0.14999847407452621"/>
      </left>
      <right/>
      <top style="medium">
        <color indexed="64"/>
      </top>
      <bottom style="medium">
        <color theme="1" tint="0.14999847407452621"/>
      </bottom>
      <diagonal/>
    </border>
    <border>
      <left/>
      <right/>
      <top style="medium">
        <color indexed="64"/>
      </top>
      <bottom style="medium">
        <color theme="1" tint="0.14999847407452621"/>
      </bottom>
      <diagonal/>
    </border>
    <border>
      <left/>
      <right/>
      <top/>
      <bottom style="medium">
        <color theme="1" tint="0.14999847407452621"/>
      </bottom>
      <diagonal/>
    </border>
    <border>
      <left/>
      <right style="medium">
        <color theme="1" tint="0.14999847407452621"/>
      </right>
      <top/>
      <bottom style="medium">
        <color theme="1" tint="0.14999847407452621"/>
      </bottom>
      <diagonal/>
    </border>
    <border>
      <left style="medium">
        <color theme="1" tint="0.1499984740745262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1" tint="0.34998626667073579"/>
      </bottom>
      <diagonal/>
    </border>
    <border>
      <left style="thin">
        <color theme="0" tint="-0.14999847407452621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14999847407452621"/>
      </right>
      <top style="thin">
        <color theme="1" tint="0.34998626667073579"/>
      </top>
      <bottom style="thin">
        <color theme="1" tint="0.34998626667073579"/>
      </bottom>
      <diagonal/>
    </border>
  </borders>
  <cellStyleXfs count="11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2" fillId="8" borderId="0">
      <alignment horizontal="center" vertical="top"/>
    </xf>
    <xf numFmtId="0" fontId="33" fillId="8" borderId="0">
      <alignment horizontal="left" vertical="top"/>
    </xf>
    <xf numFmtId="0" fontId="34" fillId="8" borderId="0">
      <alignment horizontal="center" vertical="top"/>
    </xf>
    <xf numFmtId="0" fontId="35" fillId="8" borderId="0">
      <alignment horizontal="right" vertical="top"/>
    </xf>
    <xf numFmtId="0" fontId="35" fillId="8" borderId="0">
      <alignment horizontal="left" vertical="top"/>
    </xf>
    <xf numFmtId="0" fontId="35" fillId="8" borderId="0">
      <alignment horizontal="right" vertical="top"/>
    </xf>
    <xf numFmtId="0" fontId="33" fillId="8" borderId="0">
      <alignment horizontal="left" vertical="top"/>
    </xf>
    <xf numFmtId="0" fontId="33" fillId="8" borderId="0">
      <alignment horizontal="center" vertical="top"/>
    </xf>
  </cellStyleXfs>
  <cellXfs count="24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8" fillId="0" borderId="0" xfId="0" applyFont="1" applyProtection="1"/>
    <xf numFmtId="0" fontId="9" fillId="0" borderId="0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horizontal="left" vertical="center"/>
    </xf>
    <xf numFmtId="0" fontId="0" fillId="0" borderId="0" xfId="0"/>
    <xf numFmtId="0" fontId="0" fillId="0" borderId="0" xfId="0" applyNumberFormat="1"/>
    <xf numFmtId="0" fontId="0" fillId="0" borderId="0" xfId="0" applyFill="1" applyProtection="1"/>
    <xf numFmtId="3" fontId="5" fillId="0" borderId="0" xfId="0" applyNumberFormat="1" applyFont="1" applyBorder="1" applyAlignment="1" applyProtection="1">
      <alignment horizontal="right" vertical="center" shrinkToFit="1"/>
    </xf>
    <xf numFmtId="49" fontId="11" fillId="0" borderId="0" xfId="0" applyNumberFormat="1" applyFont="1" applyFill="1" applyBorder="1" applyProtection="1"/>
    <xf numFmtId="0" fontId="11" fillId="0" borderId="0" xfId="0" applyNumberFormat="1" applyFont="1" applyFill="1" applyBorder="1" applyAlignment="1" applyProtection="1">
      <alignment horizontal="center"/>
    </xf>
    <xf numFmtId="167" fontId="11" fillId="0" borderId="0" xfId="0" applyNumberFormat="1" applyFont="1" applyFill="1" applyBorder="1" applyProtection="1"/>
    <xf numFmtId="164" fontId="10" fillId="0" borderId="0" xfId="0" applyNumberFormat="1" applyFont="1" applyFill="1" applyBorder="1" applyProtection="1"/>
    <xf numFmtId="0" fontId="10" fillId="0" borderId="0" xfId="0" applyNumberFormat="1" applyFont="1" applyFill="1" applyBorder="1" applyProtection="1"/>
    <xf numFmtId="49" fontId="15" fillId="0" borderId="0" xfId="0" applyNumberFormat="1" applyFont="1" applyFill="1" applyBorder="1" applyProtection="1"/>
    <xf numFmtId="0" fontId="15" fillId="0" borderId="0" xfId="0" applyNumberFormat="1" applyFont="1" applyFill="1" applyBorder="1" applyAlignment="1" applyProtection="1">
      <alignment horizontal="center"/>
    </xf>
    <xf numFmtId="0" fontId="15" fillId="0" borderId="0" xfId="0" applyNumberFormat="1" applyFont="1" applyFill="1" applyBorder="1" applyProtection="1"/>
    <xf numFmtId="0" fontId="14" fillId="0" borderId="0" xfId="0" applyNumberFormat="1" applyFont="1" applyFill="1" applyBorder="1" applyAlignment="1" applyProtection="1"/>
    <xf numFmtId="0" fontId="16" fillId="0" borderId="0" xfId="0" applyNumberFormat="1" applyFont="1" applyFill="1" applyBorder="1" applyProtection="1"/>
    <xf numFmtId="49" fontId="10" fillId="0" borderId="0" xfId="0" applyNumberFormat="1" applyFont="1" applyFill="1" applyBorder="1" applyProtection="1"/>
    <xf numFmtId="0" fontId="10" fillId="0" borderId="0" xfId="0" applyNumberFormat="1" applyFont="1" applyFill="1" applyBorder="1" applyAlignment="1" applyProtection="1">
      <alignment horizontal="center"/>
    </xf>
    <xf numFmtId="9" fontId="10" fillId="0" borderId="0" xfId="2" applyFont="1" applyFill="1" applyBorder="1" applyProtection="1"/>
    <xf numFmtId="0" fontId="11" fillId="0" borderId="0" xfId="0" applyNumberFormat="1" applyFont="1" applyFill="1" applyAlignment="1" applyProtection="1">
      <alignment horizontal="justify" vertical="justify"/>
    </xf>
    <xf numFmtId="164" fontId="10" fillId="0" borderId="0" xfId="0" applyNumberFormat="1" applyFont="1" applyFill="1" applyAlignment="1" applyProtection="1">
      <alignment horizontal="left" vertical="top"/>
    </xf>
    <xf numFmtId="165" fontId="10" fillId="0" borderId="0" xfId="0" applyNumberFormat="1" applyFont="1" applyFill="1" applyBorder="1" applyAlignment="1" applyProtection="1">
      <alignment horizontal="center"/>
    </xf>
    <xf numFmtId="164" fontId="10" fillId="0" borderId="0" xfId="1" applyFont="1" applyFill="1" applyBorder="1" applyProtection="1"/>
    <xf numFmtId="171" fontId="10" fillId="0" borderId="0" xfId="0" applyNumberFormat="1" applyFont="1" applyFill="1" applyBorder="1" applyProtection="1"/>
    <xf numFmtId="170" fontId="10" fillId="0" borderId="0" xfId="0" applyNumberFormat="1" applyFont="1" applyFill="1" applyBorder="1" applyProtection="1"/>
    <xf numFmtId="49" fontId="17" fillId="0" borderId="0" xfId="0" applyNumberFormat="1" applyFont="1" applyFill="1" applyBorder="1" applyProtection="1"/>
    <xf numFmtId="9" fontId="10" fillId="0" borderId="0" xfId="2" applyFont="1" applyFill="1" applyBorder="1" applyAlignment="1" applyProtection="1">
      <alignment horizontal="center"/>
    </xf>
    <xf numFmtId="49" fontId="10" fillId="0" borderId="0" xfId="0" applyNumberFormat="1" applyFont="1" applyFill="1" applyBorder="1" applyAlignment="1" applyProtection="1">
      <alignment horizontal="center"/>
    </xf>
    <xf numFmtId="167" fontId="10" fillId="0" borderId="0" xfId="0" applyNumberFormat="1" applyFont="1" applyFill="1" applyBorder="1" applyProtection="1"/>
    <xf numFmtId="169" fontId="10" fillId="0" borderId="0" xfId="0" applyNumberFormat="1" applyFont="1" applyFill="1" applyBorder="1" applyProtection="1"/>
    <xf numFmtId="0" fontId="10" fillId="0" borderId="0" xfId="0" applyNumberFormat="1" applyFont="1" applyFill="1" applyBorder="1" applyAlignment="1" applyProtection="1"/>
    <xf numFmtId="167" fontId="10" fillId="0" borderId="0" xfId="0" applyNumberFormat="1" applyFont="1" applyFill="1" applyBorder="1" applyAlignment="1" applyProtection="1"/>
    <xf numFmtId="1" fontId="10" fillId="0" borderId="0" xfId="0" applyNumberFormat="1" applyFont="1" applyFill="1" applyBorder="1" applyAlignment="1" applyProtection="1">
      <alignment horizontal="right" vertical="center" wrapText="1"/>
    </xf>
    <xf numFmtId="1" fontId="10" fillId="0" borderId="0" xfId="0" applyNumberFormat="1" applyFont="1" applyFill="1" applyBorder="1" applyProtection="1"/>
    <xf numFmtId="1" fontId="10" fillId="0" borderId="0" xfId="0" applyNumberFormat="1" applyFont="1" applyFill="1" applyBorder="1" applyAlignment="1" applyProtection="1"/>
    <xf numFmtId="49" fontId="10" fillId="0" borderId="0" xfId="0" applyNumberFormat="1" applyFont="1" applyFill="1" applyBorder="1" applyAlignment="1" applyProtection="1">
      <alignment horizontal="left"/>
    </xf>
    <xf numFmtId="0" fontId="10" fillId="0" borderId="0" xfId="0" applyNumberFormat="1" applyFont="1" applyFill="1" applyBorder="1" applyAlignment="1" applyProtection="1">
      <alignment horizontal="center" vertical="center"/>
    </xf>
    <xf numFmtId="165" fontId="10" fillId="0" borderId="0" xfId="0" applyNumberFormat="1" applyFont="1" applyFill="1" applyBorder="1" applyProtection="1"/>
    <xf numFmtId="3" fontId="10" fillId="0" borderId="0" xfId="0" applyNumberFormat="1" applyFont="1" applyFill="1" applyBorder="1" applyProtection="1"/>
    <xf numFmtId="172" fontId="10" fillId="0" borderId="0" xfId="0" applyNumberFormat="1" applyFont="1" applyFill="1" applyBorder="1" applyProtection="1"/>
    <xf numFmtId="172" fontId="0" fillId="0" borderId="0" xfId="0" applyNumberFormat="1"/>
    <xf numFmtId="0" fontId="18" fillId="6" borderId="0" xfId="0" applyFont="1" applyFill="1" applyProtection="1"/>
    <xf numFmtId="172" fontId="18" fillId="6" borderId="0" xfId="0" applyNumberFormat="1" applyFont="1" applyFill="1" applyProtection="1"/>
    <xf numFmtId="22" fontId="0" fillId="0" borderId="0" xfId="0" applyNumberFormat="1" applyProtection="1"/>
    <xf numFmtId="172" fontId="0" fillId="0" borderId="0" xfId="0" applyNumberFormat="1" applyProtection="1"/>
    <xf numFmtId="172" fontId="22" fillId="0" borderId="0" xfId="0" applyNumberFormat="1" applyFont="1" applyProtection="1"/>
    <xf numFmtId="0" fontId="10" fillId="0" borderId="0" xfId="0" applyNumberFormat="1" applyFont="1" applyFill="1" applyBorder="1" applyAlignment="1" applyProtection="1">
      <alignment horizontal="center"/>
    </xf>
    <xf numFmtId="164" fontId="0" fillId="0" borderId="0" xfId="1" applyFont="1" applyProtection="1"/>
    <xf numFmtId="2" fontId="0" fillId="0" borderId="0" xfId="0" applyNumberFormat="1"/>
    <xf numFmtId="0" fontId="13" fillId="3" borderId="0" xfId="0" applyFont="1" applyFill="1" applyBorder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center"/>
    </xf>
    <xf numFmtId="164" fontId="10" fillId="0" borderId="0" xfId="0" applyNumberFormat="1" applyFont="1" applyFill="1" applyBorder="1" applyAlignment="1" applyProtection="1">
      <alignment horizontal="center"/>
    </xf>
    <xf numFmtId="0" fontId="9" fillId="0" borderId="22" xfId="0" applyFont="1" applyBorder="1" applyAlignment="1" applyProtection="1">
      <alignment vertical="center"/>
    </xf>
    <xf numFmtId="0" fontId="9" fillId="0" borderId="23" xfId="0" applyFont="1" applyBorder="1" applyAlignment="1" applyProtection="1">
      <alignment vertical="center"/>
    </xf>
    <xf numFmtId="0" fontId="0" fillId="3" borderId="0" xfId="0" applyFill="1"/>
    <xf numFmtId="0" fontId="1" fillId="3" borderId="24" xfId="0" applyFont="1" applyFill="1" applyBorder="1"/>
    <xf numFmtId="22" fontId="0" fillId="0" borderId="0" xfId="0" applyNumberFormat="1"/>
    <xf numFmtId="0" fontId="6" fillId="0" borderId="0" xfId="0" applyFont="1" applyBorder="1" applyAlignment="1" applyProtection="1">
      <alignment vertical="center"/>
    </xf>
    <xf numFmtId="14" fontId="2" fillId="0" borderId="0" xfId="0" applyNumberFormat="1" applyFont="1" applyBorder="1" applyAlignment="1" applyProtection="1">
      <alignment horizontal="center" vertical="center"/>
    </xf>
    <xf numFmtId="166" fontId="3" fillId="3" borderId="20" xfId="0" applyNumberFormat="1" applyFont="1" applyFill="1" applyBorder="1" applyAlignment="1" applyProtection="1">
      <protection hidden="1"/>
    </xf>
    <xf numFmtId="166" fontId="3" fillId="3" borderId="17" xfId="0" applyNumberFormat="1" applyFont="1" applyFill="1" applyBorder="1" applyAlignment="1" applyProtection="1">
      <protection hidden="1"/>
    </xf>
    <xf numFmtId="0" fontId="1" fillId="0" borderId="0" xfId="0" applyFont="1" applyFill="1" applyBorder="1" applyProtection="1"/>
    <xf numFmtId="2" fontId="10" fillId="0" borderId="0" xfId="0" applyNumberFormat="1" applyFont="1" applyFill="1" applyBorder="1" applyProtection="1"/>
    <xf numFmtId="0" fontId="14" fillId="0" borderId="0" xfId="0" applyNumberFormat="1" applyFont="1" applyFill="1" applyBorder="1" applyAlignment="1" applyProtection="1">
      <alignment horizontal="center" vertical="center" wrapText="1"/>
    </xf>
    <xf numFmtId="1" fontId="10" fillId="0" borderId="0" xfId="0" applyNumberFormat="1" applyFont="1" applyFill="1" applyAlignment="1" applyProtection="1">
      <alignment horizontal="right" vertical="top"/>
    </xf>
    <xf numFmtId="165" fontId="23" fillId="3" borderId="13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vertical="center"/>
    </xf>
    <xf numFmtId="2" fontId="0" fillId="0" borderId="0" xfId="0" applyNumberFormat="1" applyFill="1" applyBorder="1" applyProtection="1"/>
    <xf numFmtId="0" fontId="1" fillId="0" borderId="0" xfId="0" applyFont="1"/>
    <xf numFmtId="0" fontId="18" fillId="0" borderId="0" xfId="0" applyFont="1"/>
    <xf numFmtId="165" fontId="10" fillId="0" borderId="0" xfId="0" applyNumberFormat="1" applyFont="1" applyFill="1" applyAlignment="1" applyProtection="1">
      <alignment horizontal="right" vertical="top"/>
    </xf>
    <xf numFmtId="0" fontId="36" fillId="0" borderId="0" xfId="0" applyNumberFormat="1" applyFont="1" applyFill="1" applyBorder="1" applyAlignment="1" applyProtection="1">
      <alignment horizontal="center" vertical="center" wrapText="1"/>
    </xf>
    <xf numFmtId="0" fontId="36" fillId="0" borderId="0" xfId="0" applyNumberFormat="1" applyFont="1" applyFill="1" applyBorder="1" applyAlignment="1" applyProtection="1">
      <alignment horizontal="center" vertical="center"/>
    </xf>
    <xf numFmtId="22" fontId="10" fillId="0" borderId="0" xfId="0" applyNumberFormat="1" applyFont="1"/>
    <xf numFmtId="0" fontId="10" fillId="0" borderId="0" xfId="0" applyFont="1"/>
    <xf numFmtId="172" fontId="10" fillId="0" borderId="0" xfId="0" applyNumberFormat="1" applyFont="1"/>
    <xf numFmtId="173" fontId="10" fillId="0" borderId="0" xfId="0" applyNumberFormat="1" applyFont="1"/>
    <xf numFmtId="0" fontId="10" fillId="0" borderId="0" xfId="0" applyNumberFormat="1" applyFont="1"/>
    <xf numFmtId="165" fontId="39" fillId="9" borderId="5" xfId="0" applyNumberFormat="1" applyFont="1" applyFill="1" applyBorder="1" applyProtection="1"/>
    <xf numFmtId="0" fontId="40" fillId="9" borderId="26" xfId="0" applyFont="1" applyFill="1" applyBorder="1" applyAlignment="1" applyProtection="1">
      <alignment horizontal="center" vertical="center"/>
    </xf>
    <xf numFmtId="165" fontId="39" fillId="9" borderId="21" xfId="0" applyNumberFormat="1" applyFont="1" applyFill="1" applyBorder="1" applyProtection="1"/>
    <xf numFmtId="0" fontId="0" fillId="0" borderId="0" xfId="0" applyNumberFormat="1" applyFill="1" applyProtection="1"/>
    <xf numFmtId="0" fontId="0" fillId="0" borderId="0" xfId="0" applyNumberFormat="1" applyFill="1" applyBorder="1" applyProtection="1"/>
    <xf numFmtId="0" fontId="41" fillId="3" borderId="8" xfId="0" applyFont="1" applyFill="1" applyBorder="1" applyAlignment="1" applyProtection="1">
      <alignment horizontal="center" vertical="center"/>
    </xf>
    <xf numFmtId="0" fontId="31" fillId="3" borderId="12" xfId="0" applyFont="1" applyFill="1" applyBorder="1" applyAlignment="1" applyProtection="1">
      <alignment horizontal="center" wrapText="1"/>
    </xf>
    <xf numFmtId="0" fontId="11" fillId="10" borderId="0" xfId="0" applyNumberFormat="1" applyFont="1" applyFill="1" applyAlignment="1" applyProtection="1">
      <alignment horizontal="center" vertical="justify"/>
    </xf>
    <xf numFmtId="0" fontId="11" fillId="11" borderId="0" xfId="0" applyNumberFormat="1" applyFont="1" applyFill="1" applyAlignment="1" applyProtection="1">
      <alignment horizontal="center" vertical="justify"/>
    </xf>
    <xf numFmtId="0" fontId="10" fillId="12" borderId="0" xfId="0" applyNumberFormat="1" applyFont="1" applyFill="1" applyBorder="1" applyAlignment="1" applyProtection="1">
      <alignment horizontal="center"/>
    </xf>
    <xf numFmtId="0" fontId="10" fillId="13" borderId="0" xfId="0" applyNumberFormat="1" applyFont="1" applyFill="1" applyBorder="1" applyAlignment="1" applyProtection="1">
      <alignment horizontal="center"/>
    </xf>
    <xf numFmtId="165" fontId="18" fillId="14" borderId="0" xfId="0" applyNumberFormat="1" applyFont="1" applyFill="1" applyBorder="1" applyAlignment="1" applyProtection="1">
      <alignment horizontal="center"/>
    </xf>
    <xf numFmtId="0" fontId="11" fillId="10" borderId="22" xfId="0" applyNumberFormat="1" applyFont="1" applyFill="1" applyBorder="1" applyAlignment="1" applyProtection="1">
      <alignment horizontal="center" vertical="center"/>
    </xf>
    <xf numFmtId="0" fontId="38" fillId="11" borderId="22" xfId="0" applyNumberFormat="1" applyFont="1" applyFill="1" applyBorder="1" applyAlignment="1" applyProtection="1">
      <alignment horizontal="justify"/>
    </xf>
    <xf numFmtId="0" fontId="38" fillId="12" borderId="22" xfId="0" applyNumberFormat="1" applyFont="1" applyFill="1" applyBorder="1" applyAlignment="1" applyProtection="1">
      <alignment horizontal="justify"/>
    </xf>
    <xf numFmtId="0" fontId="38" fillId="13" borderId="22" xfId="0" applyNumberFormat="1" applyFont="1" applyFill="1" applyBorder="1" applyAlignment="1" applyProtection="1">
      <alignment horizontal="justify"/>
    </xf>
    <xf numFmtId="0" fontId="43" fillId="14" borderId="22" xfId="0" applyNumberFormat="1" applyFont="1" applyFill="1" applyBorder="1" applyAlignment="1" applyProtection="1">
      <alignment horizontal="justify"/>
    </xf>
    <xf numFmtId="0" fontId="10" fillId="3" borderId="0" xfId="0" applyNumberFormat="1" applyFont="1" applyFill="1" applyProtection="1"/>
    <xf numFmtId="0" fontId="0" fillId="3" borderId="0" xfId="0" applyNumberFormat="1" applyFill="1" applyProtection="1"/>
    <xf numFmtId="0" fontId="10" fillId="3" borderId="0" xfId="0" applyNumberFormat="1" applyFont="1" applyFill="1" applyAlignment="1" applyProtection="1">
      <alignment vertical="center"/>
    </xf>
    <xf numFmtId="0" fontId="0" fillId="3" borderId="0" xfId="0" applyFill="1" applyProtection="1"/>
    <xf numFmtId="0" fontId="0" fillId="3" borderId="0" xfId="0" applyFill="1" applyAlignment="1" applyProtection="1">
      <alignment vertical="center"/>
    </xf>
    <xf numFmtId="1" fontId="0" fillId="3" borderId="0" xfId="0" applyNumberFormat="1" applyFill="1" applyAlignment="1" applyProtection="1">
      <alignment vertical="center"/>
    </xf>
    <xf numFmtId="0" fontId="44" fillId="4" borderId="27" xfId="0" applyFont="1" applyFill="1" applyBorder="1" applyAlignment="1" applyProtection="1"/>
    <xf numFmtId="0" fontId="45" fillId="4" borderId="28" xfId="0" applyFont="1" applyFill="1" applyBorder="1" applyAlignment="1" applyProtection="1"/>
    <xf numFmtId="0" fontId="29" fillId="3" borderId="17" xfId="0" applyNumberFormat="1" applyFont="1" applyFill="1" applyBorder="1" applyAlignment="1" applyProtection="1">
      <alignment horizontal="center" vertical="center"/>
    </xf>
    <xf numFmtId="0" fontId="21" fillId="3" borderId="17" xfId="0" applyNumberFormat="1" applyFont="1" applyFill="1" applyBorder="1" applyAlignment="1" applyProtection="1">
      <alignment horizontal="center" vertical="center"/>
    </xf>
    <xf numFmtId="0" fontId="41" fillId="4" borderId="35" xfId="0" applyFont="1" applyFill="1" applyBorder="1" applyAlignment="1" applyProtection="1">
      <alignment horizontal="right"/>
    </xf>
    <xf numFmtId="0" fontId="19" fillId="3" borderId="39" xfId="0" applyNumberFormat="1" applyFont="1" applyFill="1" applyBorder="1" applyAlignment="1" applyProtection="1">
      <alignment vertical="center"/>
    </xf>
    <xf numFmtId="0" fontId="31" fillId="3" borderId="41" xfId="0" applyFont="1" applyFill="1" applyBorder="1" applyAlignment="1" applyProtection="1">
      <alignment horizontal="center" wrapText="1"/>
    </xf>
    <xf numFmtId="164" fontId="18" fillId="15" borderId="0" xfId="1" applyFont="1" applyFill="1" applyBorder="1" applyProtection="1"/>
    <xf numFmtId="0" fontId="18" fillId="15" borderId="22" xfId="0" applyNumberFormat="1" applyFont="1" applyFill="1" applyBorder="1" applyProtection="1"/>
    <xf numFmtId="0" fontId="40" fillId="9" borderId="22" xfId="0" applyFont="1" applyFill="1" applyBorder="1" applyAlignment="1" applyProtection="1">
      <alignment horizontal="center" vertical="center"/>
    </xf>
    <xf numFmtId="0" fontId="40" fillId="9" borderId="18" xfId="0" applyFont="1" applyFill="1" applyBorder="1" applyAlignment="1" applyProtection="1">
      <alignment horizontal="center" vertical="center"/>
    </xf>
    <xf numFmtId="0" fontId="1" fillId="4" borderId="37" xfId="0" applyFont="1" applyFill="1" applyBorder="1" applyAlignment="1" applyProtection="1">
      <alignment horizontal="right"/>
    </xf>
    <xf numFmtId="0" fontId="47" fillId="4" borderId="37" xfId="0" applyFont="1" applyFill="1" applyBorder="1" applyAlignment="1" applyProtection="1">
      <alignment horizontal="right"/>
    </xf>
    <xf numFmtId="0" fontId="48" fillId="7" borderId="4" xfId="0" applyFont="1" applyFill="1" applyBorder="1" applyAlignment="1" applyProtection="1"/>
    <xf numFmtId="3" fontId="48" fillId="4" borderId="3" xfId="0" applyNumberFormat="1" applyFont="1" applyFill="1" applyBorder="1" applyAlignment="1" applyProtection="1"/>
    <xf numFmtId="0" fontId="48" fillId="4" borderId="4" xfId="0" applyFont="1" applyFill="1" applyBorder="1" applyAlignment="1" applyProtection="1"/>
    <xf numFmtId="0" fontId="10" fillId="3" borderId="0" xfId="0" applyFont="1" applyFill="1" applyBorder="1" applyProtection="1"/>
    <xf numFmtId="0" fontId="0" fillId="3" borderId="0" xfId="0" applyNumberFormat="1" applyFont="1" applyFill="1" applyProtection="1"/>
    <xf numFmtId="0" fontId="2" fillId="3" borderId="0" xfId="0" applyFont="1" applyFill="1" applyBorder="1" applyProtection="1"/>
    <xf numFmtId="0" fontId="2" fillId="3" borderId="0" xfId="0" applyNumberFormat="1" applyFont="1" applyFill="1" applyBorder="1" applyAlignment="1" applyProtection="1">
      <alignment vertical="center"/>
    </xf>
    <xf numFmtId="0" fontId="0" fillId="3" borderId="0" xfId="0" applyFont="1" applyFill="1" applyBorder="1" applyProtection="1"/>
    <xf numFmtId="0" fontId="2" fillId="3" borderId="0" xfId="0" applyNumberFormat="1" applyFont="1" applyFill="1" applyBorder="1" applyProtection="1"/>
    <xf numFmtId="0" fontId="11" fillId="3" borderId="8" xfId="0" applyFont="1" applyFill="1" applyBorder="1" applyAlignment="1" applyProtection="1">
      <alignment horizontal="center"/>
    </xf>
    <xf numFmtId="49" fontId="49" fillId="3" borderId="7" xfId="0" applyNumberFormat="1" applyFont="1" applyFill="1" applyBorder="1" applyAlignment="1" applyProtection="1">
      <alignment horizontal="center"/>
    </xf>
    <xf numFmtId="164" fontId="3" fillId="3" borderId="9" xfId="0" applyNumberFormat="1" applyFont="1" applyFill="1" applyBorder="1" applyAlignment="1" applyProtection="1"/>
    <xf numFmtId="164" fontId="11" fillId="3" borderId="32" xfId="0" applyNumberFormat="1" applyFont="1" applyFill="1" applyBorder="1" applyAlignment="1" applyProtection="1"/>
    <xf numFmtId="164" fontId="3" fillId="3" borderId="33" xfId="0" applyNumberFormat="1" applyFont="1" applyFill="1" applyBorder="1" applyAlignment="1" applyProtection="1"/>
    <xf numFmtId="10" fontId="3" fillId="3" borderId="9" xfId="2" applyNumberFormat="1" applyFont="1" applyFill="1" applyBorder="1" applyAlignment="1" applyProtection="1">
      <alignment vertical="center"/>
    </xf>
    <xf numFmtId="164" fontId="3" fillId="3" borderId="20" xfId="0" applyNumberFormat="1" applyFont="1" applyFill="1" applyBorder="1" applyAlignment="1" applyProtection="1">
      <protection locked="0"/>
    </xf>
    <xf numFmtId="0" fontId="11" fillId="0" borderId="0" xfId="0" applyFont="1"/>
    <xf numFmtId="0" fontId="11" fillId="0" borderId="0" xfId="0" applyNumberFormat="1" applyFont="1"/>
    <xf numFmtId="49" fontId="10" fillId="0" borderId="0" xfId="0" applyNumberFormat="1" applyFont="1"/>
    <xf numFmtId="0" fontId="53" fillId="0" borderId="20" xfId="0" applyNumberFormat="1" applyFont="1" applyFill="1" applyBorder="1" applyAlignment="1" applyProtection="1">
      <alignment horizontal="center"/>
    </xf>
    <xf numFmtId="0" fontId="53" fillId="0" borderId="1" xfId="0" applyNumberFormat="1" applyFont="1" applyFill="1" applyBorder="1" applyAlignment="1" applyProtection="1">
      <alignment horizontal="center" vertical="center"/>
    </xf>
    <xf numFmtId="165" fontId="11" fillId="0" borderId="50" xfId="0" applyNumberFormat="1" applyFont="1" applyFill="1" applyBorder="1" applyAlignment="1" applyProtection="1">
      <alignment horizontal="center" vertical="center"/>
      <protection locked="0"/>
    </xf>
    <xf numFmtId="0" fontId="1" fillId="3" borderId="18" xfId="0" applyFont="1" applyFill="1" applyBorder="1" applyAlignment="1" applyProtection="1">
      <alignment horizontal="center"/>
    </xf>
    <xf numFmtId="0" fontId="1" fillId="3" borderId="19" xfId="0" applyFont="1" applyFill="1" applyBorder="1" applyAlignment="1" applyProtection="1">
      <alignment horizontal="center"/>
    </xf>
    <xf numFmtId="0" fontId="1" fillId="3" borderId="46" xfId="0" applyFont="1" applyFill="1" applyBorder="1" applyAlignment="1" applyProtection="1">
      <alignment horizontal="center" vertical="center" wrapText="1"/>
    </xf>
    <xf numFmtId="0" fontId="0" fillId="3" borderId="47" xfId="0" applyFont="1" applyFill="1" applyBorder="1" applyProtection="1"/>
    <xf numFmtId="0" fontId="53" fillId="0" borderId="13" xfId="0" applyNumberFormat="1" applyFont="1" applyFill="1" applyBorder="1" applyAlignment="1" applyProtection="1">
      <alignment horizontal="left"/>
      <protection locked="0"/>
    </xf>
    <xf numFmtId="0" fontId="53" fillId="0" borderId="10" xfId="0" applyNumberFormat="1" applyFont="1" applyFill="1" applyBorder="1" applyAlignment="1" applyProtection="1">
      <alignment horizontal="left"/>
      <protection locked="0"/>
    </xf>
    <xf numFmtId="0" fontId="53" fillId="0" borderId="11" xfId="0" applyNumberFormat="1" applyFont="1" applyFill="1" applyBorder="1" applyAlignment="1" applyProtection="1">
      <alignment horizontal="left"/>
      <protection locked="0"/>
    </xf>
    <xf numFmtId="0" fontId="53" fillId="0" borderId="2" xfId="0" applyFont="1" applyFill="1" applyBorder="1" applyAlignment="1" applyProtection="1">
      <alignment horizontal="left"/>
      <protection locked="0"/>
    </xf>
    <xf numFmtId="0" fontId="53" fillId="0" borderId="3" xfId="0" applyFont="1" applyFill="1" applyBorder="1" applyAlignment="1" applyProtection="1">
      <alignment horizontal="left"/>
      <protection locked="0"/>
    </xf>
    <xf numFmtId="0" fontId="53" fillId="0" borderId="4" xfId="0" applyFont="1" applyFill="1" applyBorder="1" applyAlignment="1" applyProtection="1">
      <alignment horizontal="left"/>
      <protection locked="0"/>
    </xf>
    <xf numFmtId="0" fontId="54" fillId="0" borderId="2" xfId="0" applyFont="1" applyFill="1" applyBorder="1" applyAlignment="1" applyProtection="1">
      <alignment horizontal="left" vertical="center"/>
      <protection locked="0"/>
    </xf>
    <xf numFmtId="0" fontId="54" fillId="0" borderId="3" xfId="0" applyFont="1" applyFill="1" applyBorder="1" applyAlignment="1" applyProtection="1">
      <alignment horizontal="left" vertical="center"/>
      <protection locked="0"/>
    </xf>
    <xf numFmtId="0" fontId="54" fillId="0" borderId="4" xfId="0" applyFont="1" applyFill="1" applyBorder="1" applyAlignment="1" applyProtection="1">
      <alignment horizontal="left" vertical="center"/>
      <protection locked="0"/>
    </xf>
    <xf numFmtId="0" fontId="53" fillId="0" borderId="2" xfId="0" applyNumberFormat="1" applyFont="1" applyFill="1" applyBorder="1" applyAlignment="1" applyProtection="1">
      <alignment horizontal="center"/>
    </xf>
    <xf numFmtId="0" fontId="53" fillId="0" borderId="3" xfId="0" applyNumberFormat="1" applyFont="1" applyFill="1" applyBorder="1" applyAlignment="1" applyProtection="1">
      <alignment horizontal="center"/>
    </xf>
    <xf numFmtId="0" fontId="53" fillId="0" borderId="4" xfId="0" applyNumberFormat="1" applyFont="1" applyFill="1" applyBorder="1" applyAlignment="1" applyProtection="1">
      <alignment horizontal="center"/>
    </xf>
    <xf numFmtId="0" fontId="46" fillId="4" borderId="12" xfId="0" applyFont="1" applyFill="1" applyBorder="1" applyAlignment="1" applyProtection="1">
      <alignment horizontal="center" wrapText="1"/>
    </xf>
    <xf numFmtId="0" fontId="46" fillId="4" borderId="40" xfId="0" applyFont="1" applyFill="1" applyBorder="1" applyAlignment="1" applyProtection="1">
      <alignment horizontal="center" wrapText="1"/>
    </xf>
    <xf numFmtId="164" fontId="30" fillId="4" borderId="13" xfId="1" applyFont="1" applyFill="1" applyBorder="1" applyAlignment="1" applyProtection="1">
      <alignment horizontal="center"/>
    </xf>
    <xf numFmtId="164" fontId="30" fillId="4" borderId="42" xfId="1" applyFont="1" applyFill="1" applyBorder="1" applyAlignment="1" applyProtection="1">
      <alignment horizontal="center"/>
    </xf>
    <xf numFmtId="0" fontId="2" fillId="0" borderId="46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 vertical="center" wrapText="1"/>
    </xf>
    <xf numFmtId="0" fontId="13" fillId="3" borderId="38" xfId="0" applyFont="1" applyFill="1" applyBorder="1" applyAlignment="1" applyProtection="1">
      <alignment horizontal="center" vertical="center" wrapText="1"/>
    </xf>
    <xf numFmtId="0" fontId="13" fillId="3" borderId="12" xfId="0" applyFont="1" applyFill="1" applyBorder="1" applyAlignment="1" applyProtection="1">
      <alignment horizontal="center" vertical="center" wrapText="1"/>
    </xf>
    <xf numFmtId="0" fontId="13" fillId="3" borderId="40" xfId="0" applyFont="1" applyFill="1" applyBorder="1" applyAlignment="1" applyProtection="1">
      <alignment horizontal="center" vertical="center" wrapText="1"/>
    </xf>
    <xf numFmtId="0" fontId="19" fillId="3" borderId="6" xfId="0" applyFont="1" applyFill="1" applyBorder="1" applyAlignment="1" applyProtection="1">
      <alignment horizontal="center" vertical="center"/>
    </xf>
    <xf numFmtId="0" fontId="19" fillId="3" borderId="38" xfId="0" applyFont="1" applyFill="1" applyBorder="1" applyAlignment="1" applyProtection="1">
      <alignment horizontal="center" vertical="center"/>
    </xf>
    <xf numFmtId="0" fontId="54" fillId="0" borderId="2" xfId="0" applyFont="1" applyFill="1" applyBorder="1" applyAlignment="1" applyProtection="1">
      <alignment horizontal="left"/>
      <protection locked="0"/>
    </xf>
    <xf numFmtId="0" fontId="54" fillId="0" borderId="3" xfId="0" applyFont="1" applyFill="1" applyBorder="1" applyAlignment="1" applyProtection="1">
      <alignment horizontal="left"/>
      <protection locked="0"/>
    </xf>
    <xf numFmtId="0" fontId="54" fillId="0" borderId="4" xfId="0" applyFont="1" applyFill="1" applyBorder="1" applyAlignment="1" applyProtection="1">
      <alignment horizontal="left"/>
      <protection locked="0"/>
    </xf>
    <xf numFmtId="0" fontId="53" fillId="0" borderId="2" xfId="0" applyFont="1" applyFill="1" applyBorder="1" applyAlignment="1" applyProtection="1">
      <alignment horizontal="center" vertical="center"/>
      <protection locked="0"/>
    </xf>
    <xf numFmtId="0" fontId="53" fillId="0" borderId="3" xfId="0" applyFont="1" applyFill="1" applyBorder="1" applyAlignment="1" applyProtection="1">
      <alignment horizontal="center" vertical="center"/>
      <protection locked="0"/>
    </xf>
    <xf numFmtId="0" fontId="53" fillId="0" borderId="4" xfId="0" applyFont="1" applyFill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top" wrapText="1"/>
    </xf>
    <xf numFmtId="0" fontId="0" fillId="0" borderId="38" xfId="0" applyBorder="1" applyProtection="1"/>
    <xf numFmtId="0" fontId="0" fillId="0" borderId="12" xfId="0" applyBorder="1" applyProtection="1"/>
    <xf numFmtId="0" fontId="0" fillId="0" borderId="40" xfId="0" applyBorder="1" applyProtection="1"/>
    <xf numFmtId="0" fontId="0" fillId="3" borderId="14" xfId="0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/>
    </xf>
    <xf numFmtId="49" fontId="11" fillId="5" borderId="50" xfId="0" applyNumberFormat="1" applyFont="1" applyFill="1" applyBorder="1" applyAlignment="1" applyProtection="1">
      <alignment horizontal="center" vertical="center"/>
      <protection locked="0"/>
    </xf>
    <xf numFmtId="49" fontId="11" fillId="5" borderId="51" xfId="0" applyNumberFormat="1" applyFont="1" applyFill="1" applyBorder="1" applyAlignment="1" applyProtection="1">
      <alignment horizontal="center" vertical="center"/>
      <protection locked="0"/>
    </xf>
    <xf numFmtId="49" fontId="11" fillId="5" borderId="52" xfId="0" applyNumberFormat="1" applyFont="1" applyFill="1" applyBorder="1" applyAlignment="1" applyProtection="1">
      <alignment horizontal="center" vertical="center"/>
      <protection locked="0"/>
    </xf>
    <xf numFmtId="0" fontId="42" fillId="3" borderId="7" xfId="0" applyFont="1" applyFill="1" applyBorder="1" applyAlignment="1" applyProtection="1">
      <alignment horizontal="center" wrapText="1"/>
    </xf>
    <xf numFmtId="0" fontId="0" fillId="0" borderId="11" xfId="0" applyBorder="1"/>
    <xf numFmtId="0" fontId="1" fillId="3" borderId="27" xfId="0" applyFont="1" applyFill="1" applyBorder="1" applyAlignment="1" applyProtection="1">
      <alignment horizontal="center"/>
    </xf>
    <xf numFmtId="0" fontId="1" fillId="3" borderId="49" xfId="0" applyFont="1" applyFill="1" applyBorder="1" applyAlignment="1" applyProtection="1">
      <alignment horizontal="center"/>
    </xf>
    <xf numFmtId="0" fontId="1" fillId="3" borderId="22" xfId="0" applyFont="1" applyFill="1" applyBorder="1" applyAlignment="1" applyProtection="1">
      <alignment horizontal="center"/>
    </xf>
    <xf numFmtId="172" fontId="23" fillId="6" borderId="45" xfId="0" applyNumberFormat="1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horizontal="center" vertical="center"/>
    </xf>
    <xf numFmtId="164" fontId="24" fillId="6" borderId="45" xfId="0" applyNumberFormat="1" applyFont="1" applyFill="1" applyBorder="1" applyAlignment="1" applyProtection="1">
      <alignment horizontal="center" vertical="center"/>
    </xf>
    <xf numFmtId="0" fontId="1" fillId="7" borderId="34" xfId="0" applyFont="1" applyFill="1" applyBorder="1" applyAlignment="1" applyProtection="1">
      <alignment horizontal="center"/>
    </xf>
    <xf numFmtId="0" fontId="1" fillId="7" borderId="3" xfId="0" applyFont="1" applyFill="1" applyBorder="1" applyAlignment="1" applyProtection="1">
      <alignment horizontal="center"/>
    </xf>
    <xf numFmtId="0" fontId="1" fillId="3" borderId="44" xfId="0" applyFont="1" applyFill="1" applyBorder="1" applyAlignment="1" applyProtection="1">
      <alignment horizontal="center"/>
    </xf>
    <xf numFmtId="0" fontId="1" fillId="3" borderId="45" xfId="0" applyFont="1" applyFill="1" applyBorder="1" applyAlignment="1" applyProtection="1">
      <alignment horizontal="center"/>
    </xf>
    <xf numFmtId="0" fontId="1" fillId="3" borderId="48" xfId="0" applyFont="1" applyFill="1" applyBorder="1" applyAlignment="1" applyProtection="1">
      <alignment horizontal="center" vertical="center"/>
    </xf>
    <xf numFmtId="0" fontId="53" fillId="0" borderId="3" xfId="0" applyFont="1" applyBorder="1" applyAlignment="1" applyProtection="1">
      <alignment horizontal="center"/>
      <protection locked="0"/>
    </xf>
    <xf numFmtId="0" fontId="53" fillId="0" borderId="4" xfId="0" applyFont="1" applyBorder="1" applyAlignment="1" applyProtection="1">
      <alignment horizontal="center"/>
      <protection locked="0"/>
    </xf>
    <xf numFmtId="0" fontId="1" fillId="7" borderId="43" xfId="0" applyFont="1" applyFill="1" applyBorder="1" applyAlignment="1" applyProtection="1">
      <alignment horizontal="center" vertical="center"/>
    </xf>
    <xf numFmtId="0" fontId="1" fillId="7" borderId="7" xfId="0" applyFont="1" applyFill="1" applyBorder="1" applyAlignment="1" applyProtection="1">
      <alignment horizontal="center" vertical="center"/>
    </xf>
    <xf numFmtId="0" fontId="37" fillId="7" borderId="36" xfId="0" applyFont="1" applyFill="1" applyBorder="1" applyAlignment="1" applyProtection="1">
      <alignment horizontal="center" vertical="center"/>
      <protection locked="0"/>
    </xf>
    <xf numFmtId="0" fontId="37" fillId="7" borderId="11" xfId="0" applyFont="1" applyFill="1" applyBorder="1" applyAlignment="1" applyProtection="1">
      <alignment horizontal="center" vertical="center"/>
      <protection locked="0"/>
    </xf>
    <xf numFmtId="3" fontId="56" fillId="0" borderId="3" xfId="0" applyNumberFormat="1" applyFont="1" applyFill="1" applyBorder="1" applyAlignment="1" applyProtection="1">
      <alignment horizontal="center" vertical="center"/>
      <protection locked="0"/>
    </xf>
    <xf numFmtId="49" fontId="53" fillId="0" borderId="2" xfId="0" applyNumberFormat="1" applyFont="1" applyFill="1" applyBorder="1" applyAlignment="1" applyProtection="1">
      <alignment horizontal="center" vertical="center"/>
      <protection locked="0"/>
    </xf>
    <xf numFmtId="49" fontId="53" fillId="0" borderId="3" xfId="0" applyNumberFormat="1" applyFont="1" applyFill="1" applyBorder="1" applyAlignment="1" applyProtection="1">
      <alignment horizontal="center" vertical="center"/>
      <protection locked="0"/>
    </xf>
    <xf numFmtId="49" fontId="53" fillId="0" borderId="4" xfId="0" applyNumberFormat="1" applyFont="1" applyFill="1" applyBorder="1" applyAlignment="1" applyProtection="1">
      <alignment horizontal="center" vertical="center"/>
      <protection locked="0"/>
    </xf>
    <xf numFmtId="0" fontId="1" fillId="7" borderId="34" xfId="0" applyFont="1" applyFill="1" applyBorder="1" applyAlignment="1" applyProtection="1">
      <alignment horizontal="center" vertical="center"/>
    </xf>
    <xf numFmtId="0" fontId="1" fillId="7" borderId="4" xfId="0" applyFont="1" applyFill="1" applyBorder="1" applyAlignment="1" applyProtection="1">
      <alignment horizontal="center" vertical="center"/>
    </xf>
    <xf numFmtId="166" fontId="20" fillId="3" borderId="6" xfId="0" applyNumberFormat="1" applyFont="1" applyFill="1" applyBorder="1" applyAlignment="1" applyProtection="1">
      <alignment horizontal="center"/>
      <protection hidden="1"/>
    </xf>
    <xf numFmtId="166" fontId="20" fillId="3" borderId="8" xfId="0" applyNumberFormat="1" applyFont="1" applyFill="1" applyBorder="1" applyAlignment="1" applyProtection="1">
      <alignment horizontal="center"/>
      <protection hidden="1"/>
    </xf>
    <xf numFmtId="166" fontId="20" fillId="3" borderId="12" xfId="0" applyNumberFormat="1" applyFont="1" applyFill="1" applyBorder="1" applyAlignment="1" applyProtection="1">
      <alignment horizontal="center"/>
      <protection hidden="1"/>
    </xf>
    <xf numFmtId="166" fontId="20" fillId="3" borderId="0" xfId="0" applyNumberFormat="1" applyFont="1" applyFill="1" applyBorder="1" applyAlignment="1" applyProtection="1">
      <alignment horizontal="center"/>
      <protection hidden="1"/>
    </xf>
    <xf numFmtId="0" fontId="1" fillId="7" borderId="29" xfId="0" applyFont="1" applyFill="1" applyBorder="1" applyAlignment="1" applyProtection="1">
      <alignment horizontal="center"/>
    </xf>
    <xf numFmtId="0" fontId="1" fillId="7" borderId="30" xfId="0" applyFont="1" applyFill="1" applyBorder="1" applyAlignment="1" applyProtection="1">
      <alignment horizontal="center"/>
    </xf>
    <xf numFmtId="0" fontId="1" fillId="4" borderId="31" xfId="0" applyNumberFormat="1" applyFont="1" applyFill="1" applyBorder="1" applyAlignment="1" applyProtection="1">
      <alignment horizontal="center"/>
      <protection hidden="1"/>
    </xf>
    <xf numFmtId="0" fontId="1" fillId="4" borderId="32" xfId="0" applyNumberFormat="1" applyFont="1" applyFill="1" applyBorder="1" applyAlignment="1" applyProtection="1">
      <alignment horizontal="center"/>
      <protection hidden="1"/>
    </xf>
    <xf numFmtId="0" fontId="1" fillId="4" borderId="30" xfId="0" applyNumberFormat="1" applyFont="1" applyFill="1" applyBorder="1" applyAlignment="1" applyProtection="1">
      <alignment horizontal="center"/>
      <protection hidden="1"/>
    </xf>
    <xf numFmtId="0" fontId="5" fillId="0" borderId="3" xfId="0" applyFont="1" applyFill="1" applyBorder="1" applyAlignment="1" applyProtection="1">
      <alignment horizontal="center"/>
      <protection locked="0"/>
    </xf>
    <xf numFmtId="0" fontId="1" fillId="7" borderId="3" xfId="0" applyFont="1" applyFill="1" applyBorder="1" applyAlignment="1" applyProtection="1">
      <alignment horizontal="center" vertical="center"/>
    </xf>
    <xf numFmtId="0" fontId="1" fillId="7" borderId="4" xfId="0" applyFont="1" applyFill="1" applyBorder="1" applyAlignment="1" applyProtection="1">
      <alignment horizontal="center"/>
    </xf>
    <xf numFmtId="168" fontId="13" fillId="4" borderId="2" xfId="0" applyNumberFormat="1" applyFont="1" applyFill="1" applyBorder="1" applyAlignment="1" applyProtection="1">
      <alignment horizontal="center"/>
    </xf>
    <xf numFmtId="168" fontId="13" fillId="4" borderId="4" xfId="0" applyNumberFormat="1" applyFont="1" applyFill="1" applyBorder="1" applyAlignment="1" applyProtection="1">
      <alignment horizontal="center"/>
    </xf>
    <xf numFmtId="0" fontId="1" fillId="7" borderId="36" xfId="0" applyFont="1" applyFill="1" applyBorder="1" applyAlignment="1" applyProtection="1">
      <alignment horizontal="center"/>
    </xf>
    <xf numFmtId="0" fontId="1" fillId="7" borderId="10" xfId="0" applyFont="1" applyFill="1" applyBorder="1" applyAlignment="1" applyProtection="1">
      <alignment horizontal="center"/>
    </xf>
    <xf numFmtId="0" fontId="18" fillId="4" borderId="31" xfId="0" applyNumberFormat="1" applyFont="1" applyFill="1" applyBorder="1" applyAlignment="1" applyProtection="1">
      <alignment horizontal="center"/>
      <protection hidden="1"/>
    </xf>
    <xf numFmtId="0" fontId="18" fillId="4" borderId="32" xfId="0" applyNumberFormat="1" applyFont="1" applyFill="1" applyBorder="1" applyAlignment="1" applyProtection="1">
      <alignment horizontal="center"/>
      <protection hidden="1"/>
    </xf>
    <xf numFmtId="0" fontId="55" fillId="0" borderId="2" xfId="0" applyFont="1" applyFill="1" applyBorder="1" applyAlignment="1" applyProtection="1">
      <alignment horizontal="center" vertical="center"/>
      <protection locked="0"/>
    </xf>
    <xf numFmtId="0" fontId="55" fillId="0" borderId="3" xfId="0" applyFont="1" applyFill="1" applyBorder="1" applyAlignment="1" applyProtection="1">
      <alignment horizontal="center" vertical="center"/>
      <protection locked="0"/>
    </xf>
    <xf numFmtId="0" fontId="55" fillId="0" borderId="4" xfId="0" applyFont="1" applyFill="1" applyBorder="1" applyAlignment="1" applyProtection="1">
      <alignment horizontal="center" vertical="center"/>
      <protection locked="0"/>
    </xf>
    <xf numFmtId="0" fontId="10" fillId="0" borderId="0" xfId="0" applyNumberFormat="1" applyFont="1" applyFill="1" applyBorder="1" applyAlignment="1" applyProtection="1">
      <alignment horizontal="center"/>
    </xf>
    <xf numFmtId="167" fontId="10" fillId="0" borderId="0" xfId="0" applyNumberFormat="1" applyFont="1" applyFill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 vertical="top"/>
    </xf>
    <xf numFmtId="0" fontId="5" fillId="0" borderId="0" xfId="0" applyFont="1" applyBorder="1" applyAlignment="1" applyProtection="1">
      <alignment horizontal="left" vertical="center" shrinkToFit="1"/>
    </xf>
    <xf numFmtId="0" fontId="4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 shrinkToFit="1"/>
    </xf>
    <xf numFmtId="0" fontId="7" fillId="0" borderId="23" xfId="0" applyFont="1" applyBorder="1" applyAlignment="1" applyProtection="1">
      <alignment horizontal="left" vertical="center" shrinkToFit="1"/>
    </xf>
    <xf numFmtId="0" fontId="5" fillId="0" borderId="0" xfId="0" applyFont="1" applyBorder="1" applyAlignment="1" applyProtection="1">
      <alignment horizontal="center" vertical="center" shrinkToFit="1"/>
    </xf>
    <xf numFmtId="0" fontId="28" fillId="0" borderId="22" xfId="0" applyFont="1" applyBorder="1" applyAlignment="1" applyProtection="1">
      <alignment horizontal="left" vertical="center" shrinkToFit="1"/>
    </xf>
    <xf numFmtId="172" fontId="18" fillId="6" borderId="0" xfId="0" applyNumberFormat="1" applyFont="1" applyFill="1" applyAlignment="1" applyProtection="1">
      <alignment horizontal="center"/>
    </xf>
    <xf numFmtId="0" fontId="23" fillId="6" borderId="0" xfId="0" applyFont="1" applyFill="1" applyAlignment="1">
      <alignment horizontal="center" vertical="top"/>
    </xf>
    <xf numFmtId="0" fontId="0" fillId="2" borderId="0" xfId="0" applyFill="1" applyAlignment="1" applyProtection="1">
      <alignment horizontal="center" vertical="top"/>
      <protection locked="0"/>
    </xf>
    <xf numFmtId="0" fontId="0" fillId="2" borderId="0" xfId="0" applyFill="1" applyAlignment="1">
      <alignment horizontal="center" vertical="top"/>
    </xf>
    <xf numFmtId="0" fontId="25" fillId="3" borderId="25" xfId="0" applyFont="1" applyFill="1" applyBorder="1" applyAlignment="1">
      <alignment horizontal="center" vertical="center"/>
    </xf>
    <xf numFmtId="22" fontId="1" fillId="3" borderId="24" xfId="0" applyNumberFormat="1" applyFont="1" applyFill="1" applyBorder="1" applyAlignment="1">
      <alignment horizontal="right"/>
    </xf>
  </cellXfs>
  <cellStyles count="11">
    <cellStyle name="Moeda" xfId="1" builtinId="4"/>
    <cellStyle name="Normal" xfId="0" builtinId="0"/>
    <cellStyle name="Porcentagem" xfId="2" builtinId="5"/>
    <cellStyle name="S0" xfId="3"/>
    <cellStyle name="S1" xfId="4"/>
    <cellStyle name="S2" xfId="5"/>
    <cellStyle name="S3" xfId="6"/>
    <cellStyle name="S4" xfId="7"/>
    <cellStyle name="S5" xfId="8"/>
    <cellStyle name="S6" xfId="9"/>
    <cellStyle name="S7" xfId="10"/>
  </cellStyles>
  <dxfs count="38"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border>
        <bottom style="thin">
          <color theme="0" tint="-0.34998626667073579"/>
        </bottom>
        <vertical/>
        <horizontal/>
      </border>
    </dxf>
    <dxf>
      <font>
        <b/>
        <i val="0"/>
        <color rgb="FFFFFF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 tint="-0.24994659260841701"/>
      </font>
    </dxf>
    <dxf>
      <font>
        <b/>
        <i val="0"/>
        <color rgb="FF00B050"/>
      </font>
    </dxf>
    <dxf>
      <font>
        <b/>
        <i val="0"/>
        <color theme="7" tint="-0.24994659260841701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89AD03"/>
      <color rgb="FF976D19"/>
      <color rgb="FF5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51858</xdr:colOff>
      <xdr:row>0</xdr:row>
      <xdr:rowOff>178859</xdr:rowOff>
    </xdr:from>
    <xdr:to>
      <xdr:col>11</xdr:col>
      <xdr:colOff>149509</xdr:colOff>
      <xdr:row>0</xdr:row>
      <xdr:rowOff>361353</xdr:rowOff>
    </xdr:to>
    <xdr:pic macro="[0]!OcultaCustos">
      <xdr:nvPicPr>
        <xdr:cNvPr id="4" name="Imagem 3" descr="CifrãoR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37941" y="178859"/>
          <a:ext cx="97651" cy="182494"/>
        </a:xfrm>
        <a:prstGeom prst="rect">
          <a:avLst/>
        </a:prstGeom>
      </xdr:spPr>
    </xdr:pic>
    <xdr:clientData/>
  </xdr:twoCellAnchor>
  <xdr:twoCellAnchor editAs="oneCell">
    <xdr:from>
      <xdr:col>11</xdr:col>
      <xdr:colOff>58983</xdr:colOff>
      <xdr:row>0</xdr:row>
      <xdr:rowOff>538409</xdr:rowOff>
    </xdr:from>
    <xdr:to>
      <xdr:col>11</xdr:col>
      <xdr:colOff>156634</xdr:colOff>
      <xdr:row>0</xdr:row>
      <xdr:rowOff>720903</xdr:rowOff>
    </xdr:to>
    <xdr:pic macro="[0]!ExibeCustos">
      <xdr:nvPicPr>
        <xdr:cNvPr id="5" name="Imagem 4" descr="CifrãoV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245066" y="538409"/>
          <a:ext cx="97651" cy="182494"/>
        </a:xfrm>
        <a:prstGeom prst="rect">
          <a:avLst/>
        </a:prstGeom>
      </xdr:spPr>
    </xdr:pic>
    <xdr:clientData/>
  </xdr:twoCellAnchor>
  <xdr:twoCellAnchor editAs="oneCell">
    <xdr:from>
      <xdr:col>1</xdr:col>
      <xdr:colOff>96310</xdr:colOff>
      <xdr:row>0</xdr:row>
      <xdr:rowOff>600078</xdr:rowOff>
    </xdr:from>
    <xdr:to>
      <xdr:col>1</xdr:col>
      <xdr:colOff>515410</xdr:colOff>
      <xdr:row>1</xdr:row>
      <xdr:rowOff>164045</xdr:rowOff>
    </xdr:to>
    <xdr:pic macro="[0]!Etiqueta.Etiqueta">
      <xdr:nvPicPr>
        <xdr:cNvPr id="6" name="Imagem 5" descr="imp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31310" y="600078"/>
          <a:ext cx="419100" cy="421217"/>
        </a:xfrm>
        <a:prstGeom prst="rect">
          <a:avLst/>
        </a:prstGeom>
      </xdr:spPr>
    </xdr:pic>
    <xdr:clientData/>
  </xdr:twoCellAnchor>
  <xdr:twoCellAnchor editAs="oneCell">
    <xdr:from>
      <xdr:col>0</xdr:col>
      <xdr:colOff>155576</xdr:colOff>
      <xdr:row>0</xdr:row>
      <xdr:rowOff>631826</xdr:rowOff>
    </xdr:from>
    <xdr:to>
      <xdr:col>0</xdr:col>
      <xdr:colOff>527050</xdr:colOff>
      <xdr:row>1</xdr:row>
      <xdr:rowOff>144992</xdr:rowOff>
    </xdr:to>
    <xdr:pic macro="[0]!Salvar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576" y="631826"/>
          <a:ext cx="371474" cy="370416"/>
        </a:xfrm>
        <a:prstGeom prst="rect">
          <a:avLst/>
        </a:prstGeom>
      </xdr:spPr>
    </xdr:pic>
    <xdr:clientData/>
  </xdr:twoCellAnchor>
  <xdr:twoCellAnchor editAs="oneCell">
    <xdr:from>
      <xdr:col>9</xdr:col>
      <xdr:colOff>323850</xdr:colOff>
      <xdr:row>7</xdr:row>
      <xdr:rowOff>70908</xdr:rowOff>
    </xdr:from>
    <xdr:to>
      <xdr:col>10</xdr:col>
      <xdr:colOff>238069</xdr:colOff>
      <xdr:row>9</xdr:row>
      <xdr:rowOff>201082</xdr:rowOff>
    </xdr:to>
    <xdr:pic macro="[0]!ReabrirOS">
      <xdr:nvPicPr>
        <xdr:cNvPr id="7" name="Imagem 6" descr="1383900176.png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 r="54544" b="10609"/>
        <a:stretch>
          <a:fillRect/>
        </a:stretch>
      </xdr:blipFill>
      <xdr:spPr>
        <a:xfrm>
          <a:off x="6737350" y="2176991"/>
          <a:ext cx="528052" cy="553508"/>
        </a:xfrm>
        <a:prstGeom prst="rect">
          <a:avLst/>
        </a:prstGeom>
      </xdr:spPr>
    </xdr:pic>
    <xdr:clientData/>
  </xdr:twoCellAnchor>
  <xdr:twoCellAnchor editAs="oneCell">
    <xdr:from>
      <xdr:col>9</xdr:col>
      <xdr:colOff>311150</xdr:colOff>
      <xdr:row>4</xdr:row>
      <xdr:rowOff>39157</xdr:rowOff>
    </xdr:from>
    <xdr:to>
      <xdr:col>10</xdr:col>
      <xdr:colOff>242132</xdr:colOff>
      <xdr:row>6</xdr:row>
      <xdr:rowOff>179915</xdr:rowOff>
    </xdr:to>
    <xdr:pic macro="[0]!FecharOS.FecharOS">
      <xdr:nvPicPr>
        <xdr:cNvPr id="9" name="Imagem 8" descr="1383900176.png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 l="53393" r="-292" b="10609"/>
        <a:stretch>
          <a:fillRect/>
        </a:stretch>
      </xdr:blipFill>
      <xdr:spPr>
        <a:xfrm>
          <a:off x="6724650" y="1531407"/>
          <a:ext cx="544815" cy="553508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127000</xdr:colOff>
      <xdr:row>0</xdr:row>
      <xdr:rowOff>393158</xdr:rowOff>
    </xdr:from>
    <xdr:to>
      <xdr:col>6</xdr:col>
      <xdr:colOff>246074</xdr:colOff>
      <xdr:row>2</xdr:row>
      <xdr:rowOff>211660</xdr:rowOff>
    </xdr:to>
    <xdr:pic>
      <xdr:nvPicPr>
        <xdr:cNvPr id="10" name="Imagem 9" descr="Logo Maq Tintas Branca.pn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75833" y="393158"/>
          <a:ext cx="2542658" cy="8980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1047750</xdr:colOff>
          <xdr:row>0</xdr:row>
          <xdr:rowOff>0</xdr:rowOff>
        </xdr:from>
        <xdr:to>
          <xdr:col>9</xdr:col>
          <xdr:colOff>0</xdr:colOff>
          <xdr:row>0</xdr:row>
          <xdr:rowOff>381000</xdr:rowOff>
        </xdr:to>
        <xdr:sp macro="" textlink="">
          <xdr:nvSpPr>
            <xdr:cNvPr id="1042" name="cmdAuditoria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0</xdr:row>
          <xdr:rowOff>0</xdr:rowOff>
        </xdr:from>
        <xdr:to>
          <xdr:col>7</xdr:col>
          <xdr:colOff>1057275</xdr:colOff>
          <xdr:row>0</xdr:row>
          <xdr:rowOff>381000</xdr:rowOff>
        </xdr:to>
        <xdr:sp macro="" textlink="">
          <xdr:nvSpPr>
            <xdr:cNvPr id="1043" name="cmdObservacoes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0</xdr:rowOff>
        </xdr:from>
        <xdr:to>
          <xdr:col>6</xdr:col>
          <xdr:colOff>600075</xdr:colOff>
          <xdr:row>0</xdr:row>
          <xdr:rowOff>381000</xdr:rowOff>
        </xdr:to>
        <xdr:sp macro="" textlink="">
          <xdr:nvSpPr>
            <xdr:cNvPr id="1044" name="cmdLog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0</xdr:rowOff>
        </xdr:from>
        <xdr:to>
          <xdr:col>5</xdr:col>
          <xdr:colOff>142875</xdr:colOff>
          <xdr:row>0</xdr:row>
          <xdr:rowOff>381000</xdr:rowOff>
        </xdr:to>
        <xdr:sp macro="" textlink="">
          <xdr:nvSpPr>
            <xdr:cNvPr id="1045" name="cmdformula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0</xdr:row>
          <xdr:rowOff>0</xdr:rowOff>
        </xdr:from>
        <xdr:to>
          <xdr:col>3</xdr:col>
          <xdr:colOff>304800</xdr:colOff>
          <xdr:row>0</xdr:row>
          <xdr:rowOff>381000</xdr:rowOff>
        </xdr:to>
        <xdr:sp macro="" textlink="">
          <xdr:nvSpPr>
            <xdr:cNvPr id="1046" name="cmdOsantig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438150</xdr:colOff>
          <xdr:row>0</xdr:row>
          <xdr:rowOff>381000</xdr:rowOff>
        </xdr:to>
        <xdr:sp macro="" textlink="">
          <xdr:nvSpPr>
            <xdr:cNvPr id="1047" name="cmdLimpaOS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200025</xdr:rowOff>
        </xdr:from>
        <xdr:to>
          <xdr:col>1</xdr:col>
          <xdr:colOff>581025</xdr:colOff>
          <xdr:row>3</xdr:row>
          <xdr:rowOff>238125</xdr:rowOff>
        </xdr:to>
        <xdr:sp macro="" textlink="">
          <xdr:nvSpPr>
            <xdr:cNvPr id="1055" name="cmdColorista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47625</xdr:rowOff>
    </xdr:from>
    <xdr:to>
      <xdr:col>3</xdr:col>
      <xdr:colOff>362164</xdr:colOff>
      <xdr:row>0</xdr:row>
      <xdr:rowOff>590626</xdr:rowOff>
    </xdr:to>
    <xdr:pic>
      <xdr:nvPicPr>
        <xdr:cNvPr id="3" name="Imagem 2" descr="Logo Maq Tintas Branca 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7225" y="47625"/>
          <a:ext cx="1533739" cy="5430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0</xdr:row>
          <xdr:rowOff>152400</xdr:rowOff>
        </xdr:from>
        <xdr:to>
          <xdr:col>10</xdr:col>
          <xdr:colOff>600075</xdr:colOff>
          <xdr:row>0</xdr:row>
          <xdr:rowOff>523875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para Ordem de Serviço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0</xdr:row>
          <xdr:rowOff>152400</xdr:rowOff>
        </xdr:from>
        <xdr:to>
          <xdr:col>1</xdr:col>
          <xdr:colOff>1847850</xdr:colOff>
          <xdr:row>0</xdr:row>
          <xdr:rowOff>390525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1323975</xdr:colOff>
          <xdr:row>0</xdr:row>
          <xdr:rowOff>66675</xdr:rowOff>
        </xdr:from>
        <xdr:to>
          <xdr:col>6</xdr:col>
          <xdr:colOff>1228725</xdr:colOff>
          <xdr:row>0</xdr:row>
          <xdr:rowOff>323850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Ordem de Serviço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honi%20Giacomolli\Downloads\Modelo\Tabela%20pre&#231;os%20Laborat&#243;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ço"/>
      <sheetName val="Carga"/>
      <sheetName val="Cliente"/>
      <sheetName val="Valores"/>
      <sheetName val="Pigmentos Desconsiderados"/>
      <sheetName val="Configurações OS"/>
      <sheetName val="Funcionarios"/>
    </sheetNames>
    <sheetDataSet>
      <sheetData sheetId="0">
        <row r="2">
          <cell r="H2">
            <v>0.3</v>
          </cell>
          <cell r="I2">
            <v>31.5</v>
          </cell>
          <cell r="J2">
            <v>6.9444444444444441E-3</v>
          </cell>
          <cell r="K2">
            <v>3.472222222222222E-3</v>
          </cell>
        </row>
      </sheetData>
      <sheetData sheetId="1">
        <row r="1">
          <cell r="D1" t="str">
            <v xml:space="preserve">Branco </v>
          </cell>
          <cell r="E1" t="str">
            <v>Branco Resinado (BP06)</v>
          </cell>
          <cell r="F1" t="str">
            <v xml:space="preserve">Preto </v>
          </cell>
          <cell r="G1" t="str">
            <v>Preto Perolizado</v>
          </cell>
          <cell r="H1" t="str">
            <v xml:space="preserve">Prata </v>
          </cell>
          <cell r="I1" t="str">
            <v>Azul Liso</v>
          </cell>
          <cell r="J1" t="str">
            <v xml:space="preserve">Azul Perolizado </v>
          </cell>
          <cell r="K1" t="str">
            <v xml:space="preserve">Vermelho Liso </v>
          </cell>
          <cell r="L1" t="str">
            <v>Vermelho Perolizado</v>
          </cell>
          <cell r="M1" t="str">
            <v xml:space="preserve">Verde Liso </v>
          </cell>
          <cell r="N1" t="str">
            <v>Verde Perolizado</v>
          </cell>
          <cell r="O1" t="str">
            <v>Amarelo Liso</v>
          </cell>
          <cell r="P1" t="str">
            <v>Amarelo Perolizado</v>
          </cell>
          <cell r="Q1" t="str">
            <v>Cinza Liso</v>
          </cell>
          <cell r="R1" t="str">
            <v>Cinza Perolizado/Metalico</v>
          </cell>
          <cell r="S1" t="str">
            <v>Marrom/Bege Liso</v>
          </cell>
          <cell r="T1" t="str">
            <v>Marrom/Bege Perolizado</v>
          </cell>
        </row>
        <row r="2">
          <cell r="D2">
            <v>1.5</v>
          </cell>
          <cell r="E2">
            <v>1</v>
          </cell>
          <cell r="F2">
            <v>1.3</v>
          </cell>
          <cell r="G2">
            <v>1.2</v>
          </cell>
          <cell r="H2">
            <v>1</v>
          </cell>
          <cell r="I2">
            <v>1.1000000000000001</v>
          </cell>
          <cell r="J2">
            <v>1.35</v>
          </cell>
          <cell r="K2">
            <v>1.4</v>
          </cell>
          <cell r="L2">
            <v>1.4</v>
          </cell>
          <cell r="M2">
            <v>1.1000000000000001</v>
          </cell>
          <cell r="N2">
            <v>1.1499999999999999</v>
          </cell>
          <cell r="O2">
            <v>1.4</v>
          </cell>
          <cell r="P2">
            <v>1.4</v>
          </cell>
          <cell r="Q2">
            <v>1</v>
          </cell>
          <cell r="R2">
            <v>1.1000000000000001</v>
          </cell>
          <cell r="S2">
            <v>1.1000000000000001</v>
          </cell>
          <cell r="T2">
            <v>1.1000000000000001</v>
          </cell>
        </row>
        <row r="3">
          <cell r="D3">
            <v>1.4</v>
          </cell>
          <cell r="E3">
            <v>1.4</v>
          </cell>
          <cell r="F3">
            <v>1.4</v>
          </cell>
          <cell r="G3">
            <v>1.3</v>
          </cell>
          <cell r="H3">
            <v>1.2</v>
          </cell>
          <cell r="I3">
            <v>1</v>
          </cell>
          <cell r="J3">
            <v>1</v>
          </cell>
          <cell r="K3">
            <v>1.4</v>
          </cell>
          <cell r="L3">
            <v>1.4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1</v>
          </cell>
          <cell r="S3">
            <v>1</v>
          </cell>
          <cell r="T3">
            <v>1</v>
          </cell>
        </row>
        <row r="4">
          <cell r="A4" t="str">
            <v>ADEMIR MIOTTO</v>
          </cell>
          <cell r="B4">
            <v>1</v>
          </cell>
          <cell r="C4">
            <v>1</v>
          </cell>
        </row>
        <row r="5">
          <cell r="A5" t="str">
            <v>ALC PNEUS</v>
          </cell>
          <cell r="B5">
            <v>1</v>
          </cell>
          <cell r="C5">
            <v>1</v>
          </cell>
        </row>
        <row r="6">
          <cell r="A6" t="str">
            <v>ALEX OLIVEIRA</v>
          </cell>
          <cell r="B6">
            <v>1</v>
          </cell>
          <cell r="C6">
            <v>1</v>
          </cell>
        </row>
        <row r="7">
          <cell r="A7" t="str">
            <v>AUTO ELITE</v>
          </cell>
          <cell r="B7">
            <v>1</v>
          </cell>
          <cell r="C7">
            <v>0.9</v>
          </cell>
        </row>
        <row r="8">
          <cell r="A8" t="str">
            <v>BAIANO</v>
          </cell>
          <cell r="B8">
            <v>1</v>
          </cell>
          <cell r="C8">
            <v>0.9</v>
          </cell>
        </row>
        <row r="9">
          <cell r="A9" t="str">
            <v>BANANA</v>
          </cell>
          <cell r="B9">
            <v>1</v>
          </cell>
          <cell r="C9">
            <v>0.9</v>
          </cell>
        </row>
        <row r="10">
          <cell r="A10" t="str">
            <v>BANANINHA</v>
          </cell>
          <cell r="B10">
            <v>1</v>
          </cell>
          <cell r="C10">
            <v>0.9</v>
          </cell>
        </row>
        <row r="11">
          <cell r="A11" t="str">
            <v>BARTOLO</v>
          </cell>
          <cell r="B11">
            <v>1</v>
          </cell>
          <cell r="C11">
            <v>0.9</v>
          </cell>
        </row>
        <row r="12">
          <cell r="A12" t="str">
            <v>BATTISTELLA</v>
          </cell>
          <cell r="B12">
            <v>1</v>
          </cell>
          <cell r="C12">
            <v>0.9</v>
          </cell>
        </row>
        <row r="13">
          <cell r="A13" t="str">
            <v>BECKER</v>
          </cell>
          <cell r="B13">
            <v>1</v>
          </cell>
          <cell r="C13">
            <v>0.9</v>
          </cell>
        </row>
        <row r="14">
          <cell r="A14" t="str">
            <v>BIKE MOTOS</v>
          </cell>
          <cell r="B14">
            <v>1</v>
          </cell>
          <cell r="C14">
            <v>0.9</v>
          </cell>
        </row>
        <row r="15">
          <cell r="A15" t="str">
            <v>BOA VISTA</v>
          </cell>
          <cell r="B15">
            <v>1</v>
          </cell>
          <cell r="C15">
            <v>0.9</v>
          </cell>
        </row>
        <row r="16">
          <cell r="A16" t="str">
            <v>BORRACHARIA</v>
          </cell>
          <cell r="B16">
            <v>1</v>
          </cell>
          <cell r="C16">
            <v>0.9</v>
          </cell>
        </row>
        <row r="17">
          <cell r="A17" t="str">
            <v>BORRACHARIA BRASIL</v>
          </cell>
          <cell r="B17">
            <v>1</v>
          </cell>
          <cell r="C17">
            <v>0.9</v>
          </cell>
        </row>
        <row r="18">
          <cell r="A18" t="str">
            <v>BR CONCÓRDIA</v>
          </cell>
          <cell r="B18">
            <v>1</v>
          </cell>
          <cell r="C18">
            <v>0.9</v>
          </cell>
        </row>
        <row r="19">
          <cell r="A19" t="str">
            <v>BROETTO</v>
          </cell>
          <cell r="B19">
            <v>1</v>
          </cell>
          <cell r="C19">
            <v>0.9</v>
          </cell>
        </row>
        <row r="20">
          <cell r="A20" t="str">
            <v>BROETTO CAPINZAL</v>
          </cell>
          <cell r="B20">
            <v>1</v>
          </cell>
          <cell r="C20">
            <v>0.9</v>
          </cell>
        </row>
        <row r="21">
          <cell r="A21" t="str">
            <v>BUDA</v>
          </cell>
          <cell r="B21">
            <v>1</v>
          </cell>
          <cell r="C21">
            <v>0.9</v>
          </cell>
        </row>
        <row r="22">
          <cell r="A22" t="str">
            <v>CANVEL</v>
          </cell>
          <cell r="B22">
            <v>1</v>
          </cell>
          <cell r="C22">
            <v>0.9</v>
          </cell>
        </row>
        <row r="23">
          <cell r="A23" t="str">
            <v>CAPUCHO</v>
          </cell>
          <cell r="B23">
            <v>1</v>
          </cell>
          <cell r="C23">
            <v>0.9</v>
          </cell>
        </row>
        <row r="24">
          <cell r="A24" t="str">
            <v>CARANDIRU</v>
          </cell>
          <cell r="B24">
            <v>1</v>
          </cell>
          <cell r="C24">
            <v>0.9</v>
          </cell>
        </row>
        <row r="25">
          <cell r="A25" t="str">
            <v>CARBONI</v>
          </cell>
          <cell r="B25">
            <v>1</v>
          </cell>
          <cell r="C25">
            <v>0.9</v>
          </cell>
        </row>
        <row r="26">
          <cell r="A26" t="str">
            <v>CAVALIERI</v>
          </cell>
          <cell r="B26">
            <v>1</v>
          </cell>
          <cell r="C26">
            <v>0.9</v>
          </cell>
        </row>
        <row r="27">
          <cell r="A27" t="str">
            <v>CAVALIERI BR</v>
          </cell>
          <cell r="B27">
            <v>1</v>
          </cell>
          <cell r="C27">
            <v>0.9</v>
          </cell>
        </row>
        <row r="28">
          <cell r="A28" t="str">
            <v>CELSO HOFF</v>
          </cell>
          <cell r="B28">
            <v>1</v>
          </cell>
          <cell r="C28">
            <v>0.9</v>
          </cell>
        </row>
        <row r="29">
          <cell r="A29" t="str">
            <v>CELULOSE IRANI</v>
          </cell>
          <cell r="B29">
            <v>1</v>
          </cell>
          <cell r="C29">
            <v>0.9</v>
          </cell>
        </row>
        <row r="30">
          <cell r="A30" t="str">
            <v>CG REFORMAS</v>
          </cell>
          <cell r="B30">
            <v>1</v>
          </cell>
          <cell r="C30">
            <v>0.9</v>
          </cell>
        </row>
        <row r="31">
          <cell r="A31" t="str">
            <v>CHAPARTE</v>
          </cell>
          <cell r="B31">
            <v>1</v>
          </cell>
          <cell r="C31">
            <v>0.9</v>
          </cell>
        </row>
        <row r="32">
          <cell r="A32" t="str">
            <v>CHILOF</v>
          </cell>
          <cell r="B32">
            <v>1</v>
          </cell>
          <cell r="C32">
            <v>0.9</v>
          </cell>
        </row>
        <row r="33">
          <cell r="A33" t="str">
            <v>CL CHAPEAÇÃO</v>
          </cell>
          <cell r="B33">
            <v>1</v>
          </cell>
          <cell r="C33">
            <v>0.9</v>
          </cell>
        </row>
        <row r="34">
          <cell r="A34" t="str">
            <v>CLADIR TRAGNAGO</v>
          </cell>
          <cell r="B34">
            <v>1</v>
          </cell>
          <cell r="C34">
            <v>0.9</v>
          </cell>
        </row>
        <row r="35">
          <cell r="A35" t="str">
            <v>CLAYTON</v>
          </cell>
          <cell r="B35">
            <v>1</v>
          </cell>
          <cell r="C35">
            <v>0.9</v>
          </cell>
        </row>
        <row r="36">
          <cell r="A36" t="str">
            <v>CLEBERSON DUTRA</v>
          </cell>
          <cell r="B36">
            <v>1</v>
          </cell>
          <cell r="C36">
            <v>0.9</v>
          </cell>
        </row>
        <row r="37">
          <cell r="A37" t="str">
            <v>CORDIAL</v>
          </cell>
          <cell r="B37">
            <v>1</v>
          </cell>
          <cell r="C37">
            <v>0.9</v>
          </cell>
        </row>
        <row r="38">
          <cell r="A38" t="str">
            <v>CRISTIANO DALLACOSTA</v>
          </cell>
          <cell r="B38">
            <v>1</v>
          </cell>
          <cell r="C38">
            <v>0.9</v>
          </cell>
        </row>
        <row r="39">
          <cell r="A39" t="str">
            <v>CROSS MOTOS</v>
          </cell>
          <cell r="B39">
            <v>1</v>
          </cell>
          <cell r="C39">
            <v>0.9</v>
          </cell>
        </row>
        <row r="40">
          <cell r="A40" t="str">
            <v>CUMERLATTO</v>
          </cell>
          <cell r="B40">
            <v>1</v>
          </cell>
          <cell r="C40">
            <v>0.9</v>
          </cell>
        </row>
        <row r="41">
          <cell r="A41" t="str">
            <v>D E D</v>
          </cell>
          <cell r="B41">
            <v>1</v>
          </cell>
          <cell r="C41">
            <v>0.9</v>
          </cell>
        </row>
        <row r="42">
          <cell r="A42" t="str">
            <v>D&amp;D MATRIZAMENTO</v>
          </cell>
          <cell r="B42">
            <v>1</v>
          </cell>
          <cell r="C42">
            <v>0.9</v>
          </cell>
        </row>
        <row r="43">
          <cell r="A43" t="str">
            <v>DALMAQ</v>
          </cell>
          <cell r="B43">
            <v>1</v>
          </cell>
          <cell r="C43">
            <v>0.9</v>
          </cell>
        </row>
        <row r="44">
          <cell r="A44" t="str">
            <v>DALTOÉ</v>
          </cell>
          <cell r="B44">
            <v>1</v>
          </cell>
          <cell r="C44">
            <v>0.9</v>
          </cell>
        </row>
        <row r="45">
          <cell r="A45" t="str">
            <v>DARFER</v>
          </cell>
          <cell r="B45">
            <v>1</v>
          </cell>
          <cell r="C45">
            <v>0.9</v>
          </cell>
        </row>
        <row r="46">
          <cell r="A46" t="str">
            <v>DAVICAR</v>
          </cell>
          <cell r="B46">
            <v>1</v>
          </cell>
          <cell r="C46">
            <v>0.9</v>
          </cell>
        </row>
        <row r="47">
          <cell r="A47" t="str">
            <v>DE MARCO</v>
          </cell>
          <cell r="B47">
            <v>1</v>
          </cell>
          <cell r="C47">
            <v>0.9</v>
          </cell>
        </row>
        <row r="48">
          <cell r="A48" t="str">
            <v>DÉDO</v>
          </cell>
          <cell r="B48">
            <v>1</v>
          </cell>
          <cell r="C48">
            <v>0.9</v>
          </cell>
        </row>
        <row r="49">
          <cell r="A49" t="str">
            <v>DETALHE ESQUADRIAS</v>
          </cell>
          <cell r="B49">
            <v>1</v>
          </cell>
          <cell r="C49">
            <v>0.9</v>
          </cell>
        </row>
        <row r="50">
          <cell r="A50" t="str">
            <v>DICAVE</v>
          </cell>
          <cell r="B50">
            <v>1</v>
          </cell>
          <cell r="C50">
            <v>0.9</v>
          </cell>
        </row>
        <row r="51">
          <cell r="A51" t="str">
            <v>DICO</v>
          </cell>
          <cell r="B51">
            <v>1</v>
          </cell>
          <cell r="C51">
            <v>0.9</v>
          </cell>
        </row>
        <row r="52">
          <cell r="A52" t="str">
            <v>DJ MOTOS</v>
          </cell>
          <cell r="B52">
            <v>1</v>
          </cell>
          <cell r="C52">
            <v>0.9</v>
          </cell>
        </row>
        <row r="53">
          <cell r="A53" t="str">
            <v>ELISEO</v>
          </cell>
          <cell r="B53">
            <v>1</v>
          </cell>
          <cell r="C53">
            <v>0.9</v>
          </cell>
        </row>
        <row r="54">
          <cell r="A54" t="str">
            <v>ELOIR LECARDELLI</v>
          </cell>
          <cell r="B54">
            <v>1</v>
          </cell>
          <cell r="C54">
            <v>0.9</v>
          </cell>
        </row>
        <row r="55">
          <cell r="A55" t="str">
            <v>ENEIS BARBIERI</v>
          </cell>
          <cell r="B55">
            <v>1</v>
          </cell>
          <cell r="C55">
            <v>0.9</v>
          </cell>
        </row>
        <row r="56">
          <cell r="A56" t="str">
            <v>FANTIN</v>
          </cell>
          <cell r="B56">
            <v>1</v>
          </cell>
          <cell r="C56">
            <v>0.9</v>
          </cell>
        </row>
        <row r="57">
          <cell r="A57" t="str">
            <v>FAROL</v>
          </cell>
          <cell r="B57">
            <v>1</v>
          </cell>
          <cell r="C57">
            <v>0.9</v>
          </cell>
        </row>
        <row r="58">
          <cell r="A58" t="str">
            <v>FASOLO</v>
          </cell>
          <cell r="B58">
            <v>1</v>
          </cell>
          <cell r="C58">
            <v>0.9</v>
          </cell>
        </row>
        <row r="59">
          <cell r="A59" t="str">
            <v>FERMAC</v>
          </cell>
          <cell r="B59">
            <v>1</v>
          </cell>
          <cell r="C59">
            <v>0.9</v>
          </cell>
        </row>
        <row r="60">
          <cell r="A60" t="str">
            <v>FERRONATTO</v>
          </cell>
          <cell r="B60">
            <v>1</v>
          </cell>
          <cell r="C60">
            <v>0.9</v>
          </cell>
        </row>
        <row r="61">
          <cell r="A61" t="str">
            <v>FLAVIO MOTOS</v>
          </cell>
          <cell r="B61">
            <v>1</v>
          </cell>
          <cell r="C61">
            <v>0.9</v>
          </cell>
        </row>
        <row r="62">
          <cell r="A62" t="str">
            <v>FRAN</v>
          </cell>
          <cell r="B62">
            <v>1</v>
          </cell>
          <cell r="C62">
            <v>0.9</v>
          </cell>
        </row>
        <row r="63">
          <cell r="A63" t="str">
            <v>FRANCESCHINA</v>
          </cell>
          <cell r="B63">
            <v>1</v>
          </cell>
          <cell r="C63">
            <v>0.9</v>
          </cell>
        </row>
        <row r="64">
          <cell r="A64" t="str">
            <v>FRANCIS</v>
          </cell>
          <cell r="B64">
            <v>1</v>
          </cell>
          <cell r="C64">
            <v>0.9</v>
          </cell>
        </row>
        <row r="65">
          <cell r="A65" t="str">
            <v>FUMAÇA</v>
          </cell>
          <cell r="B65">
            <v>1</v>
          </cell>
          <cell r="C65">
            <v>0.9</v>
          </cell>
        </row>
        <row r="66">
          <cell r="A66" t="str">
            <v>FUNILARIA FAMA</v>
          </cell>
          <cell r="B66">
            <v>1</v>
          </cell>
          <cell r="C66">
            <v>0.9</v>
          </cell>
        </row>
        <row r="67">
          <cell r="A67" t="str">
            <v>G3 SOLUÇÕES</v>
          </cell>
          <cell r="B67">
            <v>1</v>
          </cell>
          <cell r="C67">
            <v>0.9</v>
          </cell>
        </row>
        <row r="68">
          <cell r="A68" t="str">
            <v>GB REFRIGERAÇÃO</v>
          </cell>
          <cell r="B68">
            <v>1</v>
          </cell>
          <cell r="C68">
            <v>0.9</v>
          </cell>
        </row>
        <row r="69">
          <cell r="A69" t="str">
            <v>GERA AUTOMAÇÃO</v>
          </cell>
          <cell r="B69">
            <v>1</v>
          </cell>
          <cell r="C69">
            <v>0.9</v>
          </cell>
        </row>
        <row r="70">
          <cell r="A70" t="str">
            <v>GIACOMIM</v>
          </cell>
          <cell r="B70">
            <v>1</v>
          </cell>
          <cell r="C70">
            <v>0.9</v>
          </cell>
        </row>
        <row r="71">
          <cell r="A71" t="str">
            <v>GILMAR</v>
          </cell>
          <cell r="B71">
            <v>1</v>
          </cell>
          <cell r="C71">
            <v>0.9</v>
          </cell>
        </row>
        <row r="72">
          <cell r="A72" t="str">
            <v>GIRARDI</v>
          </cell>
          <cell r="B72">
            <v>1</v>
          </cell>
          <cell r="C72">
            <v>0.9</v>
          </cell>
        </row>
        <row r="73">
          <cell r="A73" t="str">
            <v>GLOBPARTS</v>
          </cell>
          <cell r="B73">
            <v>1.5</v>
          </cell>
          <cell r="C73">
            <v>0.9</v>
          </cell>
        </row>
        <row r="74">
          <cell r="A74" t="str">
            <v>GORY-ANE</v>
          </cell>
          <cell r="B74">
            <v>1</v>
          </cell>
          <cell r="C74">
            <v>0.9</v>
          </cell>
        </row>
        <row r="75">
          <cell r="A75" t="str">
            <v>GRATT</v>
          </cell>
          <cell r="B75">
            <v>1</v>
          </cell>
          <cell r="C75">
            <v>0.9</v>
          </cell>
        </row>
        <row r="76">
          <cell r="A76" t="str">
            <v>GUIGO</v>
          </cell>
          <cell r="B76">
            <v>1</v>
          </cell>
          <cell r="C76">
            <v>0.9</v>
          </cell>
        </row>
        <row r="77">
          <cell r="A77" t="str">
            <v>HOLLYWOOD</v>
          </cell>
          <cell r="B77">
            <v>1</v>
          </cell>
          <cell r="C77">
            <v>0.9</v>
          </cell>
        </row>
        <row r="78">
          <cell r="A78" t="str">
            <v>ITAENSE</v>
          </cell>
          <cell r="B78">
            <v>1</v>
          </cell>
          <cell r="C78">
            <v>0.9</v>
          </cell>
        </row>
        <row r="79">
          <cell r="A79" t="str">
            <v>ITCHO</v>
          </cell>
          <cell r="B79">
            <v>1</v>
          </cell>
          <cell r="C79">
            <v>0.9</v>
          </cell>
        </row>
        <row r="80">
          <cell r="A80" t="str">
            <v>IVANDRO VIECELLI</v>
          </cell>
          <cell r="B80">
            <v>1</v>
          </cell>
          <cell r="C80">
            <v>0.9</v>
          </cell>
        </row>
        <row r="81">
          <cell r="A81" t="str">
            <v>JACOB BIEZUS</v>
          </cell>
          <cell r="B81">
            <v>1</v>
          </cell>
          <cell r="C81">
            <v>0.9</v>
          </cell>
        </row>
        <row r="82">
          <cell r="A82" t="str">
            <v>JESSE</v>
          </cell>
          <cell r="B82">
            <v>1</v>
          </cell>
          <cell r="C82">
            <v>0.9</v>
          </cell>
        </row>
        <row r="83">
          <cell r="A83" t="str">
            <v>JET CAR</v>
          </cell>
          <cell r="B83">
            <v>1</v>
          </cell>
          <cell r="C83">
            <v>0.9</v>
          </cell>
        </row>
        <row r="84">
          <cell r="A84" t="str">
            <v>JVF ESQUADRIAS</v>
          </cell>
          <cell r="B84">
            <v>1</v>
          </cell>
          <cell r="C84">
            <v>0.9</v>
          </cell>
        </row>
        <row r="85">
          <cell r="A85" t="str">
            <v>KEKO</v>
          </cell>
          <cell r="B85">
            <v>1</v>
          </cell>
          <cell r="C85">
            <v>0.9</v>
          </cell>
        </row>
        <row r="86">
          <cell r="A86" t="str">
            <v>KERBER</v>
          </cell>
          <cell r="B86">
            <v>1</v>
          </cell>
          <cell r="C86">
            <v>0.9</v>
          </cell>
        </row>
        <row r="87">
          <cell r="A87" t="str">
            <v>LAEFE</v>
          </cell>
          <cell r="B87">
            <v>1</v>
          </cell>
          <cell r="C87">
            <v>0.9</v>
          </cell>
        </row>
        <row r="88">
          <cell r="A88" t="str">
            <v>LATA LISA</v>
          </cell>
          <cell r="B88">
            <v>1</v>
          </cell>
          <cell r="C88">
            <v>0.9</v>
          </cell>
        </row>
        <row r="89">
          <cell r="A89" t="str">
            <v>LATINO</v>
          </cell>
          <cell r="B89">
            <v>1</v>
          </cell>
          <cell r="C89">
            <v>0.9</v>
          </cell>
        </row>
        <row r="90">
          <cell r="A90" t="str">
            <v>LAZZARIN</v>
          </cell>
          <cell r="B90">
            <v>1</v>
          </cell>
          <cell r="C90">
            <v>0.9</v>
          </cell>
        </row>
        <row r="91">
          <cell r="A91" t="str">
            <v>LIDER</v>
          </cell>
          <cell r="B91">
            <v>1</v>
          </cell>
          <cell r="C91">
            <v>0.9</v>
          </cell>
        </row>
        <row r="92">
          <cell r="A92" t="str">
            <v>LILI DALACOSTA</v>
          </cell>
          <cell r="B92">
            <v>1</v>
          </cell>
          <cell r="C92">
            <v>0.9</v>
          </cell>
        </row>
        <row r="93">
          <cell r="A93" t="str">
            <v>LIS</v>
          </cell>
          <cell r="B93">
            <v>1</v>
          </cell>
          <cell r="C93">
            <v>0.9</v>
          </cell>
        </row>
        <row r="94">
          <cell r="A94" t="str">
            <v>MAGARINOS</v>
          </cell>
          <cell r="B94">
            <v>1</v>
          </cell>
          <cell r="C94">
            <v>0.9</v>
          </cell>
        </row>
        <row r="95">
          <cell r="A95" t="str">
            <v>MAGAVEL</v>
          </cell>
          <cell r="B95">
            <v>1</v>
          </cell>
          <cell r="C95">
            <v>0.9</v>
          </cell>
        </row>
        <row r="96">
          <cell r="A96" t="str">
            <v>MAQDIMA</v>
          </cell>
          <cell r="B96">
            <v>1</v>
          </cell>
          <cell r="C96">
            <v>0.9</v>
          </cell>
        </row>
        <row r="97">
          <cell r="A97" t="str">
            <v>MARCHIORO</v>
          </cell>
          <cell r="B97">
            <v>1</v>
          </cell>
          <cell r="C97">
            <v>0.9</v>
          </cell>
        </row>
        <row r="98">
          <cell r="A98" t="str">
            <v>MARECO</v>
          </cell>
          <cell r="B98">
            <v>1</v>
          </cell>
          <cell r="C98">
            <v>0.9</v>
          </cell>
        </row>
        <row r="99">
          <cell r="A99" t="str">
            <v>MARTINELLO</v>
          </cell>
          <cell r="B99">
            <v>1</v>
          </cell>
          <cell r="C99">
            <v>0.9</v>
          </cell>
        </row>
        <row r="100">
          <cell r="A100" t="str">
            <v>MASSOCCO</v>
          </cell>
          <cell r="B100">
            <v>1</v>
          </cell>
          <cell r="C100">
            <v>0.9</v>
          </cell>
        </row>
        <row r="101">
          <cell r="A101" t="str">
            <v>MATIOLO</v>
          </cell>
          <cell r="B101">
            <v>1</v>
          </cell>
          <cell r="C101">
            <v>0.9</v>
          </cell>
        </row>
        <row r="102">
          <cell r="A102" t="str">
            <v>MAURICIO ARENDT</v>
          </cell>
          <cell r="B102">
            <v>1</v>
          </cell>
          <cell r="C102">
            <v>0.9</v>
          </cell>
        </row>
        <row r="103">
          <cell r="A103" t="str">
            <v>MINELLA MOTOS</v>
          </cell>
          <cell r="B103">
            <v>1</v>
          </cell>
          <cell r="C103">
            <v>0.9</v>
          </cell>
        </row>
        <row r="104">
          <cell r="A104" t="str">
            <v>MOURA</v>
          </cell>
          <cell r="B104">
            <v>1</v>
          </cell>
          <cell r="C104">
            <v>0.9</v>
          </cell>
        </row>
        <row r="105">
          <cell r="A105" t="str">
            <v>MOVEIS BR</v>
          </cell>
          <cell r="B105">
            <v>1</v>
          </cell>
          <cell r="C105">
            <v>0.9</v>
          </cell>
        </row>
        <row r="106">
          <cell r="A106" t="str">
            <v>MOVELARIA MAGARINOS</v>
          </cell>
          <cell r="B106">
            <v>1</v>
          </cell>
          <cell r="C106">
            <v>0.9</v>
          </cell>
        </row>
        <row r="107">
          <cell r="A107" t="str">
            <v>MOVER MEIVULOS</v>
          </cell>
          <cell r="B107">
            <v>1</v>
          </cell>
          <cell r="C107">
            <v>0.9</v>
          </cell>
        </row>
        <row r="108">
          <cell r="A108" t="str">
            <v>MW AUTO CROMO</v>
          </cell>
          <cell r="B108">
            <v>1</v>
          </cell>
          <cell r="C108">
            <v>0.9</v>
          </cell>
        </row>
        <row r="109">
          <cell r="A109" t="str">
            <v>MWW VEICULOS</v>
          </cell>
          <cell r="B109">
            <v>1</v>
          </cell>
          <cell r="C109">
            <v>0.9</v>
          </cell>
        </row>
        <row r="110">
          <cell r="A110" t="str">
            <v>NENE</v>
          </cell>
          <cell r="B110">
            <v>1</v>
          </cell>
          <cell r="C110">
            <v>0.9</v>
          </cell>
        </row>
        <row r="111">
          <cell r="A111" t="str">
            <v>NH TRATORES</v>
          </cell>
          <cell r="B111">
            <v>1</v>
          </cell>
          <cell r="C111">
            <v>0.9</v>
          </cell>
        </row>
        <row r="112">
          <cell r="A112" t="str">
            <v>NORIMAR MORETTO</v>
          </cell>
          <cell r="B112">
            <v>1</v>
          </cell>
          <cell r="C112">
            <v>0.9</v>
          </cell>
        </row>
        <row r="113">
          <cell r="A113" t="str">
            <v>OESTE TINTAS</v>
          </cell>
          <cell r="B113">
            <v>1</v>
          </cell>
          <cell r="C113">
            <v>0.9</v>
          </cell>
        </row>
        <row r="114">
          <cell r="A114" t="str">
            <v>OLDONI</v>
          </cell>
          <cell r="B114">
            <v>1</v>
          </cell>
          <cell r="C114">
            <v>0.9</v>
          </cell>
        </row>
        <row r="115">
          <cell r="A115" t="str">
            <v>PARAISO</v>
          </cell>
          <cell r="B115">
            <v>1</v>
          </cell>
          <cell r="C115">
            <v>0.9</v>
          </cell>
        </row>
        <row r="116">
          <cell r="A116" t="str">
            <v>PAULÃO TINTAS</v>
          </cell>
          <cell r="B116">
            <v>1</v>
          </cell>
          <cell r="C116">
            <v>0.9</v>
          </cell>
        </row>
        <row r="117">
          <cell r="A117" t="str">
            <v>PAVAN</v>
          </cell>
          <cell r="B117">
            <v>1</v>
          </cell>
          <cell r="C117">
            <v>0.9</v>
          </cell>
        </row>
        <row r="118">
          <cell r="A118" t="str">
            <v>PECINI</v>
          </cell>
          <cell r="B118">
            <v>1</v>
          </cell>
          <cell r="C118">
            <v>0.9</v>
          </cell>
        </row>
        <row r="119">
          <cell r="A119" t="str">
            <v>PILATTI</v>
          </cell>
          <cell r="B119">
            <v>1</v>
          </cell>
          <cell r="C119">
            <v>0.9</v>
          </cell>
        </row>
        <row r="120">
          <cell r="A120" t="str">
            <v>PIVICA VEICULOS</v>
          </cell>
          <cell r="B120">
            <v>1</v>
          </cell>
          <cell r="C120">
            <v>0.9</v>
          </cell>
        </row>
        <row r="121">
          <cell r="A121" t="str">
            <v>POTCHECA</v>
          </cell>
          <cell r="B121">
            <v>1</v>
          </cell>
          <cell r="C121">
            <v>0.9</v>
          </cell>
        </row>
        <row r="122">
          <cell r="A122" t="str">
            <v>PREFEITURA</v>
          </cell>
          <cell r="B122">
            <v>1</v>
          </cell>
          <cell r="C122">
            <v>0.9</v>
          </cell>
        </row>
        <row r="123">
          <cell r="A123" t="str">
            <v>RC REPARAÇÃO</v>
          </cell>
          <cell r="B123">
            <v>1</v>
          </cell>
          <cell r="C123">
            <v>0.9</v>
          </cell>
        </row>
        <row r="124">
          <cell r="A124" t="str">
            <v>RETOK CAR</v>
          </cell>
          <cell r="B124">
            <v>1</v>
          </cell>
          <cell r="C124">
            <v>0.9</v>
          </cell>
        </row>
        <row r="125">
          <cell r="A125" t="str">
            <v>REVESTIR</v>
          </cell>
          <cell r="B125">
            <v>1</v>
          </cell>
          <cell r="C125">
            <v>0.9</v>
          </cell>
        </row>
        <row r="126">
          <cell r="A126" t="str">
            <v>RIBEIRO E COLLA</v>
          </cell>
          <cell r="B126">
            <v>1</v>
          </cell>
          <cell r="C126">
            <v>0.9</v>
          </cell>
        </row>
        <row r="127">
          <cell r="A127" t="str">
            <v>RISK JET</v>
          </cell>
          <cell r="B127">
            <v>1</v>
          </cell>
          <cell r="C127">
            <v>0.9</v>
          </cell>
        </row>
        <row r="128">
          <cell r="A128" t="str">
            <v>RODACAR</v>
          </cell>
          <cell r="B128">
            <v>1</v>
          </cell>
          <cell r="C128">
            <v>0.9</v>
          </cell>
        </row>
        <row r="129">
          <cell r="A129" t="str">
            <v>RODRIGUES JBA</v>
          </cell>
          <cell r="B129">
            <v>1</v>
          </cell>
          <cell r="C129">
            <v>0.9</v>
          </cell>
        </row>
        <row r="130">
          <cell r="A130" t="str">
            <v>ROGER</v>
          </cell>
          <cell r="B130">
            <v>1</v>
          </cell>
          <cell r="C130">
            <v>0.9</v>
          </cell>
        </row>
        <row r="131">
          <cell r="A131" t="str">
            <v>RS AUTOMOVEIS</v>
          </cell>
          <cell r="B131">
            <v>1</v>
          </cell>
          <cell r="C131">
            <v>0.9</v>
          </cell>
        </row>
        <row r="132">
          <cell r="A132" t="str">
            <v>SADI BARROTO</v>
          </cell>
          <cell r="B132">
            <v>1</v>
          </cell>
          <cell r="C132">
            <v>0.9</v>
          </cell>
        </row>
        <row r="133">
          <cell r="A133" t="str">
            <v>SANTA PEDRA</v>
          </cell>
          <cell r="B133">
            <v>1</v>
          </cell>
          <cell r="C133">
            <v>0.9</v>
          </cell>
        </row>
        <row r="134">
          <cell r="A134" t="str">
            <v>SANTOS</v>
          </cell>
          <cell r="B134">
            <v>1</v>
          </cell>
          <cell r="C134">
            <v>0.9</v>
          </cell>
        </row>
        <row r="135">
          <cell r="A135" t="str">
            <v>SASSÁ</v>
          </cell>
          <cell r="B135">
            <v>1</v>
          </cell>
          <cell r="C135">
            <v>0.9</v>
          </cell>
        </row>
        <row r="136">
          <cell r="A136" t="str">
            <v>SCHROEDER</v>
          </cell>
          <cell r="B136">
            <v>1</v>
          </cell>
          <cell r="C136">
            <v>0.9</v>
          </cell>
        </row>
        <row r="137">
          <cell r="A137" t="str">
            <v>SCHUMACHER ARABUTÃ</v>
          </cell>
          <cell r="B137">
            <v>1</v>
          </cell>
          <cell r="C137">
            <v>0.9</v>
          </cell>
        </row>
        <row r="138">
          <cell r="A138" t="str">
            <v>SCHUMACHER PERITIBA</v>
          </cell>
          <cell r="B138">
            <v>1</v>
          </cell>
          <cell r="C138">
            <v>0.9</v>
          </cell>
        </row>
        <row r="139">
          <cell r="A139" t="str">
            <v>SERGIO DUTCHEWICZ</v>
          </cell>
          <cell r="B139">
            <v>1</v>
          </cell>
          <cell r="C139">
            <v>0.9</v>
          </cell>
        </row>
        <row r="140">
          <cell r="A140" t="str">
            <v>SESI</v>
          </cell>
          <cell r="B140">
            <v>1</v>
          </cell>
          <cell r="C140">
            <v>0.9</v>
          </cell>
        </row>
        <row r="141">
          <cell r="A141" t="str">
            <v>SETA ENGENHARIA</v>
          </cell>
          <cell r="B141">
            <v>1</v>
          </cell>
          <cell r="C141">
            <v>0.9</v>
          </cell>
        </row>
        <row r="142">
          <cell r="A142" t="str">
            <v>SETTE</v>
          </cell>
          <cell r="B142">
            <v>1</v>
          </cell>
          <cell r="C142">
            <v>0.9</v>
          </cell>
        </row>
        <row r="143">
          <cell r="A143" t="str">
            <v>SIDNEI DALVESCO</v>
          </cell>
          <cell r="B143">
            <v>1</v>
          </cell>
          <cell r="C143">
            <v>0.9</v>
          </cell>
        </row>
        <row r="144">
          <cell r="A144" t="str">
            <v>SIMIONI</v>
          </cell>
          <cell r="B144">
            <v>1</v>
          </cell>
          <cell r="C144">
            <v>0.9</v>
          </cell>
        </row>
        <row r="145">
          <cell r="A145" t="str">
            <v>SONO</v>
          </cell>
          <cell r="B145">
            <v>1</v>
          </cell>
          <cell r="C145">
            <v>0.9</v>
          </cell>
        </row>
        <row r="146">
          <cell r="A146" t="str">
            <v>STRASBOURG</v>
          </cell>
          <cell r="B146">
            <v>1</v>
          </cell>
          <cell r="C146">
            <v>0.9</v>
          </cell>
        </row>
        <row r="147">
          <cell r="A147" t="str">
            <v>SUL BRASIL</v>
          </cell>
          <cell r="B147">
            <v>1</v>
          </cell>
          <cell r="C147">
            <v>0.9</v>
          </cell>
        </row>
        <row r="148">
          <cell r="A148" t="str">
            <v>SULENTA</v>
          </cell>
          <cell r="B148">
            <v>1</v>
          </cell>
          <cell r="C148">
            <v>0.9</v>
          </cell>
        </row>
        <row r="149">
          <cell r="A149" t="str">
            <v>TATA</v>
          </cell>
          <cell r="B149">
            <v>1</v>
          </cell>
          <cell r="C149">
            <v>0.9</v>
          </cell>
        </row>
        <row r="150">
          <cell r="A150" t="str">
            <v>THERMOVITA</v>
          </cell>
          <cell r="B150">
            <v>1</v>
          </cell>
          <cell r="C150">
            <v>0.9</v>
          </cell>
        </row>
        <row r="151">
          <cell r="A151" t="str">
            <v>TOP TRUCK</v>
          </cell>
          <cell r="B151">
            <v>1</v>
          </cell>
          <cell r="C151">
            <v>0.9</v>
          </cell>
        </row>
        <row r="152">
          <cell r="A152" t="str">
            <v>TUTI</v>
          </cell>
          <cell r="B152">
            <v>1</v>
          </cell>
          <cell r="C152">
            <v>0.9</v>
          </cell>
        </row>
        <row r="153">
          <cell r="A153" t="str">
            <v>TUTUBA</v>
          </cell>
          <cell r="B153">
            <v>1</v>
          </cell>
          <cell r="C153">
            <v>0.9</v>
          </cell>
        </row>
        <row r="154">
          <cell r="A154" t="str">
            <v>USINA DO SOM</v>
          </cell>
          <cell r="B154">
            <v>1</v>
          </cell>
          <cell r="C154">
            <v>0.9</v>
          </cell>
        </row>
        <row r="155">
          <cell r="A155" t="str">
            <v>VALCA</v>
          </cell>
          <cell r="B155">
            <v>1.1000000000000001</v>
          </cell>
          <cell r="C155">
            <v>1.3</v>
          </cell>
        </row>
        <row r="156">
          <cell r="A156" t="str">
            <v>VALTER GONÇALVES</v>
          </cell>
          <cell r="B156">
            <v>1</v>
          </cell>
          <cell r="C156">
            <v>0.9</v>
          </cell>
        </row>
        <row r="157">
          <cell r="A157" t="str">
            <v>VECO</v>
          </cell>
          <cell r="B157">
            <v>1</v>
          </cell>
          <cell r="C157">
            <v>0.9</v>
          </cell>
        </row>
        <row r="158">
          <cell r="A158" t="str">
            <v>VIDECAR</v>
          </cell>
          <cell r="B158">
            <v>1</v>
          </cell>
          <cell r="C158">
            <v>0.9</v>
          </cell>
        </row>
        <row r="159">
          <cell r="A159" t="str">
            <v>VJ PEROZIN</v>
          </cell>
          <cell r="B159">
            <v>1</v>
          </cell>
          <cell r="C159">
            <v>0.9</v>
          </cell>
        </row>
        <row r="160">
          <cell r="A160" t="str">
            <v>VOLNEI</v>
          </cell>
          <cell r="B160">
            <v>1</v>
          </cell>
          <cell r="C160">
            <v>0.9</v>
          </cell>
        </row>
        <row r="161">
          <cell r="A161" t="str">
            <v>WILLY</v>
          </cell>
          <cell r="B161">
            <v>1</v>
          </cell>
          <cell r="C161">
            <v>0.9</v>
          </cell>
        </row>
        <row r="162">
          <cell r="A162" t="str">
            <v>Z3</v>
          </cell>
          <cell r="B162">
            <v>1</v>
          </cell>
          <cell r="C162">
            <v>0.9</v>
          </cell>
        </row>
        <row r="163">
          <cell r="A163" t="str">
            <v>ZANELLA</v>
          </cell>
          <cell r="B163">
            <v>1</v>
          </cell>
          <cell r="C163">
            <v>0.9</v>
          </cell>
        </row>
        <row r="164">
          <cell r="A164" t="str">
            <v>ZUMBI</v>
          </cell>
          <cell r="B164">
            <v>1</v>
          </cell>
          <cell r="C164">
            <v>0.9</v>
          </cell>
        </row>
        <row r="165">
          <cell r="A165" t="str">
            <v>EDILSON</v>
          </cell>
          <cell r="B165">
            <v>1</v>
          </cell>
          <cell r="C165">
            <v>0.9</v>
          </cell>
        </row>
        <row r="166">
          <cell r="A166" t="str">
            <v>ODAIR MENEGATTI</v>
          </cell>
          <cell r="B166">
            <v>1</v>
          </cell>
          <cell r="C166">
            <v>0.9</v>
          </cell>
        </row>
        <row r="167">
          <cell r="A167">
            <v>0</v>
          </cell>
          <cell r="B167">
            <v>1</v>
          </cell>
          <cell r="C167">
            <v>0.9</v>
          </cell>
        </row>
        <row r="168">
          <cell r="A168">
            <v>0</v>
          </cell>
          <cell r="B168">
            <v>1</v>
          </cell>
          <cell r="C168">
            <v>0.9</v>
          </cell>
        </row>
        <row r="169">
          <cell r="A169">
            <v>0</v>
          </cell>
          <cell r="B169">
            <v>1</v>
          </cell>
          <cell r="C169">
            <v>0.9</v>
          </cell>
        </row>
        <row r="170">
          <cell r="A170">
            <v>0</v>
          </cell>
          <cell r="B170">
            <v>1</v>
          </cell>
          <cell r="C170">
            <v>0.9</v>
          </cell>
        </row>
        <row r="171">
          <cell r="A171">
            <v>0</v>
          </cell>
          <cell r="B171">
            <v>1</v>
          </cell>
          <cell r="C171">
            <v>0.9</v>
          </cell>
        </row>
        <row r="172">
          <cell r="A172">
            <v>0</v>
          </cell>
          <cell r="B172">
            <v>1</v>
          </cell>
          <cell r="C172">
            <v>0.9</v>
          </cell>
        </row>
        <row r="173">
          <cell r="A173">
            <v>0</v>
          </cell>
          <cell r="B173">
            <v>1</v>
          </cell>
          <cell r="C173">
            <v>0.9</v>
          </cell>
        </row>
        <row r="174">
          <cell r="A174">
            <v>0</v>
          </cell>
          <cell r="B174">
            <v>1</v>
          </cell>
          <cell r="C174">
            <v>0.9</v>
          </cell>
        </row>
        <row r="175">
          <cell r="A175">
            <v>0</v>
          </cell>
          <cell r="B175">
            <v>1</v>
          </cell>
          <cell r="C175">
            <v>0.9</v>
          </cell>
        </row>
        <row r="176">
          <cell r="A176">
            <v>0</v>
          </cell>
          <cell r="B176">
            <v>1</v>
          </cell>
          <cell r="C176">
            <v>0.9</v>
          </cell>
        </row>
        <row r="177">
          <cell r="A177">
            <v>0</v>
          </cell>
          <cell r="B177">
            <v>1</v>
          </cell>
          <cell r="C177">
            <v>0.9</v>
          </cell>
        </row>
        <row r="178">
          <cell r="A178">
            <v>0</v>
          </cell>
          <cell r="B178">
            <v>1</v>
          </cell>
          <cell r="C178">
            <v>0.9</v>
          </cell>
        </row>
        <row r="179">
          <cell r="A179">
            <v>0</v>
          </cell>
          <cell r="B179">
            <v>1</v>
          </cell>
          <cell r="C179">
            <v>0.9</v>
          </cell>
        </row>
        <row r="180">
          <cell r="A180">
            <v>0</v>
          </cell>
          <cell r="B180">
            <v>1</v>
          </cell>
          <cell r="C180">
            <v>0.9</v>
          </cell>
        </row>
        <row r="181">
          <cell r="A181">
            <v>0</v>
          </cell>
          <cell r="B181">
            <v>1</v>
          </cell>
          <cell r="C181">
            <v>0.9</v>
          </cell>
        </row>
        <row r="182">
          <cell r="A182">
            <v>0</v>
          </cell>
          <cell r="B182">
            <v>1</v>
          </cell>
          <cell r="C182">
            <v>0.9</v>
          </cell>
        </row>
        <row r="183">
          <cell r="A183">
            <v>0</v>
          </cell>
          <cell r="B183">
            <v>1</v>
          </cell>
          <cell r="C183">
            <v>0.9</v>
          </cell>
        </row>
        <row r="184">
          <cell r="A184">
            <v>0</v>
          </cell>
          <cell r="B184">
            <v>1</v>
          </cell>
          <cell r="C184">
            <v>0.9</v>
          </cell>
        </row>
        <row r="185">
          <cell r="A185">
            <v>0</v>
          </cell>
          <cell r="B185">
            <v>1</v>
          </cell>
          <cell r="C185">
            <v>0.9</v>
          </cell>
        </row>
        <row r="186">
          <cell r="A186">
            <v>0</v>
          </cell>
          <cell r="B186">
            <v>1</v>
          </cell>
          <cell r="C186">
            <v>0.9</v>
          </cell>
        </row>
        <row r="187">
          <cell r="A187">
            <v>0</v>
          </cell>
          <cell r="B187">
            <v>1</v>
          </cell>
          <cell r="C187">
            <v>0.9</v>
          </cell>
        </row>
        <row r="188">
          <cell r="A188">
            <v>0</v>
          </cell>
          <cell r="B188">
            <v>1</v>
          </cell>
          <cell r="C188">
            <v>0.9</v>
          </cell>
        </row>
        <row r="189">
          <cell r="A189">
            <v>0</v>
          </cell>
          <cell r="B189">
            <v>1</v>
          </cell>
          <cell r="C189">
            <v>0.9</v>
          </cell>
        </row>
        <row r="190">
          <cell r="A190">
            <v>0</v>
          </cell>
          <cell r="B190">
            <v>1</v>
          </cell>
          <cell r="C190">
            <v>0.9</v>
          </cell>
        </row>
        <row r="191">
          <cell r="A191">
            <v>0</v>
          </cell>
          <cell r="B191">
            <v>1</v>
          </cell>
          <cell r="C191">
            <v>0.9</v>
          </cell>
        </row>
        <row r="192">
          <cell r="A192">
            <v>0</v>
          </cell>
          <cell r="B192">
            <v>1</v>
          </cell>
          <cell r="C192">
            <v>0.9</v>
          </cell>
        </row>
        <row r="193">
          <cell r="A193">
            <v>0</v>
          </cell>
          <cell r="B193">
            <v>1</v>
          </cell>
          <cell r="C193">
            <v>0.9</v>
          </cell>
        </row>
        <row r="194">
          <cell r="A194">
            <v>0</v>
          </cell>
          <cell r="B194">
            <v>1</v>
          </cell>
          <cell r="C194">
            <v>0.9</v>
          </cell>
        </row>
        <row r="195">
          <cell r="A195">
            <v>0</v>
          </cell>
          <cell r="B195">
            <v>1</v>
          </cell>
          <cell r="C195">
            <v>0.9</v>
          </cell>
        </row>
        <row r="196">
          <cell r="A196">
            <v>0</v>
          </cell>
          <cell r="B196">
            <v>1</v>
          </cell>
          <cell r="C196">
            <v>0.9</v>
          </cell>
        </row>
        <row r="197">
          <cell r="A197">
            <v>0</v>
          </cell>
          <cell r="B197">
            <v>1</v>
          </cell>
          <cell r="C197">
            <v>0.9</v>
          </cell>
        </row>
        <row r="198">
          <cell r="A198">
            <v>0</v>
          </cell>
          <cell r="B198">
            <v>1</v>
          </cell>
          <cell r="C198">
            <v>0.9</v>
          </cell>
        </row>
        <row r="199">
          <cell r="A199">
            <v>0</v>
          </cell>
          <cell r="B199">
            <v>1</v>
          </cell>
          <cell r="C199">
            <v>0.9</v>
          </cell>
        </row>
        <row r="200">
          <cell r="A200">
            <v>0</v>
          </cell>
          <cell r="B200">
            <v>1</v>
          </cell>
          <cell r="C200">
            <v>0.9</v>
          </cell>
        </row>
        <row r="201">
          <cell r="A201">
            <v>0</v>
          </cell>
          <cell r="B201">
            <v>1</v>
          </cell>
          <cell r="C201">
            <v>0.9</v>
          </cell>
        </row>
        <row r="202">
          <cell r="A202">
            <v>0</v>
          </cell>
          <cell r="B202">
            <v>1</v>
          </cell>
          <cell r="C202">
            <v>0.9</v>
          </cell>
        </row>
        <row r="203">
          <cell r="A203">
            <v>0</v>
          </cell>
          <cell r="B203">
            <v>1</v>
          </cell>
          <cell r="C203">
            <v>0.9</v>
          </cell>
        </row>
      </sheetData>
      <sheetData sheetId="2">
        <row r="1">
          <cell r="A1" t="str">
            <v>Cliente</v>
          </cell>
          <cell r="B1" t="str">
            <v>Tipo Embalagem</v>
          </cell>
        </row>
        <row r="2">
          <cell r="A2" t="str">
            <v>ADEMIR MIOTTO</v>
          </cell>
          <cell r="B2" t="str">
            <v>Plástico</v>
          </cell>
        </row>
        <row r="3">
          <cell r="A3" t="str">
            <v>ALC PNEUS</v>
          </cell>
          <cell r="B3" t="str">
            <v>Plástico</v>
          </cell>
        </row>
        <row r="4">
          <cell r="A4" t="str">
            <v>ALEX OLIVEIRA</v>
          </cell>
          <cell r="B4" t="str">
            <v>Plástico</v>
          </cell>
        </row>
        <row r="5">
          <cell r="A5" t="str">
            <v>AUTO ELITE</v>
          </cell>
          <cell r="B5" t="str">
            <v>Plástico</v>
          </cell>
        </row>
        <row r="6">
          <cell r="A6" t="str">
            <v>BAIANO</v>
          </cell>
          <cell r="B6" t="str">
            <v>Plástico</v>
          </cell>
        </row>
        <row r="7">
          <cell r="A7" t="str">
            <v>BANANA</v>
          </cell>
          <cell r="B7" t="str">
            <v>Plástico</v>
          </cell>
        </row>
        <row r="8">
          <cell r="A8" t="str">
            <v>BANANINHA</v>
          </cell>
          <cell r="B8" t="str">
            <v>Plástico</v>
          </cell>
        </row>
        <row r="9">
          <cell r="A9" t="str">
            <v>BARTOLO</v>
          </cell>
          <cell r="B9" t="str">
            <v>Plástico</v>
          </cell>
        </row>
        <row r="10">
          <cell r="A10" t="str">
            <v>BATTISTELLA</v>
          </cell>
          <cell r="B10" t="str">
            <v>Plástico</v>
          </cell>
        </row>
        <row r="11">
          <cell r="A11" t="str">
            <v>BECKER</v>
          </cell>
          <cell r="B11" t="str">
            <v>Plástico</v>
          </cell>
        </row>
        <row r="12">
          <cell r="A12" t="str">
            <v>BIKE MOTOS</v>
          </cell>
          <cell r="B12" t="str">
            <v>Plástico</v>
          </cell>
        </row>
        <row r="13">
          <cell r="A13" t="str">
            <v>BOA VISTA</v>
          </cell>
          <cell r="B13" t="str">
            <v>Plástico</v>
          </cell>
        </row>
        <row r="14">
          <cell r="A14" t="str">
            <v>BORRACHARIA</v>
          </cell>
          <cell r="B14" t="str">
            <v>Plástico</v>
          </cell>
        </row>
        <row r="15">
          <cell r="A15" t="str">
            <v>BORRACHARIA BRASIL</v>
          </cell>
          <cell r="B15" t="str">
            <v>Plástico</v>
          </cell>
        </row>
        <row r="16">
          <cell r="A16" t="str">
            <v>BR CONCÓRDIA</v>
          </cell>
          <cell r="B16" t="str">
            <v>Plástico</v>
          </cell>
        </row>
        <row r="17">
          <cell r="A17" t="str">
            <v>BROETTO</v>
          </cell>
          <cell r="B17" t="str">
            <v>Plástico</v>
          </cell>
        </row>
        <row r="18">
          <cell r="A18" t="str">
            <v>BROETTO CAPINZAL</v>
          </cell>
          <cell r="B18" t="str">
            <v>Plástico</v>
          </cell>
        </row>
        <row r="19">
          <cell r="A19" t="str">
            <v>BUDA</v>
          </cell>
          <cell r="B19" t="str">
            <v>Plástico</v>
          </cell>
        </row>
        <row r="20">
          <cell r="A20" t="str">
            <v>CANVEL</v>
          </cell>
          <cell r="B20" t="str">
            <v>Plástico</v>
          </cell>
        </row>
        <row r="21">
          <cell r="A21" t="str">
            <v>CAPUCHO</v>
          </cell>
          <cell r="B21" t="str">
            <v>Plástico</v>
          </cell>
        </row>
        <row r="22">
          <cell r="A22" t="str">
            <v>CARANDIRU</v>
          </cell>
          <cell r="B22" t="str">
            <v>Plástico</v>
          </cell>
        </row>
        <row r="23">
          <cell r="A23" t="str">
            <v>CARBONI</v>
          </cell>
          <cell r="B23" t="str">
            <v>Plástico</v>
          </cell>
        </row>
        <row r="24">
          <cell r="A24" t="str">
            <v>CAVALIERI</v>
          </cell>
          <cell r="B24" t="str">
            <v>Plástico</v>
          </cell>
        </row>
        <row r="25">
          <cell r="A25" t="str">
            <v>CAVALIERI BR</v>
          </cell>
          <cell r="B25" t="str">
            <v>Plástico</v>
          </cell>
        </row>
        <row r="26">
          <cell r="A26" t="str">
            <v>CELSO HOFF</v>
          </cell>
          <cell r="B26" t="str">
            <v>Plástico</v>
          </cell>
        </row>
        <row r="27">
          <cell r="A27" t="str">
            <v>CELULOSE IRANI</v>
          </cell>
          <cell r="B27" t="str">
            <v>Plástico</v>
          </cell>
        </row>
        <row r="28">
          <cell r="A28" t="str">
            <v>CG REFORMAS</v>
          </cell>
          <cell r="B28" t="str">
            <v>Plástico</v>
          </cell>
        </row>
        <row r="29">
          <cell r="A29" t="str">
            <v>CHAPARTE</v>
          </cell>
          <cell r="B29" t="str">
            <v>Plástico</v>
          </cell>
        </row>
        <row r="30">
          <cell r="A30" t="str">
            <v>CHILOF</v>
          </cell>
          <cell r="B30" t="str">
            <v>Plástico</v>
          </cell>
        </row>
        <row r="31">
          <cell r="A31" t="str">
            <v>CL CHAPEAÇÃO</v>
          </cell>
          <cell r="B31" t="str">
            <v>Plástico</v>
          </cell>
        </row>
        <row r="32">
          <cell r="A32" t="str">
            <v>CLADIR TRAGNAGO</v>
          </cell>
          <cell r="B32" t="str">
            <v>Plástico</v>
          </cell>
        </row>
        <row r="33">
          <cell r="A33" t="str">
            <v>CLAYTON</v>
          </cell>
          <cell r="B33" t="str">
            <v>Plástico</v>
          </cell>
        </row>
        <row r="34">
          <cell r="A34" t="str">
            <v>CLEBERSON DUTRA</v>
          </cell>
          <cell r="B34" t="str">
            <v>Plástico</v>
          </cell>
        </row>
        <row r="35">
          <cell r="A35" t="str">
            <v>CORDIAL</v>
          </cell>
          <cell r="B35" t="str">
            <v>Plástico</v>
          </cell>
        </row>
        <row r="36">
          <cell r="A36" t="str">
            <v>CRISTIANO DALLACOSTA</v>
          </cell>
          <cell r="B36" t="str">
            <v>Plástico</v>
          </cell>
        </row>
        <row r="37">
          <cell r="A37" t="str">
            <v>CROSS MOTOS</v>
          </cell>
          <cell r="B37" t="str">
            <v>Plástico</v>
          </cell>
        </row>
        <row r="38">
          <cell r="A38" t="str">
            <v>CUMERLATTO</v>
          </cell>
          <cell r="B38" t="str">
            <v>Plástico</v>
          </cell>
        </row>
        <row r="39">
          <cell r="A39" t="str">
            <v>D E D</v>
          </cell>
          <cell r="B39" t="str">
            <v>Plástico</v>
          </cell>
        </row>
        <row r="40">
          <cell r="A40" t="str">
            <v>D&amp;D MATRIZAMENTO</v>
          </cell>
          <cell r="B40" t="str">
            <v>Plástico</v>
          </cell>
        </row>
        <row r="41">
          <cell r="A41" t="str">
            <v>DALMAQ</v>
          </cell>
          <cell r="B41" t="str">
            <v>Plástico</v>
          </cell>
        </row>
        <row r="42">
          <cell r="A42" t="str">
            <v>DALTOÉ</v>
          </cell>
          <cell r="B42" t="str">
            <v>Plástico</v>
          </cell>
        </row>
        <row r="43">
          <cell r="A43" t="str">
            <v>DARFER</v>
          </cell>
          <cell r="B43" t="str">
            <v>Plástico</v>
          </cell>
        </row>
        <row r="44">
          <cell r="A44" t="str">
            <v>DAVICAR</v>
          </cell>
          <cell r="B44" t="str">
            <v>Plástico</v>
          </cell>
        </row>
        <row r="45">
          <cell r="A45" t="str">
            <v>DE MARCO</v>
          </cell>
          <cell r="B45" t="str">
            <v>Plástico</v>
          </cell>
        </row>
        <row r="46">
          <cell r="A46" t="str">
            <v>DÉDO</v>
          </cell>
          <cell r="B46" t="str">
            <v>Plástico</v>
          </cell>
        </row>
        <row r="47">
          <cell r="A47" t="str">
            <v>DETALHE ESQUADRIAS</v>
          </cell>
          <cell r="B47" t="str">
            <v>Plástico</v>
          </cell>
        </row>
        <row r="48">
          <cell r="A48" t="str">
            <v>DICAVE</v>
          </cell>
          <cell r="B48" t="str">
            <v>Plástico</v>
          </cell>
        </row>
        <row r="49">
          <cell r="A49" t="str">
            <v>DICO</v>
          </cell>
          <cell r="B49" t="str">
            <v>Plástico</v>
          </cell>
        </row>
        <row r="50">
          <cell r="A50" t="str">
            <v>DJ MOTOS</v>
          </cell>
          <cell r="B50" t="str">
            <v>Plástico</v>
          </cell>
        </row>
        <row r="51">
          <cell r="A51" t="str">
            <v>ELISEO</v>
          </cell>
          <cell r="B51" t="str">
            <v>Plástico</v>
          </cell>
        </row>
        <row r="52">
          <cell r="A52" t="str">
            <v>ELOIR LECARDELLI</v>
          </cell>
          <cell r="B52" t="str">
            <v>Plástico</v>
          </cell>
        </row>
        <row r="53">
          <cell r="A53" t="str">
            <v>ENEIS BARBIERI</v>
          </cell>
          <cell r="B53" t="str">
            <v>Plástico</v>
          </cell>
        </row>
        <row r="54">
          <cell r="A54" t="str">
            <v>FANTIN</v>
          </cell>
          <cell r="B54" t="str">
            <v>Plástico</v>
          </cell>
        </row>
        <row r="55">
          <cell r="A55" t="str">
            <v>FAROL</v>
          </cell>
          <cell r="B55" t="str">
            <v>Plástico</v>
          </cell>
        </row>
        <row r="56">
          <cell r="A56" t="str">
            <v>FASOLO</v>
          </cell>
          <cell r="B56" t="str">
            <v>Plástico</v>
          </cell>
        </row>
        <row r="57">
          <cell r="A57" t="str">
            <v>FERMAC</v>
          </cell>
          <cell r="B57" t="str">
            <v>Plástico</v>
          </cell>
        </row>
        <row r="58">
          <cell r="A58" t="str">
            <v>FERRONATTO</v>
          </cell>
          <cell r="B58" t="str">
            <v>Plástico</v>
          </cell>
        </row>
        <row r="59">
          <cell r="A59" t="str">
            <v>FLAVIO MOTOS</v>
          </cell>
          <cell r="B59" t="str">
            <v>Plástico</v>
          </cell>
        </row>
        <row r="60">
          <cell r="A60" t="str">
            <v>FRAN</v>
          </cell>
          <cell r="B60" t="str">
            <v>Plástico</v>
          </cell>
        </row>
        <row r="61">
          <cell r="A61" t="str">
            <v>FRANCESCHINA</v>
          </cell>
          <cell r="B61" t="str">
            <v>Plástico</v>
          </cell>
        </row>
        <row r="62">
          <cell r="A62" t="str">
            <v>FRANCIS</v>
          </cell>
          <cell r="B62" t="str">
            <v>Plástico</v>
          </cell>
        </row>
        <row r="63">
          <cell r="A63" t="str">
            <v>FUMAÇA</v>
          </cell>
          <cell r="B63" t="str">
            <v>Plástico</v>
          </cell>
        </row>
        <row r="64">
          <cell r="A64" t="str">
            <v>FUNILARIA FAMA</v>
          </cell>
          <cell r="B64" t="str">
            <v>Plástico</v>
          </cell>
        </row>
        <row r="65">
          <cell r="A65" t="str">
            <v>G3 SOLUÇÕES</v>
          </cell>
          <cell r="B65" t="str">
            <v>Plástico</v>
          </cell>
        </row>
        <row r="66">
          <cell r="A66" t="str">
            <v>GB REFRIGERAÇÃO</v>
          </cell>
          <cell r="B66" t="str">
            <v>Plástico</v>
          </cell>
        </row>
        <row r="67">
          <cell r="A67" t="str">
            <v>GERA AUTOMAÇÃO</v>
          </cell>
          <cell r="B67" t="str">
            <v>Plástico</v>
          </cell>
        </row>
        <row r="68">
          <cell r="A68" t="str">
            <v>GIACOMIM</v>
          </cell>
          <cell r="B68" t="str">
            <v>Plástico</v>
          </cell>
        </row>
        <row r="69">
          <cell r="A69" t="str">
            <v>GILMAR</v>
          </cell>
          <cell r="B69" t="str">
            <v>Plástico</v>
          </cell>
        </row>
        <row r="70">
          <cell r="A70" t="str">
            <v>GIRARDI</v>
          </cell>
          <cell r="B70" t="str">
            <v>Plástico</v>
          </cell>
        </row>
        <row r="71">
          <cell r="A71" t="str">
            <v>GLOBPARTS</v>
          </cell>
          <cell r="B71" t="str">
            <v>Metal</v>
          </cell>
        </row>
        <row r="72">
          <cell r="A72" t="str">
            <v>GORY-ANE</v>
          </cell>
          <cell r="B72" t="str">
            <v>Plástico</v>
          </cell>
        </row>
        <row r="73">
          <cell r="A73" t="str">
            <v>GRATT</v>
          </cell>
          <cell r="B73" t="str">
            <v>Plástico</v>
          </cell>
        </row>
        <row r="74">
          <cell r="A74" t="str">
            <v>GUIGO</v>
          </cell>
          <cell r="B74" t="str">
            <v>Plástico</v>
          </cell>
        </row>
        <row r="75">
          <cell r="A75" t="str">
            <v>HOLLYWOOD</v>
          </cell>
          <cell r="B75" t="str">
            <v>Plástico</v>
          </cell>
        </row>
        <row r="76">
          <cell r="A76" t="str">
            <v>ITAENSE</v>
          </cell>
          <cell r="B76" t="str">
            <v>Plástico</v>
          </cell>
        </row>
        <row r="77">
          <cell r="A77" t="str">
            <v>ITCHO</v>
          </cell>
          <cell r="B77" t="str">
            <v>Plástico</v>
          </cell>
        </row>
        <row r="78">
          <cell r="A78" t="str">
            <v>IVANDRO VIECELLI</v>
          </cell>
          <cell r="B78" t="str">
            <v>Plástico</v>
          </cell>
        </row>
        <row r="79">
          <cell r="A79" t="str">
            <v>JACOB BIEZUS</v>
          </cell>
          <cell r="B79" t="str">
            <v>Plástico</v>
          </cell>
        </row>
        <row r="80">
          <cell r="A80" t="str">
            <v>JESSE</v>
          </cell>
          <cell r="B80" t="str">
            <v>Plástico</v>
          </cell>
        </row>
        <row r="81">
          <cell r="A81" t="str">
            <v>JET CAR</v>
          </cell>
          <cell r="B81" t="str">
            <v>Plástico</v>
          </cell>
        </row>
        <row r="82">
          <cell r="A82" t="str">
            <v>JVF ESQUADRIAS</v>
          </cell>
          <cell r="B82" t="str">
            <v>Plástico</v>
          </cell>
        </row>
        <row r="83">
          <cell r="A83" t="str">
            <v>KEKO</v>
          </cell>
          <cell r="B83" t="str">
            <v>Plástico</v>
          </cell>
        </row>
        <row r="84">
          <cell r="A84" t="str">
            <v>KERBER</v>
          </cell>
          <cell r="B84" t="str">
            <v>Plástico</v>
          </cell>
        </row>
        <row r="85">
          <cell r="A85" t="str">
            <v>LAEFE</v>
          </cell>
          <cell r="B85" t="str">
            <v>Plástico</v>
          </cell>
        </row>
        <row r="86">
          <cell r="A86" t="str">
            <v>LATA LISA</v>
          </cell>
          <cell r="B86" t="str">
            <v>Plástico</v>
          </cell>
        </row>
        <row r="87">
          <cell r="A87" t="str">
            <v>LATINO</v>
          </cell>
          <cell r="B87" t="str">
            <v>Plástico</v>
          </cell>
        </row>
        <row r="88">
          <cell r="A88" t="str">
            <v>LAZZARIN</v>
          </cell>
          <cell r="B88" t="str">
            <v>Plástico</v>
          </cell>
        </row>
        <row r="89">
          <cell r="A89" t="str">
            <v>LIDER</v>
          </cell>
          <cell r="B89" t="str">
            <v>Plástico</v>
          </cell>
        </row>
        <row r="90">
          <cell r="A90" t="str">
            <v>LILI DALACOSTA</v>
          </cell>
          <cell r="B90" t="str">
            <v>Plástico</v>
          </cell>
        </row>
        <row r="91">
          <cell r="A91" t="str">
            <v>LIS</v>
          </cell>
          <cell r="B91" t="str">
            <v>Plástico</v>
          </cell>
        </row>
        <row r="92">
          <cell r="A92" t="str">
            <v>MAGARINOS</v>
          </cell>
          <cell r="B92" t="str">
            <v>Plástico</v>
          </cell>
        </row>
        <row r="93">
          <cell r="A93" t="str">
            <v>MAGAVEL</v>
          </cell>
          <cell r="B93" t="str">
            <v>Plástico</v>
          </cell>
        </row>
        <row r="94">
          <cell r="A94" t="str">
            <v>MAQDIMA</v>
          </cell>
          <cell r="B94" t="str">
            <v>Plástico</v>
          </cell>
        </row>
        <row r="95">
          <cell r="A95" t="str">
            <v>MARCHIORO</v>
          </cell>
          <cell r="B95" t="str">
            <v>Plástico</v>
          </cell>
        </row>
        <row r="96">
          <cell r="A96" t="str">
            <v>MARECO</v>
          </cell>
          <cell r="B96" t="str">
            <v>Plástico</v>
          </cell>
        </row>
        <row r="97">
          <cell r="A97" t="str">
            <v>MARTINELLO</v>
          </cell>
          <cell r="B97" t="str">
            <v>Plástico</v>
          </cell>
        </row>
        <row r="98">
          <cell r="A98" t="str">
            <v>MASSOCCO</v>
          </cell>
          <cell r="B98" t="str">
            <v>Plástico</v>
          </cell>
        </row>
        <row r="99">
          <cell r="A99" t="str">
            <v>MATIOLO</v>
          </cell>
          <cell r="B99" t="str">
            <v>Plástico</v>
          </cell>
        </row>
        <row r="100">
          <cell r="A100" t="str">
            <v>MAURICIO ARENDT</v>
          </cell>
          <cell r="B100" t="str">
            <v>Plástico</v>
          </cell>
        </row>
        <row r="101">
          <cell r="A101" t="str">
            <v>MINELLA MOTOS</v>
          </cell>
          <cell r="B101" t="str">
            <v>Plástico</v>
          </cell>
        </row>
        <row r="102">
          <cell r="A102" t="str">
            <v>MOURA</v>
          </cell>
          <cell r="B102" t="str">
            <v>Plástico</v>
          </cell>
        </row>
        <row r="103">
          <cell r="A103" t="str">
            <v>MOVEIS BR</v>
          </cell>
          <cell r="B103" t="str">
            <v>Plástico</v>
          </cell>
        </row>
        <row r="104">
          <cell r="A104" t="str">
            <v>MOVELARIA MAGARINOS</v>
          </cell>
          <cell r="B104" t="str">
            <v>Plástico</v>
          </cell>
        </row>
        <row r="105">
          <cell r="A105" t="str">
            <v>MOVER MEIVULOS</v>
          </cell>
          <cell r="B105" t="str">
            <v>Plástico</v>
          </cell>
        </row>
        <row r="106">
          <cell r="A106" t="str">
            <v>MW AUTO CROMO</v>
          </cell>
          <cell r="B106" t="str">
            <v>Plástico</v>
          </cell>
        </row>
        <row r="107">
          <cell r="A107" t="str">
            <v>MWW VEICULOS</v>
          </cell>
          <cell r="B107" t="str">
            <v>Plástico</v>
          </cell>
        </row>
        <row r="108">
          <cell r="A108" t="str">
            <v>NENE</v>
          </cell>
          <cell r="B108" t="str">
            <v>Plástico</v>
          </cell>
        </row>
        <row r="109">
          <cell r="A109" t="str">
            <v>NH TRATORES</v>
          </cell>
          <cell r="B109" t="str">
            <v>Plástico</v>
          </cell>
        </row>
        <row r="110">
          <cell r="A110" t="str">
            <v>NORIMAR MORETTO</v>
          </cell>
          <cell r="B110" t="str">
            <v>Plástico</v>
          </cell>
        </row>
        <row r="111">
          <cell r="A111" t="str">
            <v>OESTE TINTAS</v>
          </cell>
          <cell r="B111" t="str">
            <v>Plástico</v>
          </cell>
        </row>
        <row r="112">
          <cell r="A112" t="str">
            <v>OLDONI</v>
          </cell>
          <cell r="B112" t="str">
            <v>Plástico</v>
          </cell>
        </row>
        <row r="113">
          <cell r="A113" t="str">
            <v>PARAISO</v>
          </cell>
          <cell r="B113" t="str">
            <v>Plástico</v>
          </cell>
        </row>
        <row r="114">
          <cell r="A114" t="str">
            <v>PAULÃO TINTAS</v>
          </cell>
          <cell r="B114" t="str">
            <v>Plástico</v>
          </cell>
        </row>
        <row r="115">
          <cell r="A115" t="str">
            <v>PAVAN</v>
          </cell>
          <cell r="B115" t="str">
            <v>Plástico</v>
          </cell>
        </row>
        <row r="116">
          <cell r="A116" t="str">
            <v>PECINI</v>
          </cell>
          <cell r="B116" t="str">
            <v>Plástico</v>
          </cell>
        </row>
        <row r="117">
          <cell r="A117" t="str">
            <v>PILATTI</v>
          </cell>
          <cell r="B117" t="str">
            <v>Plástico</v>
          </cell>
        </row>
        <row r="118">
          <cell r="A118" t="str">
            <v>PIVICA VEICULOS</v>
          </cell>
          <cell r="B118" t="str">
            <v>Plástico</v>
          </cell>
        </row>
        <row r="119">
          <cell r="A119" t="str">
            <v>POTCHECA</v>
          </cell>
          <cell r="B119" t="str">
            <v>Plástico</v>
          </cell>
        </row>
        <row r="120">
          <cell r="A120" t="str">
            <v>PREFEITURA</v>
          </cell>
          <cell r="B120" t="str">
            <v>Plástico</v>
          </cell>
        </row>
        <row r="121">
          <cell r="A121" t="str">
            <v>RC REPARAÇÃO</v>
          </cell>
          <cell r="B121" t="str">
            <v>Plástico</v>
          </cell>
        </row>
        <row r="122">
          <cell r="A122" t="str">
            <v>RETOK CAR</v>
          </cell>
          <cell r="B122" t="str">
            <v>Plástico</v>
          </cell>
        </row>
        <row r="123">
          <cell r="A123" t="str">
            <v>REVESTIR</v>
          </cell>
          <cell r="B123" t="str">
            <v>Plástico</v>
          </cell>
        </row>
        <row r="124">
          <cell r="A124" t="str">
            <v>RIBEIRO E COLLA</v>
          </cell>
          <cell r="B124" t="str">
            <v>Plástico</v>
          </cell>
        </row>
        <row r="125">
          <cell r="A125" t="str">
            <v>RISK JET</v>
          </cell>
          <cell r="B125" t="str">
            <v>Plástico</v>
          </cell>
        </row>
        <row r="126">
          <cell r="A126" t="str">
            <v>RODACAR</v>
          </cell>
          <cell r="B126" t="str">
            <v>Plástico</v>
          </cell>
        </row>
        <row r="127">
          <cell r="A127" t="str">
            <v>RODRIGUES JBA</v>
          </cell>
          <cell r="B127" t="str">
            <v>Plástico</v>
          </cell>
        </row>
        <row r="128">
          <cell r="A128" t="str">
            <v>ROGER</v>
          </cell>
          <cell r="B128" t="str">
            <v>Plástico</v>
          </cell>
        </row>
        <row r="129">
          <cell r="A129" t="str">
            <v>RS AUTOMOVEIS</v>
          </cell>
          <cell r="B129" t="str">
            <v>Plástico</v>
          </cell>
        </row>
        <row r="130">
          <cell r="A130" t="str">
            <v>SADI BARROTO</v>
          </cell>
          <cell r="B130" t="str">
            <v>Plástico</v>
          </cell>
        </row>
        <row r="131">
          <cell r="A131" t="str">
            <v>SANTA PEDRA</v>
          </cell>
          <cell r="B131" t="str">
            <v>Plástico</v>
          </cell>
        </row>
        <row r="132">
          <cell r="A132" t="str">
            <v>SANTOS</v>
          </cell>
          <cell r="B132" t="str">
            <v>Plástico</v>
          </cell>
        </row>
        <row r="133">
          <cell r="A133" t="str">
            <v>SASSÁ</v>
          </cell>
          <cell r="B133" t="str">
            <v>Plástico</v>
          </cell>
        </row>
        <row r="134">
          <cell r="A134" t="str">
            <v>SCHROEDER</v>
          </cell>
          <cell r="B134" t="str">
            <v>Plástico</v>
          </cell>
        </row>
        <row r="135">
          <cell r="A135" t="str">
            <v>SCHUMACHER ARABUTÃ</v>
          </cell>
          <cell r="B135" t="str">
            <v>Plástico</v>
          </cell>
        </row>
        <row r="136">
          <cell r="A136" t="str">
            <v>SCHUMACHER PERITIBA</v>
          </cell>
          <cell r="B136" t="str">
            <v>Plástico</v>
          </cell>
        </row>
        <row r="137">
          <cell r="A137" t="str">
            <v>SERGIO DUTCHEWICZ</v>
          </cell>
          <cell r="B137" t="str">
            <v>Plástico</v>
          </cell>
        </row>
        <row r="138">
          <cell r="A138" t="str">
            <v>SESI</v>
          </cell>
          <cell r="B138" t="str">
            <v>Plástico</v>
          </cell>
        </row>
        <row r="139">
          <cell r="A139" t="str">
            <v>SETA ENGENHARIA</v>
          </cell>
          <cell r="B139" t="str">
            <v>Plástico</v>
          </cell>
        </row>
        <row r="140">
          <cell r="A140" t="str">
            <v>SETTE</v>
          </cell>
          <cell r="B140" t="str">
            <v>Plástico</v>
          </cell>
        </row>
        <row r="141">
          <cell r="A141" t="str">
            <v>SIDNEI DALVESCO</v>
          </cell>
          <cell r="B141" t="str">
            <v>Plástico</v>
          </cell>
        </row>
        <row r="142">
          <cell r="A142" t="str">
            <v>SIMIONI</v>
          </cell>
          <cell r="B142" t="str">
            <v>Plástico</v>
          </cell>
        </row>
        <row r="143">
          <cell r="A143" t="str">
            <v>SONO</v>
          </cell>
          <cell r="B143" t="str">
            <v>Plástico</v>
          </cell>
        </row>
        <row r="144">
          <cell r="A144" t="str">
            <v>STRASBOURG</v>
          </cell>
          <cell r="B144" t="str">
            <v>Plástico</v>
          </cell>
        </row>
        <row r="145">
          <cell r="A145" t="str">
            <v>SUL BRASIL</v>
          </cell>
          <cell r="B145" t="str">
            <v>Plástico</v>
          </cell>
        </row>
        <row r="146">
          <cell r="A146" t="str">
            <v>SULENTA</v>
          </cell>
          <cell r="B146" t="str">
            <v>Metal</v>
          </cell>
        </row>
        <row r="147">
          <cell r="A147" t="str">
            <v>TATA</v>
          </cell>
          <cell r="B147" t="str">
            <v>Plástico</v>
          </cell>
        </row>
        <row r="148">
          <cell r="A148" t="str">
            <v>THERMOVITA</v>
          </cell>
          <cell r="B148" t="str">
            <v>Plástico</v>
          </cell>
        </row>
        <row r="149">
          <cell r="A149" t="str">
            <v>TOP TRUCK</v>
          </cell>
          <cell r="B149" t="str">
            <v>Plástico</v>
          </cell>
        </row>
        <row r="150">
          <cell r="A150" t="str">
            <v>TUTI</v>
          </cell>
          <cell r="B150" t="str">
            <v>Plástico</v>
          </cell>
        </row>
        <row r="151">
          <cell r="A151" t="str">
            <v>TUTUBA</v>
          </cell>
          <cell r="B151" t="str">
            <v>Plástico</v>
          </cell>
        </row>
        <row r="152">
          <cell r="A152" t="str">
            <v>USINA DO SOM</v>
          </cell>
          <cell r="B152" t="str">
            <v>Plástico</v>
          </cell>
        </row>
        <row r="153">
          <cell r="A153" t="str">
            <v>VALCA</v>
          </cell>
          <cell r="B153" t="str">
            <v>Plástico</v>
          </cell>
        </row>
        <row r="154">
          <cell r="A154" t="str">
            <v>VALTER GONÇALVES</v>
          </cell>
          <cell r="B154" t="str">
            <v>Metal</v>
          </cell>
        </row>
        <row r="155">
          <cell r="A155" t="str">
            <v>VECO</v>
          </cell>
          <cell r="B155" t="str">
            <v>Plástico</v>
          </cell>
        </row>
        <row r="156">
          <cell r="A156" t="str">
            <v>VIDECAR</v>
          </cell>
          <cell r="B156" t="str">
            <v>Plástico</v>
          </cell>
        </row>
        <row r="157">
          <cell r="A157" t="str">
            <v>VJ PEROZIN</v>
          </cell>
          <cell r="B157" t="str">
            <v>Plástico</v>
          </cell>
        </row>
        <row r="158">
          <cell r="A158" t="str">
            <v>VOLNEI</v>
          </cell>
          <cell r="B158" t="str">
            <v>Plástico</v>
          </cell>
        </row>
        <row r="159">
          <cell r="A159" t="str">
            <v>WILLY</v>
          </cell>
          <cell r="B159" t="str">
            <v>Plástico</v>
          </cell>
        </row>
        <row r="160">
          <cell r="A160" t="str">
            <v>Z3</v>
          </cell>
          <cell r="B160" t="str">
            <v>Plástico</v>
          </cell>
        </row>
        <row r="161">
          <cell r="A161" t="str">
            <v>ZANELLA</v>
          </cell>
          <cell r="B161" t="str">
            <v>Plástico</v>
          </cell>
        </row>
        <row r="162">
          <cell r="A162" t="str">
            <v>ZUMBI</v>
          </cell>
          <cell r="B162" t="str">
            <v>Plástico</v>
          </cell>
        </row>
        <row r="163">
          <cell r="A163" t="str">
            <v>EDILSON</v>
          </cell>
          <cell r="B163" t="str">
            <v>Plástico</v>
          </cell>
        </row>
        <row r="164">
          <cell r="A164" t="str">
            <v>ODAIR MENEGATTI</v>
          </cell>
          <cell r="B164" t="str">
            <v>Metal</v>
          </cell>
        </row>
        <row r="165">
          <cell r="A165">
            <v>0</v>
          </cell>
          <cell r="B165" t="str">
            <v/>
          </cell>
        </row>
        <row r="166">
          <cell r="A166">
            <v>0</v>
          </cell>
          <cell r="B166" t="str">
            <v/>
          </cell>
        </row>
        <row r="167">
          <cell r="A167">
            <v>0</v>
          </cell>
          <cell r="B167" t="str">
            <v/>
          </cell>
        </row>
        <row r="168">
          <cell r="A168">
            <v>0</v>
          </cell>
          <cell r="B168" t="str">
            <v/>
          </cell>
        </row>
        <row r="169">
          <cell r="A169">
            <v>0</v>
          </cell>
          <cell r="B169" t="str">
            <v/>
          </cell>
        </row>
        <row r="170">
          <cell r="A170">
            <v>0</v>
          </cell>
          <cell r="B170" t="str">
            <v/>
          </cell>
        </row>
        <row r="171">
          <cell r="A171">
            <v>0</v>
          </cell>
          <cell r="B171" t="str">
            <v/>
          </cell>
        </row>
        <row r="172">
          <cell r="A172">
            <v>0</v>
          </cell>
          <cell r="B172" t="str">
            <v/>
          </cell>
        </row>
        <row r="173">
          <cell r="A173">
            <v>0</v>
          </cell>
          <cell r="B173" t="str">
            <v/>
          </cell>
        </row>
        <row r="174">
          <cell r="A174">
            <v>0</v>
          </cell>
          <cell r="B174" t="str">
            <v/>
          </cell>
        </row>
        <row r="175">
          <cell r="A175">
            <v>0</v>
          </cell>
          <cell r="B175" t="str">
            <v/>
          </cell>
        </row>
        <row r="176">
          <cell r="A176">
            <v>0</v>
          </cell>
          <cell r="B176" t="str">
            <v/>
          </cell>
        </row>
        <row r="177">
          <cell r="A177">
            <v>0</v>
          </cell>
          <cell r="B177" t="str">
            <v/>
          </cell>
        </row>
        <row r="178">
          <cell r="A178">
            <v>0</v>
          </cell>
          <cell r="B178" t="str">
            <v/>
          </cell>
        </row>
        <row r="179">
          <cell r="A179">
            <v>0</v>
          </cell>
          <cell r="B179" t="str">
            <v/>
          </cell>
        </row>
        <row r="180">
          <cell r="A180">
            <v>0</v>
          </cell>
          <cell r="B180" t="str">
            <v/>
          </cell>
        </row>
        <row r="181">
          <cell r="A181">
            <v>0</v>
          </cell>
          <cell r="B181" t="str">
            <v/>
          </cell>
        </row>
        <row r="182">
          <cell r="A182">
            <v>0</v>
          </cell>
          <cell r="B182" t="str">
            <v/>
          </cell>
        </row>
        <row r="183">
          <cell r="A183">
            <v>0</v>
          </cell>
          <cell r="B183" t="str">
            <v/>
          </cell>
        </row>
        <row r="184">
          <cell r="A184">
            <v>0</v>
          </cell>
          <cell r="B184" t="str">
            <v/>
          </cell>
        </row>
        <row r="185">
          <cell r="A185">
            <v>0</v>
          </cell>
          <cell r="B185" t="str">
            <v/>
          </cell>
        </row>
        <row r="186">
          <cell r="A186">
            <v>0</v>
          </cell>
          <cell r="B186" t="str">
            <v/>
          </cell>
        </row>
        <row r="187">
          <cell r="A187">
            <v>0</v>
          </cell>
          <cell r="B187" t="str">
            <v/>
          </cell>
        </row>
        <row r="188">
          <cell r="A188">
            <v>0</v>
          </cell>
          <cell r="B188" t="str">
            <v/>
          </cell>
        </row>
        <row r="189">
          <cell r="A189">
            <v>0</v>
          </cell>
          <cell r="B189" t="str">
            <v/>
          </cell>
        </row>
        <row r="190">
          <cell r="A190">
            <v>0</v>
          </cell>
          <cell r="B190" t="str">
            <v/>
          </cell>
        </row>
        <row r="191">
          <cell r="A191">
            <v>0</v>
          </cell>
          <cell r="B191" t="str">
            <v/>
          </cell>
        </row>
        <row r="192">
          <cell r="A192">
            <v>0</v>
          </cell>
          <cell r="B192" t="str">
            <v/>
          </cell>
        </row>
        <row r="193">
          <cell r="A193">
            <v>0</v>
          </cell>
          <cell r="B193" t="str">
            <v/>
          </cell>
        </row>
        <row r="194">
          <cell r="A194">
            <v>0</v>
          </cell>
          <cell r="B194" t="str">
            <v/>
          </cell>
        </row>
        <row r="195">
          <cell r="A195">
            <v>0</v>
          </cell>
          <cell r="B195" t="str">
            <v/>
          </cell>
        </row>
        <row r="196">
          <cell r="A196">
            <v>0</v>
          </cell>
          <cell r="B196" t="str">
            <v/>
          </cell>
        </row>
        <row r="197">
          <cell r="A197">
            <v>0</v>
          </cell>
          <cell r="B197" t="str">
            <v/>
          </cell>
        </row>
        <row r="198">
          <cell r="A198">
            <v>0</v>
          </cell>
          <cell r="B198" t="str">
            <v/>
          </cell>
        </row>
        <row r="199">
          <cell r="A199">
            <v>0</v>
          </cell>
          <cell r="B199" t="str">
            <v/>
          </cell>
        </row>
        <row r="200">
          <cell r="A200">
            <v>0</v>
          </cell>
          <cell r="B200" t="str">
            <v/>
          </cell>
        </row>
        <row r="201">
          <cell r="A201">
            <v>0</v>
          </cell>
          <cell r="B201" t="str">
            <v/>
          </cell>
        </row>
      </sheetData>
      <sheetData sheetId="3">
        <row r="2">
          <cell r="A2" t="str">
            <v>740</v>
          </cell>
          <cell r="B2">
            <v>32</v>
          </cell>
          <cell r="C2" t="str">
            <v>D740 DELTRON BC BLACK 3.5LT</v>
          </cell>
          <cell r="D2">
            <v>364.14</v>
          </cell>
          <cell r="E2">
            <v>3290</v>
          </cell>
          <cell r="F2">
            <v>0.11068085106382979</v>
          </cell>
          <cell r="G2">
            <v>0.2</v>
          </cell>
          <cell r="H2">
            <v>8.5000000000000006E-2</v>
          </cell>
          <cell r="I2">
            <v>0.14410646808510638</v>
          </cell>
          <cell r="J2">
            <v>3.5</v>
          </cell>
        </row>
        <row r="3">
          <cell r="A3" t="str">
            <v>741</v>
          </cell>
          <cell r="B3">
            <v>33</v>
          </cell>
          <cell r="C3" t="str">
            <v>D741 DELTRON BC BRIGHT BLUE 1LT</v>
          </cell>
          <cell r="D3">
            <v>62.56</v>
          </cell>
          <cell r="E3">
            <v>947</v>
          </cell>
          <cell r="F3">
            <v>6.6061246040126712E-2</v>
          </cell>
          <cell r="G3">
            <v>0.2</v>
          </cell>
          <cell r="H3">
            <v>8.5000000000000006E-2</v>
          </cell>
          <cell r="I3">
            <v>8.6011742344244982E-2</v>
          </cell>
          <cell r="J3">
            <v>1</v>
          </cell>
        </row>
        <row r="4">
          <cell r="A4" t="str">
            <v>744</v>
          </cell>
          <cell r="B4">
            <v>34</v>
          </cell>
          <cell r="C4" t="str">
            <v>D744 DELTRON BC WARM YELLOW 1LT</v>
          </cell>
          <cell r="D4">
            <v>118.46</v>
          </cell>
          <cell r="E4">
            <v>950</v>
          </cell>
          <cell r="F4">
            <v>0.12469473684210526</v>
          </cell>
          <cell r="G4">
            <v>0.2</v>
          </cell>
          <cell r="H4">
            <v>8.5000000000000006E-2</v>
          </cell>
          <cell r="I4">
            <v>0.16235254736842106</v>
          </cell>
          <cell r="J4">
            <v>1</v>
          </cell>
        </row>
        <row r="5">
          <cell r="A5" t="str">
            <v>746</v>
          </cell>
          <cell r="B5">
            <v>35</v>
          </cell>
          <cell r="C5" t="str">
            <v>D746 DELTRON BC MAGENTA 1LT</v>
          </cell>
          <cell r="D5">
            <v>137.33000000000001</v>
          </cell>
          <cell r="E5">
            <v>961</v>
          </cell>
          <cell r="F5">
            <v>0.14290322580645162</v>
          </cell>
          <cell r="G5">
            <v>0.2</v>
          </cell>
          <cell r="H5">
            <v>8.5000000000000006E-2</v>
          </cell>
          <cell r="I5">
            <v>0.18606000000000003</v>
          </cell>
          <cell r="J5">
            <v>1</v>
          </cell>
        </row>
        <row r="6">
          <cell r="A6" t="str">
            <v>748</v>
          </cell>
          <cell r="B6">
            <v>36</v>
          </cell>
          <cell r="C6" t="str">
            <v>D748 TRANSPARENT MARROM 1LT</v>
          </cell>
          <cell r="D6">
            <v>117.08</v>
          </cell>
          <cell r="E6">
            <v>944</v>
          </cell>
          <cell r="F6">
            <v>0.12402542372881356</v>
          </cell>
          <cell r="G6">
            <v>0.2</v>
          </cell>
          <cell r="H6">
            <v>8.5000000000000006E-2</v>
          </cell>
          <cell r="I6">
            <v>0.16148110169491525</v>
          </cell>
          <cell r="J6">
            <v>1</v>
          </cell>
        </row>
        <row r="7">
          <cell r="A7" t="str">
            <v>749</v>
          </cell>
          <cell r="B7">
            <v>447</v>
          </cell>
          <cell r="C7" t="str">
            <v>D749 DELTRON BC BROWN</v>
          </cell>
          <cell r="D7">
            <v>157.19999999999999</v>
          </cell>
          <cell r="E7">
            <v>963</v>
          </cell>
          <cell r="F7">
            <v>0.1632398753894081</v>
          </cell>
          <cell r="G7">
            <v>0.2</v>
          </cell>
          <cell r="H7">
            <v>8.5000000000000006E-2</v>
          </cell>
          <cell r="I7">
            <v>0.21253831775700932</v>
          </cell>
          <cell r="J7">
            <v>1</v>
          </cell>
        </row>
        <row r="8">
          <cell r="A8" t="str">
            <v>750</v>
          </cell>
          <cell r="B8">
            <v>37</v>
          </cell>
          <cell r="C8" t="str">
            <v>D750 DELTRON BC OLIVE 1LT</v>
          </cell>
          <cell r="D8">
            <v>88.51</v>
          </cell>
          <cell r="E8">
            <v>943</v>
          </cell>
          <cell r="F8">
            <v>9.386002120890774E-2</v>
          </cell>
          <cell r="G8">
            <v>0.2</v>
          </cell>
          <cell r="H8">
            <v>8.5000000000000006E-2</v>
          </cell>
          <cell r="I8">
            <v>0.12220574761399788</v>
          </cell>
          <cell r="J8">
            <v>1</v>
          </cell>
        </row>
        <row r="9">
          <cell r="A9" t="str">
            <v>751</v>
          </cell>
          <cell r="B9">
            <v>1153</v>
          </cell>
          <cell r="C9" t="str">
            <v>D751 DELTRON BC WHITE PEARL</v>
          </cell>
          <cell r="D9">
            <v>153.22</v>
          </cell>
          <cell r="E9">
            <v>992</v>
          </cell>
          <cell r="F9">
            <v>0.15445564516129032</v>
          </cell>
          <cell r="G9">
            <v>0.2</v>
          </cell>
          <cell r="H9">
            <v>8.5000000000000006E-2</v>
          </cell>
          <cell r="I9">
            <v>0.20110125000000001</v>
          </cell>
          <cell r="J9">
            <v>1</v>
          </cell>
        </row>
        <row r="10">
          <cell r="A10" t="str">
            <v>752</v>
          </cell>
          <cell r="B10">
            <v>38</v>
          </cell>
          <cell r="C10" t="str">
            <v>D752 DELTRON BC RED 1LT</v>
          </cell>
          <cell r="D10">
            <v>142.31</v>
          </cell>
          <cell r="E10">
            <v>961</v>
          </cell>
          <cell r="F10">
            <v>0.14808532778355879</v>
          </cell>
          <cell r="G10">
            <v>0.2</v>
          </cell>
          <cell r="H10">
            <v>8.5000000000000006E-2</v>
          </cell>
          <cell r="I10">
            <v>0.19280709677419355</v>
          </cell>
          <cell r="J10">
            <v>1</v>
          </cell>
        </row>
        <row r="11">
          <cell r="A11" t="str">
            <v>753</v>
          </cell>
          <cell r="B11">
            <v>720</v>
          </cell>
          <cell r="C11" t="str">
            <v>D753 DELTRON BC BASECOAT WHITE 1LT  - PPG</v>
          </cell>
          <cell r="D11">
            <v>108.85</v>
          </cell>
          <cell r="E11">
            <v>1240</v>
          </cell>
          <cell r="F11">
            <v>8.778225806451613E-2</v>
          </cell>
          <cell r="G11">
            <v>0.2</v>
          </cell>
          <cell r="H11">
            <v>8.5000000000000006E-2</v>
          </cell>
          <cell r="I11">
            <v>0.11429250000000001</v>
          </cell>
          <cell r="J11">
            <v>1</v>
          </cell>
        </row>
        <row r="12">
          <cell r="A12" t="str">
            <v>754</v>
          </cell>
          <cell r="B12">
            <v>39</v>
          </cell>
          <cell r="C12" t="str">
            <v>D754 DELTRON BC TRANSPARENT BLUE 1LT</v>
          </cell>
          <cell r="D12">
            <v>70.17</v>
          </cell>
          <cell r="E12">
            <v>945</v>
          </cell>
          <cell r="F12">
            <v>7.4253968253968253E-2</v>
          </cell>
          <cell r="G12">
            <v>0.2</v>
          </cell>
          <cell r="H12">
            <v>8.5000000000000006E-2</v>
          </cell>
          <cell r="I12">
            <v>9.6678666666666677E-2</v>
          </cell>
          <cell r="J12">
            <v>1</v>
          </cell>
        </row>
        <row r="13">
          <cell r="A13" t="str">
            <v>756</v>
          </cell>
          <cell r="B13">
            <v>40</v>
          </cell>
          <cell r="C13" t="str">
            <v>D756 DELTRON BC BLUE BLACK 1LT</v>
          </cell>
          <cell r="D13">
            <v>68.3</v>
          </cell>
          <cell r="E13">
            <v>953</v>
          </cell>
          <cell r="F13">
            <v>7.1668415529905563E-2</v>
          </cell>
          <cell r="G13">
            <v>0.2</v>
          </cell>
          <cell r="H13">
            <v>8.5000000000000006E-2</v>
          </cell>
          <cell r="I13">
            <v>9.3312277019937037E-2</v>
          </cell>
          <cell r="J13">
            <v>1</v>
          </cell>
        </row>
        <row r="14">
          <cell r="A14" t="str">
            <v>757</v>
          </cell>
          <cell r="B14">
            <v>586</v>
          </cell>
          <cell r="C14" t="str">
            <v>D757 DELTRON BC RUBY</v>
          </cell>
          <cell r="D14">
            <v>231.52</v>
          </cell>
          <cell r="E14">
            <v>937</v>
          </cell>
          <cell r="F14">
            <v>0.24708644610458913</v>
          </cell>
          <cell r="G14">
            <v>0.2</v>
          </cell>
          <cell r="H14">
            <v>8.5000000000000006E-2</v>
          </cell>
          <cell r="I14">
            <v>0.32170655282817506</v>
          </cell>
          <cell r="J14">
            <v>1</v>
          </cell>
        </row>
        <row r="15">
          <cell r="A15" t="str">
            <v>759</v>
          </cell>
          <cell r="B15">
            <v>1109</v>
          </cell>
          <cell r="C15" t="str">
            <v>D759 DELTRON BC BASE MATEANTE</v>
          </cell>
          <cell r="D15">
            <v>115.07</v>
          </cell>
          <cell r="E15">
            <v>977</v>
          </cell>
          <cell r="F15">
            <v>0.11777891504605936</v>
          </cell>
          <cell r="G15">
            <v>0.2</v>
          </cell>
          <cell r="H15">
            <v>8.5000000000000006E-2</v>
          </cell>
          <cell r="I15">
            <v>0.1533481473899693</v>
          </cell>
          <cell r="J15">
            <v>1</v>
          </cell>
        </row>
        <row r="16">
          <cell r="A16" t="str">
            <v>761</v>
          </cell>
          <cell r="B16">
            <v>584</v>
          </cell>
          <cell r="C16" t="str">
            <v>D761 DELTRON RICH RED BLUE</v>
          </cell>
          <cell r="D16">
            <v>111.09</v>
          </cell>
          <cell r="E16">
            <v>949</v>
          </cell>
          <cell r="F16">
            <v>0.11706006322444679</v>
          </cell>
          <cell r="G16">
            <v>0.2</v>
          </cell>
          <cell r="H16">
            <v>8.5000000000000006E-2</v>
          </cell>
          <cell r="I16">
            <v>0.15241220231822972</v>
          </cell>
          <cell r="J16">
            <v>1</v>
          </cell>
        </row>
        <row r="17">
          <cell r="A17" t="str">
            <v>762</v>
          </cell>
          <cell r="B17">
            <v>41</v>
          </cell>
          <cell r="C17" t="str">
            <v>D762 DELTRON VIOLET BLUE 1LT</v>
          </cell>
          <cell r="D17">
            <v>88.51</v>
          </cell>
          <cell r="E17">
            <v>950</v>
          </cell>
          <cell r="F17">
            <v>9.3168421052631581E-2</v>
          </cell>
          <cell r="G17">
            <v>0.2</v>
          </cell>
          <cell r="H17">
            <v>8.5000000000000006E-2</v>
          </cell>
          <cell r="I17">
            <v>0.12130528421052632</v>
          </cell>
          <cell r="J17">
            <v>1</v>
          </cell>
        </row>
        <row r="18">
          <cell r="A18" t="str">
            <v>763</v>
          </cell>
          <cell r="B18">
            <v>552</v>
          </cell>
          <cell r="C18" t="str">
            <v>D763 DELTRON BC BLUE PEARL</v>
          </cell>
          <cell r="D18">
            <v>171.42</v>
          </cell>
          <cell r="E18">
            <v>993</v>
          </cell>
          <cell r="F18">
            <v>0.17262839879154077</v>
          </cell>
          <cell r="G18">
            <v>0.2</v>
          </cell>
          <cell r="H18">
            <v>8.5000000000000006E-2</v>
          </cell>
          <cell r="I18">
            <v>0.22476217522658606</v>
          </cell>
          <cell r="J18">
            <v>1</v>
          </cell>
        </row>
        <row r="19">
          <cell r="A19" t="str">
            <v>765</v>
          </cell>
          <cell r="B19">
            <v>394</v>
          </cell>
          <cell r="C19" t="str">
            <v>D765 DELTRON BC FINE RED PEARL</v>
          </cell>
          <cell r="D19">
            <v>157.19999999999999</v>
          </cell>
          <cell r="E19">
            <v>988</v>
          </cell>
          <cell r="F19">
            <v>0.15910931174089069</v>
          </cell>
          <cell r="G19">
            <v>0.2</v>
          </cell>
          <cell r="H19">
            <v>8.5000000000000006E-2</v>
          </cell>
          <cell r="I19">
            <v>0.20716032388663966</v>
          </cell>
          <cell r="J19">
            <v>1</v>
          </cell>
        </row>
        <row r="20">
          <cell r="A20" t="str">
            <v>767</v>
          </cell>
          <cell r="B20">
            <v>230</v>
          </cell>
          <cell r="C20" t="str">
            <v>D767 DELTRON BC FINE SATIN ALUMINUN</v>
          </cell>
          <cell r="D20">
            <v>111.09</v>
          </cell>
          <cell r="E20">
            <v>942</v>
          </cell>
          <cell r="F20">
            <v>0.11792993630573249</v>
          </cell>
          <cell r="G20">
            <v>0.2</v>
          </cell>
          <cell r="H20">
            <v>8.5000000000000006E-2</v>
          </cell>
          <cell r="I20">
            <v>0.15354477707006373</v>
          </cell>
          <cell r="J20">
            <v>1</v>
          </cell>
        </row>
        <row r="21">
          <cell r="A21" t="str">
            <v>768</v>
          </cell>
          <cell r="B21">
            <v>504</v>
          </cell>
          <cell r="C21" t="str">
            <v>D768 DELTRON BC MEDIUM SATIN ALUMINIUM</v>
          </cell>
          <cell r="D21">
            <v>121.34</v>
          </cell>
          <cell r="E21">
            <v>942</v>
          </cell>
          <cell r="F21">
            <v>0.12881104033970275</v>
          </cell>
          <cell r="G21">
            <v>0.2</v>
          </cell>
          <cell r="H21">
            <v>8.5000000000000006E-2</v>
          </cell>
          <cell r="I21">
            <v>0.16771197452229297</v>
          </cell>
          <cell r="J21">
            <v>1</v>
          </cell>
        </row>
        <row r="22">
          <cell r="A22" t="str">
            <v>769</v>
          </cell>
          <cell r="B22">
            <v>210</v>
          </cell>
          <cell r="C22" t="str">
            <v>D769 DELTRON BC SILVER EXTRA FINE</v>
          </cell>
          <cell r="D22">
            <v>121.34</v>
          </cell>
          <cell r="E22">
            <v>947</v>
          </cell>
          <cell r="F22">
            <v>0.1281309398099261</v>
          </cell>
          <cell r="G22">
            <v>0.2</v>
          </cell>
          <cell r="H22">
            <v>8.5000000000000006E-2</v>
          </cell>
          <cell r="I22">
            <v>0.16682648363252378</v>
          </cell>
          <cell r="J22">
            <v>1</v>
          </cell>
        </row>
        <row r="23">
          <cell r="A23" t="str">
            <v>770</v>
          </cell>
          <cell r="B23">
            <v>55</v>
          </cell>
          <cell r="C23" t="str">
            <v>D770 DELTRON BC SILVER FINE 3.5LT</v>
          </cell>
          <cell r="D23">
            <v>301.99</v>
          </cell>
          <cell r="E23">
            <v>3301</v>
          </cell>
          <cell r="F23">
            <v>9.1484398667070588E-2</v>
          </cell>
          <cell r="G23">
            <v>0.2</v>
          </cell>
          <cell r="H23">
            <v>8.5000000000000006E-2</v>
          </cell>
          <cell r="I23">
            <v>0.11911268706452591</v>
          </cell>
          <cell r="J23">
            <v>3.5</v>
          </cell>
        </row>
        <row r="24">
          <cell r="A24" t="str">
            <v>771</v>
          </cell>
          <cell r="B24">
            <v>1111</v>
          </cell>
          <cell r="C24" t="str">
            <v>D771 DELTRON BC SILVER MEDIUM</v>
          </cell>
          <cell r="D24">
            <v>364.15</v>
          </cell>
          <cell r="E24">
            <v>3308</v>
          </cell>
          <cell r="F24">
            <v>0.11008162031438935</v>
          </cell>
          <cell r="G24">
            <v>0.2</v>
          </cell>
          <cell r="H24">
            <v>8.5000000000000006E-2</v>
          </cell>
          <cell r="I24">
            <v>0.14332626964933495</v>
          </cell>
          <cell r="J24">
            <v>3.5</v>
          </cell>
        </row>
        <row r="25">
          <cell r="A25" t="str">
            <v>772</v>
          </cell>
          <cell r="B25">
            <v>56</v>
          </cell>
          <cell r="C25" t="str">
            <v>D772 DELTRON BC SILVER COARSE 3.5LT</v>
          </cell>
          <cell r="D25">
            <v>364.14</v>
          </cell>
          <cell r="E25">
            <v>3311</v>
          </cell>
          <cell r="F25">
            <v>0.10997885835095136</v>
          </cell>
          <cell r="G25">
            <v>0.2</v>
          </cell>
          <cell r="H25">
            <v>8.5000000000000006E-2</v>
          </cell>
          <cell r="I25">
            <v>0.14319247357293866</v>
          </cell>
          <cell r="J25">
            <v>3.5</v>
          </cell>
        </row>
        <row r="26">
          <cell r="A26" t="str">
            <v>776</v>
          </cell>
          <cell r="B26">
            <v>433</v>
          </cell>
          <cell r="C26" t="str">
            <v>D776 DELTRON BC BLUE</v>
          </cell>
          <cell r="D26">
            <v>111.09</v>
          </cell>
          <cell r="E26">
            <v>953</v>
          </cell>
          <cell r="F26">
            <v>0.11656873032528857</v>
          </cell>
          <cell r="G26">
            <v>0.2</v>
          </cell>
          <cell r="H26">
            <v>8.5000000000000006E-2</v>
          </cell>
          <cell r="I26">
            <v>0.15177248688352574</v>
          </cell>
          <cell r="J26">
            <v>1</v>
          </cell>
        </row>
        <row r="27">
          <cell r="A27" t="str">
            <v>777</v>
          </cell>
          <cell r="B27">
            <v>556</v>
          </cell>
          <cell r="C27" t="str">
            <v>D777 DELTRON BC PHTHALO GREEN</v>
          </cell>
          <cell r="D27">
            <v>157.19999999999999</v>
          </cell>
          <cell r="E27">
            <v>973</v>
          </cell>
          <cell r="F27">
            <v>0.16156217882836588</v>
          </cell>
          <cell r="G27">
            <v>0.2</v>
          </cell>
          <cell r="H27">
            <v>8.5000000000000006E-2</v>
          </cell>
          <cell r="I27">
            <v>0.21035395683453237</v>
          </cell>
          <cell r="J27">
            <v>1</v>
          </cell>
        </row>
        <row r="28">
          <cell r="A28" t="str">
            <v>778</v>
          </cell>
          <cell r="B28">
            <v>434</v>
          </cell>
          <cell r="C28" t="str">
            <v>D778 DELTRON BC YELLOW OXIDE</v>
          </cell>
          <cell r="D28">
            <v>111.09</v>
          </cell>
          <cell r="E28">
            <v>1070</v>
          </cell>
          <cell r="F28">
            <v>0.10382242990654206</v>
          </cell>
          <cell r="G28">
            <v>0.2</v>
          </cell>
          <cell r="H28">
            <v>8.5000000000000006E-2</v>
          </cell>
          <cell r="I28">
            <v>0.13517680373831775</v>
          </cell>
          <cell r="J28">
            <v>1</v>
          </cell>
        </row>
        <row r="29">
          <cell r="A29" t="str">
            <v>779</v>
          </cell>
          <cell r="B29">
            <v>445</v>
          </cell>
          <cell r="C29" t="str">
            <v>D779 DELTRON BC RED OXIDE</v>
          </cell>
          <cell r="D29">
            <v>111.09</v>
          </cell>
          <cell r="E29">
            <v>1050</v>
          </cell>
          <cell r="F29">
            <v>0.10580000000000001</v>
          </cell>
          <cell r="G29">
            <v>0.2</v>
          </cell>
          <cell r="H29">
            <v>8.5000000000000006E-2</v>
          </cell>
          <cell r="I29">
            <v>0.13775160000000003</v>
          </cell>
          <cell r="J29">
            <v>1</v>
          </cell>
        </row>
        <row r="30">
          <cell r="A30" t="str">
            <v>780</v>
          </cell>
          <cell r="B30">
            <v>400</v>
          </cell>
          <cell r="C30" t="str">
            <v>D780 DELTRON BC BRILLIANT YELLOW</v>
          </cell>
          <cell r="D30">
            <v>231.52</v>
          </cell>
          <cell r="E30">
            <v>991</v>
          </cell>
          <cell r="F30">
            <v>0.2336226034308779</v>
          </cell>
          <cell r="G30">
            <v>0.2</v>
          </cell>
          <cell r="H30">
            <v>8.5000000000000006E-2</v>
          </cell>
          <cell r="I30">
            <v>0.30417662966700304</v>
          </cell>
          <cell r="J30">
            <v>1</v>
          </cell>
        </row>
        <row r="31">
          <cell r="A31" t="str">
            <v>785</v>
          </cell>
          <cell r="B31">
            <v>228</v>
          </cell>
          <cell r="C31" t="str">
            <v>D785 DELTRON DG BORDEAUX</v>
          </cell>
          <cell r="D31">
            <v>204.27</v>
          </cell>
          <cell r="E31">
            <v>1012</v>
          </cell>
          <cell r="F31">
            <v>0.20184782608695653</v>
          </cell>
          <cell r="G31">
            <v>0.2</v>
          </cell>
          <cell r="H31">
            <v>8.5000000000000006E-2</v>
          </cell>
          <cell r="I31">
            <v>0.2628058695652174</v>
          </cell>
          <cell r="J31">
            <v>1</v>
          </cell>
        </row>
        <row r="32">
          <cell r="A32" t="str">
            <v>787</v>
          </cell>
          <cell r="B32">
            <v>384</v>
          </cell>
          <cell r="C32" t="str">
            <v>D787 ORANGE INTENSE DG</v>
          </cell>
          <cell r="D32">
            <v>204.27</v>
          </cell>
          <cell r="E32">
            <v>1050</v>
          </cell>
          <cell r="F32">
            <v>0.19454285714285716</v>
          </cell>
          <cell r="G32">
            <v>0.2</v>
          </cell>
          <cell r="H32">
            <v>8.5000000000000006E-2</v>
          </cell>
          <cell r="I32">
            <v>0.25329480000000004</v>
          </cell>
          <cell r="J32">
            <v>1</v>
          </cell>
        </row>
        <row r="33">
          <cell r="A33" t="str">
            <v>788</v>
          </cell>
          <cell r="B33">
            <v>485</v>
          </cell>
          <cell r="C33" t="str">
            <v>D788 ROSE AL</v>
          </cell>
          <cell r="D33">
            <v>204.27</v>
          </cell>
          <cell r="E33">
            <v>975</v>
          </cell>
          <cell r="F33">
            <v>0.20950769230769231</v>
          </cell>
          <cell r="G33">
            <v>0.2</v>
          </cell>
          <cell r="H33">
            <v>8.5000000000000006E-2</v>
          </cell>
          <cell r="I33">
            <v>0.27277901538461541</v>
          </cell>
          <cell r="J33">
            <v>1</v>
          </cell>
        </row>
        <row r="34">
          <cell r="A34" t="str">
            <v>789</v>
          </cell>
          <cell r="B34">
            <v>713</v>
          </cell>
          <cell r="C34" t="str">
            <v>D789 DELTRON BC INTENSE BLACK 1LT PPG - PPG</v>
          </cell>
          <cell r="D34">
            <v>162.65</v>
          </cell>
          <cell r="E34">
            <v>925</v>
          </cell>
          <cell r="F34">
            <v>0.17583783783783785</v>
          </cell>
          <cell r="G34">
            <v>0.2</v>
          </cell>
          <cell r="H34">
            <v>8.5000000000000006E-2</v>
          </cell>
          <cell r="I34">
            <v>0.22894086486486487</v>
          </cell>
          <cell r="J34">
            <v>1</v>
          </cell>
        </row>
        <row r="35">
          <cell r="A35" t="str">
            <v>790</v>
          </cell>
          <cell r="B35">
            <v>285</v>
          </cell>
          <cell r="C35" t="str">
            <v>D790 TRANSPARENTE ORANGE</v>
          </cell>
          <cell r="D35">
            <v>157.19999999999999</v>
          </cell>
          <cell r="E35">
            <v>986</v>
          </cell>
          <cell r="F35">
            <v>0.15943204868154157</v>
          </cell>
          <cell r="G35">
            <v>0.2</v>
          </cell>
          <cell r="H35">
            <v>8.5000000000000006E-2</v>
          </cell>
          <cell r="I35">
            <v>0.20758052738336713</v>
          </cell>
          <cell r="J35">
            <v>1</v>
          </cell>
        </row>
        <row r="36">
          <cell r="A36" t="str">
            <v>792</v>
          </cell>
          <cell r="B36">
            <v>42</v>
          </cell>
          <cell r="C36" t="str">
            <v>D792 DELTRON BC ORANGE CLAIR 1LT</v>
          </cell>
          <cell r="D36">
            <v>130.41</v>
          </cell>
          <cell r="E36">
            <v>960</v>
          </cell>
          <cell r="F36">
            <v>0.13584374999999999</v>
          </cell>
          <cell r="G36">
            <v>0.2</v>
          </cell>
          <cell r="H36">
            <v>8.5000000000000006E-2</v>
          </cell>
          <cell r="I36">
            <v>0.17686856249999997</v>
          </cell>
          <cell r="J36">
            <v>1</v>
          </cell>
        </row>
        <row r="37">
          <cell r="A37" t="str">
            <v>793</v>
          </cell>
          <cell r="B37">
            <v>102</v>
          </cell>
          <cell r="C37" t="str">
            <v>D793 DELTRON BC BRIGHT RED PEARL</v>
          </cell>
          <cell r="D37">
            <v>157.19999999999999</v>
          </cell>
          <cell r="E37">
            <v>964</v>
          </cell>
          <cell r="F37">
            <v>0.16307053941908711</v>
          </cell>
          <cell r="G37">
            <v>0.2</v>
          </cell>
          <cell r="H37">
            <v>8.5000000000000006E-2</v>
          </cell>
          <cell r="I37">
            <v>0.21231784232365142</v>
          </cell>
          <cell r="J37">
            <v>1</v>
          </cell>
        </row>
        <row r="38">
          <cell r="A38" t="str">
            <v>794</v>
          </cell>
          <cell r="B38">
            <v>401</v>
          </cell>
          <cell r="C38" t="str">
            <v>D794 DELTRON BC VERDANT YELLOW</v>
          </cell>
          <cell r="D38">
            <v>323.22000000000003</v>
          </cell>
          <cell r="E38">
            <v>1296</v>
          </cell>
          <cell r="F38">
            <v>0.24939814814814817</v>
          </cell>
          <cell r="G38">
            <v>0.2</v>
          </cell>
          <cell r="H38">
            <v>8.5000000000000006E-2</v>
          </cell>
          <cell r="I38">
            <v>0.32471638888888893</v>
          </cell>
          <cell r="J38">
            <v>1</v>
          </cell>
        </row>
        <row r="39">
          <cell r="A39" t="str">
            <v>795</v>
          </cell>
          <cell r="B39">
            <v>562</v>
          </cell>
          <cell r="C39" t="str">
            <v>D795 BRILLIANT RED BLUE</v>
          </cell>
          <cell r="D39">
            <v>134.94999999999999</v>
          </cell>
          <cell r="E39">
            <v>950</v>
          </cell>
          <cell r="F39">
            <v>0.14205263157894735</v>
          </cell>
          <cell r="G39">
            <v>0.2</v>
          </cell>
          <cell r="H39">
            <v>8.5000000000000006E-2</v>
          </cell>
          <cell r="I39">
            <v>0.18495252631578946</v>
          </cell>
          <cell r="J39">
            <v>1</v>
          </cell>
        </row>
        <row r="40">
          <cell r="A40" t="str">
            <v>797</v>
          </cell>
          <cell r="B40">
            <v>395</v>
          </cell>
          <cell r="C40" t="str">
            <v>D797 DELTRON BL SH PHTHALO GREEN</v>
          </cell>
          <cell r="D40">
            <v>157.19999999999999</v>
          </cell>
          <cell r="E40">
            <v>956</v>
          </cell>
          <cell r="F40">
            <v>0.16443514644351465</v>
          </cell>
          <cell r="G40">
            <v>0.2</v>
          </cell>
          <cell r="H40">
            <v>8.5000000000000006E-2</v>
          </cell>
          <cell r="I40">
            <v>0.21409456066945609</v>
          </cell>
          <cell r="J40">
            <v>1</v>
          </cell>
        </row>
        <row r="41">
          <cell r="A41" t="str">
            <v>807</v>
          </cell>
          <cell r="B41">
            <v>716</v>
          </cell>
          <cell r="C41" t="str">
            <v>D807 DILUENTE MEDIO 5LT PPG - PPG</v>
          </cell>
          <cell r="D41">
            <v>80.819999999999993</v>
          </cell>
          <cell r="E41">
            <v>4380</v>
          </cell>
          <cell r="F41">
            <v>1.8452054794520546E-2</v>
          </cell>
          <cell r="G41">
            <v>0.2</v>
          </cell>
          <cell r="H41">
            <v>8.5000000000000006E-2</v>
          </cell>
          <cell r="I41">
            <v>2.4024575342465753E-2</v>
          </cell>
          <cell r="J41">
            <v>3.5</v>
          </cell>
        </row>
        <row r="42">
          <cell r="A42" t="str">
            <v>895</v>
          </cell>
          <cell r="B42">
            <v>43</v>
          </cell>
          <cell r="C42" t="str">
            <v>D895 SPECIALTY REDUCER</v>
          </cell>
          <cell r="D42">
            <v>88.69</v>
          </cell>
          <cell r="E42">
            <v>923</v>
          </cell>
          <cell r="F42">
            <v>9.6088840736728062E-2</v>
          </cell>
          <cell r="G42">
            <v>0.2</v>
          </cell>
          <cell r="H42">
            <v>8.5000000000000006E-2</v>
          </cell>
          <cell r="I42">
            <v>0.12510767063921993</v>
          </cell>
          <cell r="J42">
            <v>1</v>
          </cell>
        </row>
        <row r="43">
          <cell r="A43" t="str">
            <v>942</v>
          </cell>
          <cell r="B43">
            <v>444</v>
          </cell>
          <cell r="C43" t="str">
            <v>D942 DELTRON BC GRAPHITE BLACK</v>
          </cell>
          <cell r="D43">
            <v>157.19999999999999</v>
          </cell>
          <cell r="E43">
            <v>949</v>
          </cell>
          <cell r="F43">
            <v>0.16564805057955742</v>
          </cell>
          <cell r="G43">
            <v>0.2</v>
          </cell>
          <cell r="H43">
            <v>8.5000000000000006E-2</v>
          </cell>
          <cell r="I43">
            <v>0.21567376185458376</v>
          </cell>
          <cell r="J43">
            <v>1</v>
          </cell>
        </row>
        <row r="44">
          <cell r="A44" t="str">
            <v>943</v>
          </cell>
          <cell r="B44">
            <v>554</v>
          </cell>
          <cell r="C44" t="str">
            <v>D943 DELTRON BC FINE BLUE PEARL</v>
          </cell>
          <cell r="D44">
            <v>146.97</v>
          </cell>
          <cell r="E44">
            <v>978</v>
          </cell>
          <cell r="F44">
            <v>0.15027607361963191</v>
          </cell>
          <cell r="G44">
            <v>0.2</v>
          </cell>
          <cell r="H44">
            <v>8.5000000000000006E-2</v>
          </cell>
          <cell r="I44">
            <v>0.19565944785276077</v>
          </cell>
          <cell r="J44">
            <v>1</v>
          </cell>
        </row>
        <row r="45">
          <cell r="A45" t="str">
            <v>944</v>
          </cell>
          <cell r="B45">
            <v>44</v>
          </cell>
          <cell r="C45" t="str">
            <v>D944 DELTRON BC MEDIUM ALUMINUM 1LT</v>
          </cell>
          <cell r="D45">
            <v>88.51</v>
          </cell>
          <cell r="E45">
            <v>938</v>
          </cell>
          <cell r="F45">
            <v>9.4360341151385932E-2</v>
          </cell>
          <cell r="G45">
            <v>0.2</v>
          </cell>
          <cell r="H45">
            <v>8.5000000000000006E-2</v>
          </cell>
          <cell r="I45">
            <v>0.12285716417910449</v>
          </cell>
          <cell r="J45">
            <v>1</v>
          </cell>
        </row>
        <row r="46">
          <cell r="A46" t="str">
            <v>945</v>
          </cell>
          <cell r="B46">
            <v>295</v>
          </cell>
          <cell r="C46" t="str">
            <v>D945 DELTRON BC GOLDEN YELLOW PEARL</v>
          </cell>
          <cell r="D46">
            <v>146.97</v>
          </cell>
          <cell r="E46">
            <v>970</v>
          </cell>
          <cell r="F46">
            <v>0.15151546391752577</v>
          </cell>
          <cell r="G46">
            <v>0.2</v>
          </cell>
          <cell r="H46">
            <v>8.5000000000000006E-2</v>
          </cell>
          <cell r="I46">
            <v>0.19727313402061855</v>
          </cell>
          <cell r="J46">
            <v>1</v>
          </cell>
        </row>
        <row r="47">
          <cell r="A47" t="str">
            <v>946</v>
          </cell>
          <cell r="B47">
            <v>441</v>
          </cell>
          <cell r="C47" t="str">
            <v>D946 DELTRON BC ALUMINIO LENTICULAR EXTRA FINO</v>
          </cell>
          <cell r="D47">
            <v>121.34</v>
          </cell>
          <cell r="E47">
            <v>939</v>
          </cell>
          <cell r="F47">
            <v>0.12922257720979766</v>
          </cell>
          <cell r="G47">
            <v>0.2</v>
          </cell>
          <cell r="H47">
            <v>8.5000000000000006E-2</v>
          </cell>
          <cell r="I47">
            <v>0.16824779552715655</v>
          </cell>
          <cell r="J47">
            <v>1</v>
          </cell>
        </row>
        <row r="48">
          <cell r="A48" t="str">
            <v>952</v>
          </cell>
          <cell r="B48">
            <v>45</v>
          </cell>
          <cell r="C48" t="str">
            <v>D952 DELTRON BC FINE LENTICULAR ALUMIN.1LT</v>
          </cell>
          <cell r="D48">
            <v>158.6</v>
          </cell>
          <cell r="E48">
            <v>960</v>
          </cell>
          <cell r="F48">
            <v>0.16520833333333332</v>
          </cell>
          <cell r="G48">
            <v>0.2</v>
          </cell>
          <cell r="H48">
            <v>8.5000000000000006E-2</v>
          </cell>
          <cell r="I48">
            <v>0.21510124999999997</v>
          </cell>
          <cell r="J48">
            <v>1</v>
          </cell>
        </row>
        <row r="49">
          <cell r="A49" t="str">
            <v>953</v>
          </cell>
          <cell r="B49">
            <v>46</v>
          </cell>
          <cell r="C49" t="str">
            <v>D953 DELTRON BC COARSE LENTICULAR ALUMI.1LT</v>
          </cell>
          <cell r="D49">
            <v>96.56</v>
          </cell>
          <cell r="E49">
            <v>956</v>
          </cell>
          <cell r="F49">
            <v>0.10100418410041841</v>
          </cell>
          <cell r="G49">
            <v>0.2</v>
          </cell>
          <cell r="H49">
            <v>8.5000000000000006E-2</v>
          </cell>
          <cell r="I49">
            <v>0.13150744769874476</v>
          </cell>
          <cell r="J49">
            <v>1</v>
          </cell>
        </row>
        <row r="50">
          <cell r="A50" t="str">
            <v>954</v>
          </cell>
          <cell r="B50">
            <v>239</v>
          </cell>
          <cell r="C50" t="str">
            <v>D954 DELTRON BC EXTRA FINE WHITE PEARL</v>
          </cell>
          <cell r="D50">
            <v>111.09</v>
          </cell>
          <cell r="E50">
            <v>980</v>
          </cell>
          <cell r="F50">
            <v>0.11335714285714286</v>
          </cell>
          <cell r="G50">
            <v>0.2</v>
          </cell>
          <cell r="H50">
            <v>8.5000000000000006E-2</v>
          </cell>
          <cell r="I50">
            <v>0.14759100000000003</v>
          </cell>
          <cell r="J50">
            <v>1</v>
          </cell>
        </row>
        <row r="51">
          <cell r="A51" t="str">
            <v>955</v>
          </cell>
          <cell r="B51">
            <v>726</v>
          </cell>
          <cell r="C51" t="str">
            <v>D955 DELTRON BC PEARL COPPER</v>
          </cell>
          <cell r="D51">
            <v>157.19999999999999</v>
          </cell>
          <cell r="E51">
            <v>990</v>
          </cell>
          <cell r="F51">
            <v>0.15878787878787878</v>
          </cell>
          <cell r="G51">
            <v>0.2</v>
          </cell>
          <cell r="H51">
            <v>8.5000000000000006E-2</v>
          </cell>
          <cell r="I51">
            <v>0.20674181818181819</v>
          </cell>
          <cell r="J51">
            <v>1</v>
          </cell>
        </row>
        <row r="52">
          <cell r="A52" t="str">
            <v>956</v>
          </cell>
          <cell r="B52">
            <v>383</v>
          </cell>
          <cell r="C52" t="str">
            <v>D956 DELTRON BC YELLOW PEARL</v>
          </cell>
          <cell r="D52">
            <v>157.19999999999999</v>
          </cell>
          <cell r="E52">
            <v>989</v>
          </cell>
          <cell r="F52">
            <v>0.15894843276036399</v>
          </cell>
          <cell r="G52">
            <v>0.2</v>
          </cell>
          <cell r="H52">
            <v>8.5000000000000006E-2</v>
          </cell>
          <cell r="I52">
            <v>0.20695085945399391</v>
          </cell>
          <cell r="J52">
            <v>1</v>
          </cell>
        </row>
        <row r="53">
          <cell r="A53" t="str">
            <v>957</v>
          </cell>
          <cell r="B53">
            <v>297</v>
          </cell>
          <cell r="C53" t="str">
            <v>D957 DELTRON BC GREEN PEARL</v>
          </cell>
          <cell r="D53">
            <v>157.19999999999999</v>
          </cell>
          <cell r="E53">
            <v>986</v>
          </cell>
          <cell r="F53">
            <v>0.15943204868154157</v>
          </cell>
          <cell r="G53">
            <v>0.2</v>
          </cell>
          <cell r="H53">
            <v>8.5000000000000006E-2</v>
          </cell>
          <cell r="I53">
            <v>0.20758052738336713</v>
          </cell>
          <cell r="J53">
            <v>1</v>
          </cell>
        </row>
        <row r="54">
          <cell r="A54" t="str">
            <v>958</v>
          </cell>
          <cell r="B54">
            <v>404</v>
          </cell>
          <cell r="C54" t="str">
            <v>D958 DELTRON BC VIOLET PEARL</v>
          </cell>
          <cell r="D54">
            <v>171.42</v>
          </cell>
          <cell r="E54">
            <v>986</v>
          </cell>
          <cell r="F54">
            <v>0.17385395537525353</v>
          </cell>
          <cell r="G54">
            <v>0.2</v>
          </cell>
          <cell r="H54">
            <v>8.5000000000000006E-2</v>
          </cell>
          <cell r="I54">
            <v>0.2263578498985801</v>
          </cell>
          <cell r="J54">
            <v>1</v>
          </cell>
        </row>
        <row r="55">
          <cell r="A55" t="str">
            <v>959</v>
          </cell>
          <cell r="B55">
            <v>298</v>
          </cell>
          <cell r="C55" t="str">
            <v>D959 DELTRON BC ULTRA FINE WHITE</v>
          </cell>
          <cell r="D55">
            <v>216.59</v>
          </cell>
          <cell r="E55">
            <v>1113</v>
          </cell>
          <cell r="F55">
            <v>0.19460017969451932</v>
          </cell>
          <cell r="G55">
            <v>0.2</v>
          </cell>
          <cell r="H55">
            <v>8.5000000000000006E-2</v>
          </cell>
          <cell r="I55">
            <v>0.25336943396226413</v>
          </cell>
          <cell r="J55">
            <v>1</v>
          </cell>
        </row>
        <row r="56">
          <cell r="A56" t="str">
            <v>960</v>
          </cell>
          <cell r="B56">
            <v>431</v>
          </cell>
          <cell r="C56" t="str">
            <v>D960 DELTRON BC RED PEARL</v>
          </cell>
          <cell r="D56">
            <v>216.59</v>
          </cell>
          <cell r="E56">
            <v>969</v>
          </cell>
          <cell r="F56">
            <v>0.22351909184726523</v>
          </cell>
          <cell r="G56">
            <v>0.2</v>
          </cell>
          <cell r="H56">
            <v>8.5000000000000006E-2</v>
          </cell>
          <cell r="I56">
            <v>0.29102185758513932</v>
          </cell>
          <cell r="J56">
            <v>1</v>
          </cell>
        </row>
        <row r="57">
          <cell r="A57" t="str">
            <v>961</v>
          </cell>
          <cell r="B57">
            <v>587</v>
          </cell>
          <cell r="C57" t="str">
            <v>D961 DELTRON BC RED GREEN PEARL</v>
          </cell>
          <cell r="D57">
            <v>294.72000000000003</v>
          </cell>
          <cell r="E57">
            <v>970</v>
          </cell>
          <cell r="F57">
            <v>0.30383505154639179</v>
          </cell>
          <cell r="G57">
            <v>0.2</v>
          </cell>
          <cell r="H57">
            <v>8.5000000000000006E-2</v>
          </cell>
          <cell r="I57">
            <v>0.39559323711340211</v>
          </cell>
          <cell r="J57">
            <v>1</v>
          </cell>
        </row>
        <row r="58">
          <cell r="A58" t="str">
            <v>964</v>
          </cell>
          <cell r="B58">
            <v>438</v>
          </cell>
          <cell r="C58" t="str">
            <v>D964 JAUNE CLAIR</v>
          </cell>
          <cell r="D58">
            <v>216.59</v>
          </cell>
          <cell r="E58">
            <v>970</v>
          </cell>
          <cell r="F58">
            <v>0.22328865979381443</v>
          </cell>
          <cell r="G58">
            <v>0.2</v>
          </cell>
          <cell r="H58">
            <v>8.5000000000000006E-2</v>
          </cell>
          <cell r="I58">
            <v>0.29072183505154642</v>
          </cell>
          <cell r="J58">
            <v>1</v>
          </cell>
        </row>
        <row r="59">
          <cell r="A59" t="str">
            <v>965</v>
          </cell>
          <cell r="B59">
            <v>590</v>
          </cell>
          <cell r="C59" t="str">
            <v>D965 DELTRON BC ORANGE PEARL</v>
          </cell>
          <cell r="D59">
            <v>216.59</v>
          </cell>
          <cell r="E59">
            <v>973</v>
          </cell>
          <cell r="F59">
            <v>0.22260020554984583</v>
          </cell>
          <cell r="G59">
            <v>0.2</v>
          </cell>
          <cell r="H59">
            <v>8.5000000000000006E-2</v>
          </cell>
          <cell r="I59">
            <v>0.28982546762589928</v>
          </cell>
          <cell r="J59">
            <v>1</v>
          </cell>
        </row>
        <row r="60">
          <cell r="A60" t="str">
            <v>966</v>
          </cell>
          <cell r="B60">
            <v>47</v>
          </cell>
          <cell r="C60" t="str">
            <v>D966 TRACE WHITE BC 1LT</v>
          </cell>
          <cell r="D60">
            <v>58.36</v>
          </cell>
          <cell r="E60">
            <v>1078</v>
          </cell>
          <cell r="F60">
            <v>5.4137291280148422E-2</v>
          </cell>
          <cell r="G60">
            <v>0.2</v>
          </cell>
          <cell r="H60">
            <v>8.5000000000000006E-2</v>
          </cell>
          <cell r="I60">
            <v>7.0486753246753242E-2</v>
          </cell>
          <cell r="J60">
            <v>1</v>
          </cell>
        </row>
        <row r="61">
          <cell r="A61" t="str">
            <v>967</v>
          </cell>
          <cell r="B61">
            <v>48</v>
          </cell>
          <cell r="C61" t="str">
            <v>D967 TRACE BLACK 1LT</v>
          </cell>
          <cell r="D61">
            <v>58.36</v>
          </cell>
          <cell r="E61">
            <v>1006</v>
          </cell>
          <cell r="F61">
            <v>5.8011928429423459E-2</v>
          </cell>
          <cell r="G61">
            <v>0.2</v>
          </cell>
          <cell r="H61">
            <v>8.5000000000000006E-2</v>
          </cell>
          <cell r="I61">
            <v>7.5531530815109341E-2</v>
          </cell>
          <cell r="J61">
            <v>1</v>
          </cell>
        </row>
        <row r="62">
          <cell r="A62" t="str">
            <v>968</v>
          </cell>
          <cell r="B62">
            <v>49</v>
          </cell>
          <cell r="C62" t="str">
            <v>D968 TRACE RED OXIDE BC 1LT</v>
          </cell>
          <cell r="D62">
            <v>58.36</v>
          </cell>
          <cell r="E62">
            <v>1031</v>
          </cell>
          <cell r="F62">
            <v>5.6605237633365661E-2</v>
          </cell>
          <cell r="G62">
            <v>0.2</v>
          </cell>
          <cell r="H62">
            <v>8.5000000000000006E-2</v>
          </cell>
          <cell r="I62">
            <v>7.3700019398642083E-2</v>
          </cell>
          <cell r="J62">
            <v>1</v>
          </cell>
        </row>
        <row r="63">
          <cell r="A63" t="str">
            <v>969</v>
          </cell>
          <cell r="B63">
            <v>50</v>
          </cell>
          <cell r="C63" t="str">
            <v>D969 TRACE YELLO OXIDE BC 1LT</v>
          </cell>
          <cell r="D63">
            <v>58.36</v>
          </cell>
          <cell r="E63">
            <v>1032</v>
          </cell>
          <cell r="F63">
            <v>5.6550387596899225E-2</v>
          </cell>
          <cell r="G63">
            <v>0.2</v>
          </cell>
          <cell r="H63">
            <v>8.5000000000000006E-2</v>
          </cell>
          <cell r="I63">
            <v>7.3628604651162805E-2</v>
          </cell>
          <cell r="J63">
            <v>1</v>
          </cell>
        </row>
        <row r="64">
          <cell r="A64" t="str">
            <v>970</v>
          </cell>
          <cell r="B64">
            <v>51</v>
          </cell>
          <cell r="C64" t="str">
            <v>D970 TRACE BLUE AZUL REDUZIDO 1LT</v>
          </cell>
          <cell r="D64">
            <v>58.36</v>
          </cell>
          <cell r="E64">
            <v>1017</v>
          </cell>
          <cell r="F64">
            <v>5.7384464110127827E-2</v>
          </cell>
          <cell r="G64">
            <v>0.2</v>
          </cell>
          <cell r="H64">
            <v>8.5000000000000006E-2</v>
          </cell>
          <cell r="I64">
            <v>7.4714572271386434E-2</v>
          </cell>
          <cell r="J64">
            <v>1</v>
          </cell>
        </row>
        <row r="65">
          <cell r="A65" t="str">
            <v>971</v>
          </cell>
          <cell r="B65">
            <v>52</v>
          </cell>
          <cell r="C65" t="str">
            <v>D971 TRACE GREEN VERDE REDUZIDO 1LT</v>
          </cell>
          <cell r="D65">
            <v>116.42</v>
          </cell>
          <cell r="E65">
            <v>1021</v>
          </cell>
          <cell r="F65">
            <v>0.1140254652301665</v>
          </cell>
          <cell r="G65">
            <v>0.2</v>
          </cell>
          <cell r="H65">
            <v>8.5000000000000006E-2</v>
          </cell>
          <cell r="I65">
            <v>0.14846115572967677</v>
          </cell>
          <cell r="J65">
            <v>1</v>
          </cell>
        </row>
        <row r="66">
          <cell r="A66" t="str">
            <v>976</v>
          </cell>
          <cell r="B66">
            <v>1201</v>
          </cell>
          <cell r="C66" t="str">
            <v>D976 DELTRON BC MAGENTA</v>
          </cell>
          <cell r="D66">
            <v>221.01</v>
          </cell>
          <cell r="E66">
            <v>942</v>
          </cell>
          <cell r="F66">
            <v>0.23461783439490444</v>
          </cell>
          <cell r="G66">
            <v>0.2</v>
          </cell>
          <cell r="H66">
            <v>8.5000000000000006E-2</v>
          </cell>
          <cell r="I66">
            <v>0.3054724203821656</v>
          </cell>
          <cell r="J66">
            <v>1</v>
          </cell>
        </row>
        <row r="67">
          <cell r="A67" t="str">
            <v>977</v>
          </cell>
          <cell r="B67">
            <v>537</v>
          </cell>
          <cell r="C67" t="str">
            <v>D977 DELTRON BC BASECOAT BLUE</v>
          </cell>
          <cell r="D67">
            <v>216.59</v>
          </cell>
          <cell r="E67">
            <v>948</v>
          </cell>
          <cell r="F67">
            <v>0.22847046413502109</v>
          </cell>
          <cell r="G67">
            <v>0.2</v>
          </cell>
          <cell r="H67">
            <v>8.5000000000000006E-2</v>
          </cell>
          <cell r="I67">
            <v>0.29746854430379743</v>
          </cell>
          <cell r="J67">
            <v>1</v>
          </cell>
        </row>
        <row r="68">
          <cell r="A68" t="str">
            <v>978</v>
          </cell>
          <cell r="B68">
            <v>53</v>
          </cell>
          <cell r="C68" t="str">
            <v>D978 DELTRON BC SCARLET BASECOAT</v>
          </cell>
          <cell r="D68">
            <v>130.41</v>
          </cell>
          <cell r="E68">
            <v>954</v>
          </cell>
          <cell r="F68">
            <v>0.13669811320754716</v>
          </cell>
          <cell r="G68">
            <v>0.2</v>
          </cell>
          <cell r="H68">
            <v>8.5000000000000006E-2</v>
          </cell>
          <cell r="I68">
            <v>0.17798094339622642</v>
          </cell>
          <cell r="J68">
            <v>1</v>
          </cell>
        </row>
        <row r="69">
          <cell r="A69" t="str">
            <v>979</v>
          </cell>
          <cell r="B69">
            <v>481</v>
          </cell>
          <cell r="C69" t="str">
            <v>D979 DELTRON BC RED VIOLET</v>
          </cell>
          <cell r="D69">
            <v>231.52</v>
          </cell>
          <cell r="E69">
            <v>943</v>
          </cell>
          <cell r="F69">
            <v>0.24551431601272536</v>
          </cell>
          <cell r="G69">
            <v>0.2</v>
          </cell>
          <cell r="H69">
            <v>8.5000000000000006E-2</v>
          </cell>
          <cell r="I69">
            <v>0.3196596394485684</v>
          </cell>
          <cell r="J69">
            <v>1</v>
          </cell>
        </row>
        <row r="70">
          <cell r="A70" t="str">
            <v>980</v>
          </cell>
          <cell r="B70">
            <v>498</v>
          </cell>
          <cell r="C70" t="str">
            <v>D980 DELTRON BC TRANSPARENT YELLOW OXIDE</v>
          </cell>
          <cell r="D70">
            <v>216.59</v>
          </cell>
          <cell r="E70">
            <v>972</v>
          </cell>
          <cell r="F70">
            <v>0.22282921810699588</v>
          </cell>
          <cell r="G70">
            <v>0.2</v>
          </cell>
          <cell r="H70">
            <v>8.5000000000000006E-2</v>
          </cell>
          <cell r="I70">
            <v>0.29012364197530865</v>
          </cell>
          <cell r="J70">
            <v>1</v>
          </cell>
        </row>
        <row r="71">
          <cell r="A71" t="str">
            <v>981</v>
          </cell>
          <cell r="B71">
            <v>54</v>
          </cell>
          <cell r="C71" t="str">
            <v>D981 DELTRON BC BASECOAT VIOLET 1LT</v>
          </cell>
          <cell r="D71">
            <v>88.51</v>
          </cell>
          <cell r="E71">
            <v>939</v>
          </cell>
          <cell r="F71">
            <v>9.4259850905218323E-2</v>
          </cell>
          <cell r="G71">
            <v>0.2</v>
          </cell>
          <cell r="H71">
            <v>8.5000000000000006E-2</v>
          </cell>
          <cell r="I71">
            <v>0.12272632587859425</v>
          </cell>
          <cell r="J71">
            <v>1</v>
          </cell>
        </row>
        <row r="72">
          <cell r="A72" t="str">
            <v>982</v>
          </cell>
          <cell r="B72">
            <v>471</v>
          </cell>
          <cell r="C72" t="str">
            <v>D982 ALUMINIUM RED</v>
          </cell>
          <cell r="D72">
            <v>201.41</v>
          </cell>
          <cell r="E72">
            <v>960</v>
          </cell>
          <cell r="F72">
            <v>0.20980208333333333</v>
          </cell>
          <cell r="G72">
            <v>0.2</v>
          </cell>
          <cell r="H72">
            <v>8.5000000000000006E-2</v>
          </cell>
          <cell r="I72">
            <v>0.2731623125</v>
          </cell>
          <cell r="J72">
            <v>1</v>
          </cell>
        </row>
        <row r="73">
          <cell r="A73" t="str">
            <v>983</v>
          </cell>
          <cell r="B73">
            <v>387</v>
          </cell>
          <cell r="C73" t="str">
            <v>D983 BC ORANGE ALUMINIUM</v>
          </cell>
          <cell r="D73">
            <v>216.59</v>
          </cell>
          <cell r="E73">
            <v>950</v>
          </cell>
          <cell r="F73">
            <v>0.22798947368421052</v>
          </cell>
          <cell r="G73">
            <v>0.2</v>
          </cell>
          <cell r="H73">
            <v>8.5000000000000006E-2</v>
          </cell>
          <cell r="I73">
            <v>0.29684229473684209</v>
          </cell>
          <cell r="J73">
            <v>1</v>
          </cell>
        </row>
        <row r="74">
          <cell r="A74" t="str">
            <v>989</v>
          </cell>
          <cell r="B74">
            <v>574</v>
          </cell>
          <cell r="C74" t="str">
            <v>D989 DELTRON BC COARSE SILV. D ALUMINUM</v>
          </cell>
          <cell r="D74">
            <v>146.97</v>
          </cell>
          <cell r="E74">
            <v>957</v>
          </cell>
          <cell r="F74">
            <v>0.15357366771159875</v>
          </cell>
          <cell r="G74">
            <v>0.2</v>
          </cell>
          <cell r="H74">
            <v>8.5000000000000006E-2</v>
          </cell>
          <cell r="I74">
            <v>0.19995291536050155</v>
          </cell>
          <cell r="J74">
            <v>1</v>
          </cell>
        </row>
        <row r="75">
          <cell r="A75" t="str">
            <v>990</v>
          </cell>
          <cell r="B75">
            <v>575</v>
          </cell>
          <cell r="C75" t="str">
            <v>D990 FINE GLACIER WHITE</v>
          </cell>
          <cell r="D75">
            <v>294.72000000000003</v>
          </cell>
          <cell r="E75">
            <v>1138</v>
          </cell>
          <cell r="F75">
            <v>0.25898066783831286</v>
          </cell>
          <cell r="G75">
            <v>0.2</v>
          </cell>
          <cell r="H75">
            <v>8.5000000000000006E-2</v>
          </cell>
          <cell r="I75">
            <v>0.33719282952548335</v>
          </cell>
          <cell r="J75">
            <v>1</v>
          </cell>
        </row>
        <row r="76">
          <cell r="A76" t="str">
            <v>PRLX1</v>
          </cell>
          <cell r="B76">
            <v>454</v>
          </cell>
          <cell r="C76" t="str">
            <v>PRLX1 CRYSTAL RED PEARL</v>
          </cell>
          <cell r="D76">
            <v>207.04</v>
          </cell>
          <cell r="E76">
            <v>114</v>
          </cell>
          <cell r="F76">
            <v>1.8161403508771929</v>
          </cell>
          <cell r="G76">
            <v>0.2</v>
          </cell>
          <cell r="H76">
            <v>8.5000000000000006E-2</v>
          </cell>
          <cell r="I76">
            <v>2.3646147368421051</v>
          </cell>
          <cell r="J76">
            <v>1</v>
          </cell>
        </row>
        <row r="77">
          <cell r="A77" t="str">
            <v>PRLX2</v>
          </cell>
          <cell r="B77">
            <v>1104</v>
          </cell>
          <cell r="C77" t="str">
            <v>PRLX2 CRYSTAL SILVER PEARL - PPG</v>
          </cell>
          <cell r="D77">
            <v>208.1</v>
          </cell>
          <cell r="E77">
            <v>114</v>
          </cell>
          <cell r="F77">
            <v>1.8254385964912281</v>
          </cell>
          <cell r="G77">
            <v>0.2</v>
          </cell>
          <cell r="H77">
            <v>8.5000000000000006E-2</v>
          </cell>
          <cell r="I77">
            <v>2.376721052631579</v>
          </cell>
          <cell r="J77">
            <v>0.114</v>
          </cell>
        </row>
        <row r="78">
          <cell r="A78" t="str">
            <v>PRLX3</v>
          </cell>
          <cell r="B78">
            <v>579</v>
          </cell>
          <cell r="C78" t="str">
            <v>PRLX3 CRYSTAL GOLD PEARL</v>
          </cell>
          <cell r="D78">
            <v>260.18</v>
          </cell>
          <cell r="E78">
            <v>114</v>
          </cell>
          <cell r="F78">
            <v>2.2822807017543862</v>
          </cell>
          <cell r="G78">
            <v>0.2</v>
          </cell>
          <cell r="H78">
            <v>8.5000000000000006E-2</v>
          </cell>
          <cell r="I78">
            <v>2.9715294736842108</v>
          </cell>
          <cell r="J78">
            <v>0.114</v>
          </cell>
        </row>
        <row r="79">
          <cell r="A79" t="str">
            <v>PRLX4</v>
          </cell>
          <cell r="B79">
            <v>371</v>
          </cell>
          <cell r="C79" t="str">
            <v>PRLX4 CRYSTAL BLUE PEARL</v>
          </cell>
          <cell r="D79">
            <v>281.01</v>
          </cell>
          <cell r="E79">
            <v>114</v>
          </cell>
          <cell r="F79">
            <v>2.4649999999999999</v>
          </cell>
          <cell r="G79">
            <v>0.2</v>
          </cell>
          <cell r="H79">
            <v>8.5000000000000006E-2</v>
          </cell>
          <cell r="I79">
            <v>3.2094299999999998</v>
          </cell>
          <cell r="J79">
            <v>0.114</v>
          </cell>
        </row>
        <row r="80">
          <cell r="A80" t="str">
            <v>PRLX5</v>
          </cell>
          <cell r="B80">
            <v>573</v>
          </cell>
          <cell r="C80" t="str">
            <v>PRLX5 CRYSTAL GREEN PEARL</v>
          </cell>
          <cell r="D80">
            <v>207.04</v>
          </cell>
          <cell r="E80">
            <v>114</v>
          </cell>
          <cell r="F80">
            <v>1.8161403508771929</v>
          </cell>
          <cell r="G80">
            <v>0.2</v>
          </cell>
          <cell r="H80">
            <v>8.5000000000000006E-2</v>
          </cell>
          <cell r="I80">
            <v>2.3646147368421051</v>
          </cell>
          <cell r="J80">
            <v>0.114</v>
          </cell>
        </row>
        <row r="81">
          <cell r="A81" t="str">
            <v>PRLX6</v>
          </cell>
          <cell r="B81">
            <v>573</v>
          </cell>
          <cell r="C81" t="str">
            <v>PRLX5 CRYSTAL GREEN PEARL</v>
          </cell>
          <cell r="D81">
            <v>207.04</v>
          </cell>
          <cell r="E81">
            <v>114</v>
          </cell>
          <cell r="F81">
            <v>1.8161403508771929</v>
          </cell>
          <cell r="G81">
            <v>0.2</v>
          </cell>
          <cell r="H81">
            <v>8.5000000000000006E-2</v>
          </cell>
          <cell r="I81">
            <v>2.3646147368421051</v>
          </cell>
          <cell r="J81">
            <v>0.114</v>
          </cell>
        </row>
        <row r="82">
          <cell r="A82" t="str">
            <v>PRLX7</v>
          </cell>
          <cell r="B82">
            <v>573</v>
          </cell>
          <cell r="C82" t="str">
            <v>PRLX5 CRYSTAL GREEN PEARL</v>
          </cell>
          <cell r="D82">
            <v>207.04</v>
          </cell>
          <cell r="E82">
            <v>114</v>
          </cell>
          <cell r="F82">
            <v>1.8161403508771929</v>
          </cell>
          <cell r="G82">
            <v>0.2</v>
          </cell>
          <cell r="H82">
            <v>8.5000000000000006E-2</v>
          </cell>
          <cell r="I82">
            <v>2.3646147368421051</v>
          </cell>
          <cell r="J82">
            <v>0.114</v>
          </cell>
        </row>
        <row r="83">
          <cell r="A83" t="str">
            <v>PRLX8</v>
          </cell>
          <cell r="B83">
            <v>573</v>
          </cell>
          <cell r="C83" t="str">
            <v>PRLX5 CRYSTAL GREEN PEARL</v>
          </cell>
          <cell r="D83">
            <v>207.04</v>
          </cell>
          <cell r="E83">
            <v>114</v>
          </cell>
          <cell r="F83">
            <v>1.8161403508771929</v>
          </cell>
          <cell r="G83">
            <v>0.2</v>
          </cell>
          <cell r="H83">
            <v>8.5000000000000006E-2</v>
          </cell>
          <cell r="I83">
            <v>2.3646147368421051</v>
          </cell>
          <cell r="J83">
            <v>0.114</v>
          </cell>
        </row>
        <row r="84">
          <cell r="A84" t="str">
            <v>PRLX9</v>
          </cell>
          <cell r="B84">
            <v>573</v>
          </cell>
          <cell r="C84" t="str">
            <v>PRLX5 CRYSTAL GREEN PEARL</v>
          </cell>
          <cell r="D84">
            <v>207.04</v>
          </cell>
          <cell r="E84">
            <v>114</v>
          </cell>
          <cell r="F84">
            <v>1.8161403508771929</v>
          </cell>
          <cell r="G84">
            <v>0.2</v>
          </cell>
          <cell r="H84">
            <v>8.5000000000000006E-2</v>
          </cell>
          <cell r="I84">
            <v>2.3646147368421051</v>
          </cell>
          <cell r="J84">
            <v>0.114</v>
          </cell>
        </row>
        <row r="85">
          <cell r="A85" t="str">
            <v>300</v>
          </cell>
          <cell r="B85">
            <v>12</v>
          </cell>
          <cell r="C85" t="str">
            <v>F300 BLANC T.A 20LT</v>
          </cell>
          <cell r="D85">
            <v>1306.8900000000001</v>
          </cell>
          <cell r="E85">
            <v>35440</v>
          </cell>
          <cell r="F85">
            <v>3.6876128668171561E-2</v>
          </cell>
          <cell r="G85">
            <v>0.2</v>
          </cell>
          <cell r="H85">
            <v>8.5000000000000006E-2</v>
          </cell>
          <cell r="I85">
            <v>4.8012719525959376E-2</v>
          </cell>
          <cell r="J85">
            <v>20</v>
          </cell>
        </row>
        <row r="86">
          <cell r="A86" t="str">
            <v>301</v>
          </cell>
          <cell r="B86">
            <v>13</v>
          </cell>
          <cell r="C86" t="str">
            <v>F301 RUBIS T.D 3.5LT</v>
          </cell>
          <cell r="D86">
            <v>475.08</v>
          </cell>
          <cell r="E86">
            <v>3717</v>
          </cell>
          <cell r="F86">
            <v>0.12781275221953187</v>
          </cell>
          <cell r="G86">
            <v>0.2</v>
          </cell>
          <cell r="H86">
            <v>8.5000000000000006E-2</v>
          </cell>
          <cell r="I86">
            <v>0.16641220338983048</v>
          </cell>
          <cell r="J86">
            <v>3.5</v>
          </cell>
        </row>
        <row r="87">
          <cell r="A87" t="str">
            <v>302</v>
          </cell>
          <cell r="B87">
            <v>14</v>
          </cell>
          <cell r="C87" t="str">
            <v>F302 VIOLET T.C 3.5LT</v>
          </cell>
          <cell r="D87">
            <v>212.13</v>
          </cell>
          <cell r="E87">
            <v>3679</v>
          </cell>
          <cell r="F87">
            <v>5.7659690133188363E-2</v>
          </cell>
          <cell r="G87">
            <v>0.2</v>
          </cell>
          <cell r="H87">
            <v>8.5000000000000006E-2</v>
          </cell>
          <cell r="I87">
            <v>7.5072916553411251E-2</v>
          </cell>
        </row>
        <row r="88">
          <cell r="A88" t="str">
            <v>304</v>
          </cell>
          <cell r="B88">
            <v>15</v>
          </cell>
          <cell r="C88" t="str">
            <v>F304 ROUGET T.A PPG</v>
          </cell>
          <cell r="D88">
            <v>174.12</v>
          </cell>
          <cell r="E88">
            <v>3665</v>
          </cell>
          <cell r="F88">
            <v>4.7508867667121417E-2</v>
          </cell>
          <cell r="G88">
            <v>0.2</v>
          </cell>
          <cell r="H88">
            <v>8.5000000000000006E-2</v>
          </cell>
          <cell r="I88">
            <v>6.1856545702592081E-2</v>
          </cell>
          <cell r="J88">
            <v>3.5</v>
          </cell>
        </row>
        <row r="89">
          <cell r="A89" t="str">
            <v>305</v>
          </cell>
          <cell r="B89">
            <v>16</v>
          </cell>
          <cell r="C89" t="str">
            <v>F305 ROUGE ECARLATE T.C</v>
          </cell>
          <cell r="D89">
            <v>509.03</v>
          </cell>
          <cell r="E89">
            <v>3665</v>
          </cell>
          <cell r="F89">
            <v>0.1388894952251023</v>
          </cell>
          <cell r="G89">
            <v>0.2</v>
          </cell>
          <cell r="H89">
            <v>8.5000000000000006E-2</v>
          </cell>
          <cell r="I89">
            <v>0.1808341227830832</v>
          </cell>
          <cell r="J89">
            <v>3.5</v>
          </cell>
        </row>
        <row r="90">
          <cell r="A90" t="str">
            <v>306</v>
          </cell>
          <cell r="B90">
            <v>17</v>
          </cell>
          <cell r="C90" t="str">
            <v>F306 JAUNE SPLENDIDE T.D 3.5LT</v>
          </cell>
          <cell r="D90">
            <v>509.23</v>
          </cell>
          <cell r="E90">
            <v>3955</v>
          </cell>
          <cell r="F90">
            <v>0.12875600505689003</v>
          </cell>
          <cell r="G90">
            <v>0.2</v>
          </cell>
          <cell r="H90">
            <v>8.5000000000000006E-2</v>
          </cell>
          <cell r="I90">
            <v>0.16764031858407083</v>
          </cell>
          <cell r="J90">
            <v>3.5</v>
          </cell>
        </row>
        <row r="91">
          <cell r="A91" t="str">
            <v>308</v>
          </cell>
          <cell r="B91">
            <v>18</v>
          </cell>
          <cell r="C91" t="str">
            <v>F308 JAUNE ORG CLAIR T.B 3.5LT</v>
          </cell>
          <cell r="D91">
            <v>174.23</v>
          </cell>
          <cell r="E91">
            <v>3455</v>
          </cell>
          <cell r="F91">
            <v>5.0428364688856725E-2</v>
          </cell>
          <cell r="G91">
            <v>0.2</v>
          </cell>
          <cell r="H91">
            <v>8.5000000000000006E-2</v>
          </cell>
          <cell r="I91">
            <v>6.5657730824891458E-2</v>
          </cell>
          <cell r="J91">
            <v>3.5</v>
          </cell>
        </row>
        <row r="92">
          <cell r="A92" t="str">
            <v>309</v>
          </cell>
          <cell r="B92">
            <v>19</v>
          </cell>
          <cell r="C92" t="str">
            <v>F309 ORANGE ORG CLAIR T.C 3.5LT</v>
          </cell>
          <cell r="D92">
            <v>444.81</v>
          </cell>
          <cell r="E92">
            <v>3455</v>
          </cell>
          <cell r="F92">
            <v>0.12874384949348769</v>
          </cell>
          <cell r="G92">
            <v>0.2</v>
          </cell>
          <cell r="H92">
            <v>8.5000000000000006E-2</v>
          </cell>
          <cell r="I92">
            <v>0.16762449204052096</v>
          </cell>
          <cell r="J92">
            <v>3.5</v>
          </cell>
        </row>
        <row r="93">
          <cell r="A93" t="str">
            <v>310</v>
          </cell>
          <cell r="B93">
            <v>20</v>
          </cell>
          <cell r="C93" t="str">
            <v>F310 JAUNE CHR CLAIR T.B 3.5LT</v>
          </cell>
          <cell r="D93">
            <v>174.12</v>
          </cell>
          <cell r="E93">
            <v>5401</v>
          </cell>
          <cell r="F93">
            <v>3.2238474356600627E-2</v>
          </cell>
          <cell r="G93">
            <v>0.2</v>
          </cell>
          <cell r="H93">
            <v>8.5000000000000006E-2</v>
          </cell>
          <cell r="I93">
            <v>4.1974493612294016E-2</v>
          </cell>
          <cell r="J93">
            <v>3.5</v>
          </cell>
        </row>
        <row r="94">
          <cell r="A94" t="str">
            <v>311</v>
          </cell>
          <cell r="B94">
            <v>21</v>
          </cell>
          <cell r="C94" t="str">
            <v>F311 JAUNE DE CHROME T.B 3.5LT</v>
          </cell>
          <cell r="D94">
            <v>212.5</v>
          </cell>
          <cell r="E94">
            <v>5369</v>
          </cell>
          <cell r="F94">
            <v>3.9579065002793817E-2</v>
          </cell>
          <cell r="G94">
            <v>0.2</v>
          </cell>
          <cell r="H94">
            <v>8.5000000000000006E-2</v>
          </cell>
          <cell r="I94">
            <v>5.1531942633637549E-2</v>
          </cell>
          <cell r="J94">
            <v>3.5</v>
          </cell>
        </row>
        <row r="95">
          <cell r="A95" t="str">
            <v>312</v>
          </cell>
          <cell r="B95">
            <v>22</v>
          </cell>
          <cell r="C95" t="str">
            <v>F312 ORANGE T.B 3.5LT PPG</v>
          </cell>
          <cell r="D95">
            <v>212.61</v>
          </cell>
          <cell r="E95">
            <v>5334</v>
          </cell>
          <cell r="F95">
            <v>3.9859392575928014E-2</v>
          </cell>
          <cell r="G95">
            <v>0.2</v>
          </cell>
          <cell r="H95">
            <v>8.5000000000000006E-2</v>
          </cell>
          <cell r="I95">
            <v>5.1896929133858273E-2</v>
          </cell>
          <cell r="J95">
            <v>3.5</v>
          </cell>
        </row>
        <row r="96">
          <cell r="A96" t="str">
            <v>313</v>
          </cell>
          <cell r="B96">
            <v>419</v>
          </cell>
          <cell r="C96" t="str">
            <v>F313 JAUNE ORGANIQUE</v>
          </cell>
          <cell r="D96">
            <v>730.41</v>
          </cell>
          <cell r="E96">
            <v>3871</v>
          </cell>
          <cell r="F96">
            <v>0.18868767760268665</v>
          </cell>
          <cell r="G96">
            <v>0.2</v>
          </cell>
          <cell r="H96">
            <v>8.5000000000000006E-2</v>
          </cell>
          <cell r="I96">
            <v>0.24567135623869801</v>
          </cell>
          <cell r="J96">
            <v>3.5</v>
          </cell>
        </row>
        <row r="97">
          <cell r="A97" t="str">
            <v>314</v>
          </cell>
          <cell r="B97">
            <v>564</v>
          </cell>
          <cell r="C97" t="str">
            <v>F314 VERT MOYEN T.B</v>
          </cell>
          <cell r="D97">
            <v>286.19</v>
          </cell>
          <cell r="E97">
            <v>3857</v>
          </cell>
          <cell r="F97">
            <v>7.420015556131708E-2</v>
          </cell>
          <cell r="G97">
            <v>0.2</v>
          </cell>
          <cell r="H97">
            <v>8.5000000000000006E-2</v>
          </cell>
          <cell r="I97">
            <v>9.6608602540834837E-2</v>
          </cell>
          <cell r="J97">
            <v>3.5</v>
          </cell>
        </row>
        <row r="98">
          <cell r="A98" t="str">
            <v>315</v>
          </cell>
          <cell r="B98">
            <v>23</v>
          </cell>
          <cell r="C98" t="str">
            <v>F315 VERT ORG FONCE T.C 3.5LT</v>
          </cell>
          <cell r="D98">
            <v>212.4</v>
          </cell>
          <cell r="E98">
            <v>3882</v>
          </cell>
          <cell r="F98">
            <v>5.4714064914992276E-2</v>
          </cell>
          <cell r="G98">
            <v>0.2</v>
          </cell>
          <cell r="H98">
            <v>8.5000000000000006E-2</v>
          </cell>
          <cell r="I98">
            <v>7.1237712519319957E-2</v>
          </cell>
          <cell r="J98">
            <v>3.5</v>
          </cell>
        </row>
        <row r="99">
          <cell r="A99" t="str">
            <v>316</v>
          </cell>
          <cell r="B99">
            <v>24</v>
          </cell>
          <cell r="C99" t="str">
            <v>F316 ALUMINIUM FIN T.A 3.5LT</v>
          </cell>
          <cell r="D99">
            <v>180.38</v>
          </cell>
          <cell r="E99">
            <v>3752</v>
          </cell>
          <cell r="F99">
            <v>4.8075692963752664E-2</v>
          </cell>
          <cell r="G99">
            <v>0.2</v>
          </cell>
          <cell r="H99">
            <v>8.5000000000000006E-2</v>
          </cell>
          <cell r="I99">
            <v>6.2594552238805973E-2</v>
          </cell>
          <cell r="J99">
            <v>3.5</v>
          </cell>
        </row>
        <row r="100">
          <cell r="A100" t="str">
            <v>317</v>
          </cell>
          <cell r="B100">
            <v>25</v>
          </cell>
          <cell r="C100" t="str">
            <v>F317 OXYDE JAUNE T.A 3.5LT</v>
          </cell>
          <cell r="D100">
            <v>151.08000000000001</v>
          </cell>
          <cell r="E100">
            <v>4543</v>
          </cell>
          <cell r="F100">
            <v>3.3255558001320719E-2</v>
          </cell>
          <cell r="G100">
            <v>0.2</v>
          </cell>
          <cell r="H100">
            <v>8.5000000000000006E-2</v>
          </cell>
          <cell r="I100">
            <v>4.329873651771958E-2</v>
          </cell>
          <cell r="J100">
            <v>3.5</v>
          </cell>
        </row>
        <row r="101">
          <cell r="A101" t="str">
            <v>318</v>
          </cell>
          <cell r="B101">
            <v>26</v>
          </cell>
          <cell r="C101" t="str">
            <v>F318 NOIR T.A 3.5LT</v>
          </cell>
          <cell r="D101">
            <v>143.93</v>
          </cell>
          <cell r="E101">
            <v>3784</v>
          </cell>
          <cell r="F101">
            <v>3.8036469344608879E-2</v>
          </cell>
          <cell r="G101">
            <v>0.2</v>
          </cell>
          <cell r="H101">
            <v>8.5000000000000006E-2</v>
          </cell>
          <cell r="I101">
            <v>4.952348308668076E-2</v>
          </cell>
          <cell r="J101">
            <v>3.5</v>
          </cell>
        </row>
        <row r="102">
          <cell r="A102" t="str">
            <v>319</v>
          </cell>
          <cell r="B102">
            <v>27</v>
          </cell>
          <cell r="C102" t="str">
            <v>F319 OXYDE TOUGE T.A 3.5LT</v>
          </cell>
          <cell r="D102">
            <v>174.41</v>
          </cell>
          <cell r="E102">
            <v>4732</v>
          </cell>
          <cell r="F102">
            <v>3.6857565511411665E-2</v>
          </cell>
          <cell r="G102">
            <v>0.2</v>
          </cell>
          <cell r="H102">
            <v>8.5000000000000006E-2</v>
          </cell>
          <cell r="I102">
            <v>4.7988550295857989E-2</v>
          </cell>
          <cell r="J102">
            <v>3.5</v>
          </cell>
        </row>
        <row r="103">
          <cell r="A103" t="str">
            <v>320</v>
          </cell>
          <cell r="B103">
            <v>28</v>
          </cell>
          <cell r="C103" t="str">
            <v>F320 BLEU ORGANIQUE T.B 3.5LT PPG</v>
          </cell>
          <cell r="D103">
            <v>144.04</v>
          </cell>
          <cell r="E103">
            <v>3780</v>
          </cell>
          <cell r="F103">
            <v>3.8105820105820101E-2</v>
          </cell>
          <cell r="G103">
            <v>0.2</v>
          </cell>
          <cell r="H103">
            <v>8.5000000000000006E-2</v>
          </cell>
          <cell r="I103">
            <v>4.9613777777777771E-2</v>
          </cell>
          <cell r="J103">
            <v>3.5</v>
          </cell>
        </row>
        <row r="104">
          <cell r="A104" t="str">
            <v>321</v>
          </cell>
          <cell r="B104">
            <v>29</v>
          </cell>
          <cell r="C104" t="str">
            <v>F321 BLEU NUIT T.B.A 3.5LT</v>
          </cell>
          <cell r="D104">
            <v>212.61</v>
          </cell>
          <cell r="E104">
            <v>3777</v>
          </cell>
          <cell r="F104">
            <v>5.6290706910246228E-2</v>
          </cell>
          <cell r="G104">
            <v>0.2</v>
          </cell>
          <cell r="H104">
            <v>8.5000000000000006E-2</v>
          </cell>
          <cell r="I104">
            <v>7.3290500397140593E-2</v>
          </cell>
          <cell r="J104">
            <v>3.5</v>
          </cell>
        </row>
        <row r="105">
          <cell r="A105" t="str">
            <v>323</v>
          </cell>
          <cell r="B105">
            <v>1016</v>
          </cell>
          <cell r="C105" t="str">
            <v>F323 ROUGE VIF T.C 3.5LT PPG</v>
          </cell>
          <cell r="D105">
            <v>791.92</v>
          </cell>
          <cell r="E105">
            <v>3829</v>
          </cell>
          <cell r="F105">
            <v>0.2068216244450248</v>
          </cell>
          <cell r="G105">
            <v>0.2</v>
          </cell>
          <cell r="H105">
            <v>8.5000000000000006E-2</v>
          </cell>
          <cell r="I105">
            <v>0.2692817550274223</v>
          </cell>
          <cell r="J105">
            <v>3.5</v>
          </cell>
        </row>
        <row r="106">
          <cell r="A106" t="str">
            <v>324</v>
          </cell>
          <cell r="B106">
            <v>680</v>
          </cell>
          <cell r="C106" t="str">
            <v>F324 NOIR DE CARBONE T.A</v>
          </cell>
          <cell r="D106">
            <v>336</v>
          </cell>
          <cell r="E106">
            <v>3763</v>
          </cell>
          <cell r="F106">
            <v>8.9290459739569492E-2</v>
          </cell>
          <cell r="G106">
            <v>0.2</v>
          </cell>
          <cell r="H106">
            <v>8.5000000000000006E-2</v>
          </cell>
          <cell r="I106">
            <v>0.11625617858091947</v>
          </cell>
          <cell r="J106">
            <v>3.5</v>
          </cell>
        </row>
        <row r="107">
          <cell r="A107" t="str">
            <v>325</v>
          </cell>
          <cell r="B107">
            <v>30</v>
          </cell>
          <cell r="C107" t="str">
            <v>F325 LARANJA PERMANENTE 3.5LT PPG</v>
          </cell>
          <cell r="D107">
            <v>421.39</v>
          </cell>
          <cell r="E107">
            <v>3854</v>
          </cell>
          <cell r="F107">
            <v>0.10933834976647638</v>
          </cell>
          <cell r="G107">
            <v>0.2</v>
          </cell>
          <cell r="H107">
            <v>8.5000000000000006E-2</v>
          </cell>
          <cell r="I107">
            <v>0.14235853139595225</v>
          </cell>
          <cell r="J107">
            <v>3.5</v>
          </cell>
        </row>
        <row r="108">
          <cell r="A108" t="str">
            <v>341</v>
          </cell>
          <cell r="B108">
            <v>738</v>
          </cell>
          <cell r="C108" t="str">
            <v>F341 LIANT 350 20LT PPG - PPG</v>
          </cell>
          <cell r="D108">
            <v>606.89</v>
          </cell>
          <cell r="E108">
            <v>20200</v>
          </cell>
          <cell r="F108">
            <v>3.0044059405940595E-2</v>
          </cell>
          <cell r="G108">
            <v>0.2</v>
          </cell>
          <cell r="H108">
            <v>8.5000000000000006E-2</v>
          </cell>
          <cell r="I108">
            <v>3.9117365346534656E-2</v>
          </cell>
          <cell r="J108">
            <v>20</v>
          </cell>
        </row>
        <row r="109">
          <cell r="A109" t="str">
            <v>342</v>
          </cell>
          <cell r="B109">
            <v>596</v>
          </cell>
          <cell r="C109" t="str">
            <v>F342 LIANT MAT 350</v>
          </cell>
          <cell r="D109">
            <v>112.24</v>
          </cell>
          <cell r="E109">
            <v>4095</v>
          </cell>
          <cell r="F109">
            <v>2.7409035409035408E-2</v>
          </cell>
          <cell r="G109">
            <v>0.2</v>
          </cell>
          <cell r="H109">
            <v>8.5000000000000006E-2</v>
          </cell>
          <cell r="I109">
            <v>3.56865641025641E-2</v>
          </cell>
          <cell r="J109">
            <v>3.5</v>
          </cell>
        </row>
        <row r="110">
          <cell r="A110" t="str">
            <v>343</v>
          </cell>
          <cell r="B110">
            <v>1154</v>
          </cell>
          <cell r="C110" t="str">
            <v>F343 BASE PU 280 20LT</v>
          </cell>
          <cell r="D110">
            <v>451.53</v>
          </cell>
          <cell r="E110">
            <v>20400</v>
          </cell>
          <cell r="F110">
            <v>2.2133823529411765E-2</v>
          </cell>
          <cell r="G110">
            <v>0.2</v>
          </cell>
          <cell r="H110">
            <v>8.5000000000000006E-2</v>
          </cell>
          <cell r="I110">
            <v>2.8818238235294117E-2</v>
          </cell>
          <cell r="J110">
            <v>20</v>
          </cell>
        </row>
        <row r="111">
          <cell r="A111" t="str">
            <v>351</v>
          </cell>
          <cell r="B111">
            <v>31</v>
          </cell>
          <cell r="C111" t="str">
            <v>F351 LIANT EPOXI 5LT</v>
          </cell>
          <cell r="D111">
            <v>151.03</v>
          </cell>
          <cell r="E111">
            <v>5000</v>
          </cell>
          <cell r="F111">
            <v>3.0206E-2</v>
          </cell>
          <cell r="G111">
            <v>0.2</v>
          </cell>
          <cell r="H111">
            <v>8.5000000000000006E-2</v>
          </cell>
          <cell r="I111">
            <v>3.9328212000000001E-2</v>
          </cell>
          <cell r="J111">
            <v>5</v>
          </cell>
        </row>
        <row r="112">
          <cell r="A112" t="str">
            <v>399</v>
          </cell>
          <cell r="B112">
            <v>346</v>
          </cell>
          <cell r="C112" t="str">
            <v>F399 PRIMER EPOXY TINGIVEL S/CHR 3LT</v>
          </cell>
          <cell r="D112">
            <v>144.99</v>
          </cell>
          <cell r="E112">
            <v>4164</v>
          </cell>
          <cell r="F112">
            <v>3.4819884726224784E-2</v>
          </cell>
          <cell r="G112">
            <v>0.2</v>
          </cell>
          <cell r="H112">
            <v>8.5000000000000006E-2</v>
          </cell>
          <cell r="I112">
            <v>4.533548991354467E-2</v>
          </cell>
          <cell r="J112">
            <v>3</v>
          </cell>
        </row>
        <row r="113">
          <cell r="A113" t="str">
            <v>420</v>
          </cell>
          <cell r="B113">
            <v>1010</v>
          </cell>
          <cell r="C113" t="str">
            <v>F420 CLEAR P.U 290 20LT PPG - PPG</v>
          </cell>
          <cell r="D113">
            <v>395.73</v>
          </cell>
          <cell r="E113">
            <v>19600</v>
          </cell>
          <cell r="F113">
            <v>2.019030612244898E-2</v>
          </cell>
          <cell r="G113">
            <v>0.2</v>
          </cell>
          <cell r="H113">
            <v>8.5000000000000006E-2</v>
          </cell>
          <cell r="I113">
            <v>2.6287778571428572E-2</v>
          </cell>
          <cell r="J113">
            <v>20</v>
          </cell>
        </row>
        <row r="114">
          <cell r="A114" t="str">
            <v>421</v>
          </cell>
          <cell r="B114">
            <v>594</v>
          </cell>
          <cell r="C114" t="str">
            <v>F421 BASE BRANCA P.U. 290</v>
          </cell>
          <cell r="D114">
            <v>119.41</v>
          </cell>
          <cell r="E114">
            <v>4515</v>
          </cell>
          <cell r="F114">
            <v>2.6447397563676634E-2</v>
          </cell>
          <cell r="G114">
            <v>0.2</v>
          </cell>
          <cell r="H114">
            <v>8.5000000000000006E-2</v>
          </cell>
          <cell r="I114">
            <v>3.4434511627906977E-2</v>
          </cell>
          <cell r="J114">
            <v>3.5</v>
          </cell>
        </row>
        <row r="115">
          <cell r="A115" t="str">
            <v>606</v>
          </cell>
          <cell r="B115">
            <v>57</v>
          </cell>
          <cell r="C115" t="str">
            <v>DUL606 CLEAR PU 3.5LT</v>
          </cell>
          <cell r="D115">
            <v>89.45</v>
          </cell>
          <cell r="E115">
            <v>3500</v>
          </cell>
          <cell r="F115">
            <v>2.5557142857142858E-2</v>
          </cell>
          <cell r="G115">
            <v>0.2</v>
          </cell>
          <cell r="H115">
            <v>8.5000000000000006E-2</v>
          </cell>
          <cell r="I115">
            <v>3.3275400000000004E-2</v>
          </cell>
          <cell r="J115">
            <v>3.5</v>
          </cell>
        </row>
        <row r="116">
          <cell r="A116" t="str">
            <v>607</v>
          </cell>
          <cell r="B116">
            <v>1106</v>
          </cell>
          <cell r="C116" t="str">
            <v>BP01 CLEAR PARA POLIESTER 20 LT</v>
          </cell>
          <cell r="D116">
            <v>302.52999999999997</v>
          </cell>
          <cell r="E116">
            <v>18000</v>
          </cell>
          <cell r="F116">
            <v>1.680722222222222E-2</v>
          </cell>
          <cell r="G116">
            <v>0.2</v>
          </cell>
          <cell r="H116">
            <v>8.5000000000000006E-2</v>
          </cell>
          <cell r="I116">
            <v>2.1883003333333331E-2</v>
          </cell>
          <cell r="J116">
            <v>20</v>
          </cell>
        </row>
        <row r="117">
          <cell r="A117" t="str">
            <v>609</v>
          </cell>
          <cell r="B117">
            <v>59</v>
          </cell>
          <cell r="C117" t="str">
            <v>DUL609 SOLUCAO SECANTE 1LT</v>
          </cell>
          <cell r="D117">
            <v>13.75</v>
          </cell>
          <cell r="E117">
            <v>860</v>
          </cell>
          <cell r="F117">
            <v>1.5988372093023256E-2</v>
          </cell>
          <cell r="G117">
            <v>0.2</v>
          </cell>
          <cell r="H117">
            <v>8.5000000000000006E-2</v>
          </cell>
          <cell r="I117">
            <v>2.0816860465116282E-2</v>
          </cell>
          <cell r="J117">
            <v>1</v>
          </cell>
        </row>
        <row r="118">
          <cell r="A118" t="str">
            <v>610</v>
          </cell>
          <cell r="B118">
            <v>60</v>
          </cell>
          <cell r="C118" t="str">
            <v>DUL610 CONCENTRADO LISO AMARELO 1LT</v>
          </cell>
          <cell r="D118">
            <v>47.06</v>
          </cell>
          <cell r="E118">
            <v>1720</v>
          </cell>
          <cell r="F118">
            <v>2.736046511627907E-2</v>
          </cell>
          <cell r="G118">
            <v>0.2</v>
          </cell>
          <cell r="H118">
            <v>8.5000000000000006E-2</v>
          </cell>
          <cell r="I118">
            <v>3.5623325581395346E-2</v>
          </cell>
          <cell r="J118">
            <v>1</v>
          </cell>
        </row>
        <row r="119">
          <cell r="A119" t="str">
            <v>611</v>
          </cell>
          <cell r="B119">
            <v>61</v>
          </cell>
          <cell r="C119" t="str">
            <v>DUL611 CONC.LISO AMARELO AVERMELHADO 3.5LT</v>
          </cell>
          <cell r="D119">
            <v>169.97</v>
          </cell>
          <cell r="E119">
            <v>1820</v>
          </cell>
          <cell r="F119">
            <v>9.3390109890109888E-2</v>
          </cell>
          <cell r="G119">
            <v>0.2</v>
          </cell>
          <cell r="H119">
            <v>8.5000000000000006E-2</v>
          </cell>
          <cell r="I119">
            <v>0.12159392307692307</v>
          </cell>
          <cell r="J119">
            <v>3.5</v>
          </cell>
        </row>
        <row r="120">
          <cell r="A120" t="str">
            <v>612</v>
          </cell>
          <cell r="B120">
            <v>62</v>
          </cell>
          <cell r="C120" t="str">
            <v>DUL612 CONC.L/M AMARELO ESVERDEADO 1LT PPG</v>
          </cell>
          <cell r="D120">
            <v>280.58</v>
          </cell>
          <cell r="E120">
            <v>1380</v>
          </cell>
          <cell r="F120">
            <v>0.20331884057971014</v>
          </cell>
          <cell r="G120">
            <v>0.2</v>
          </cell>
          <cell r="H120">
            <v>8.5000000000000006E-2</v>
          </cell>
          <cell r="I120">
            <v>0.26472113043478263</v>
          </cell>
          <cell r="J120">
            <v>1</v>
          </cell>
        </row>
        <row r="121">
          <cell r="A121" t="str">
            <v>613</v>
          </cell>
          <cell r="B121">
            <v>63</v>
          </cell>
          <cell r="C121" t="str">
            <v>DUL613 CONC.LISO AMARELO OXIDO 3.5LT</v>
          </cell>
          <cell r="D121">
            <v>99.28</v>
          </cell>
          <cell r="E121">
            <v>4515</v>
          </cell>
          <cell r="F121">
            <v>2.198892580287929E-2</v>
          </cell>
          <cell r="G121">
            <v>0.2</v>
          </cell>
          <cell r="H121">
            <v>8.5000000000000006E-2</v>
          </cell>
          <cell r="I121">
            <v>2.8629581395348838E-2</v>
          </cell>
          <cell r="J121">
            <v>3.5</v>
          </cell>
        </row>
        <row r="122">
          <cell r="A122" t="str">
            <v>614</v>
          </cell>
          <cell r="B122">
            <v>326</v>
          </cell>
          <cell r="C122" t="str">
            <v>DUL614 CONCENTRADO LISO AZUL CELESTE</v>
          </cell>
          <cell r="D122">
            <v>171.49</v>
          </cell>
          <cell r="E122">
            <v>988</v>
          </cell>
          <cell r="F122">
            <v>0.17357287449392714</v>
          </cell>
          <cell r="G122">
            <v>0.2</v>
          </cell>
          <cell r="H122">
            <v>8.5000000000000006E-2</v>
          </cell>
          <cell r="I122">
            <v>0.22599188259109315</v>
          </cell>
          <cell r="J122">
            <v>1</v>
          </cell>
        </row>
        <row r="123">
          <cell r="A123" t="str">
            <v>615</v>
          </cell>
          <cell r="B123">
            <v>470</v>
          </cell>
          <cell r="C123" t="str">
            <v>DUL615 CONCENTRADO LISO AZUL ESCURO</v>
          </cell>
          <cell r="D123">
            <v>260.08</v>
          </cell>
          <cell r="E123">
            <v>3500</v>
          </cell>
          <cell r="F123">
            <v>7.4308571428571418E-2</v>
          </cell>
          <cell r="G123">
            <v>0.2</v>
          </cell>
          <cell r="H123">
            <v>8.5000000000000006E-2</v>
          </cell>
          <cell r="I123">
            <v>9.674975999999999E-2</v>
          </cell>
          <cell r="J123">
            <v>1</v>
          </cell>
        </row>
        <row r="124">
          <cell r="A124" t="str">
            <v>616</v>
          </cell>
          <cell r="C124" t="str">
            <v/>
          </cell>
          <cell r="D124" t="str">
            <v/>
          </cell>
          <cell r="E124">
            <v>6055</v>
          </cell>
          <cell r="F124" t="str">
            <v/>
          </cell>
          <cell r="G124">
            <v>0.2</v>
          </cell>
          <cell r="H124">
            <v>8.5000000000000006E-2</v>
          </cell>
          <cell r="I124" t="str">
            <v/>
          </cell>
        </row>
        <row r="125">
          <cell r="A125" t="str">
            <v>617</v>
          </cell>
          <cell r="B125">
            <v>65</v>
          </cell>
          <cell r="C125" t="str">
            <v>DUL617 CONC.LISO LARANJA 3.5LT</v>
          </cell>
          <cell r="D125">
            <v>180.31</v>
          </cell>
          <cell r="E125">
            <v>4865</v>
          </cell>
          <cell r="F125">
            <v>3.7062692702980474E-2</v>
          </cell>
          <cell r="G125">
            <v>0.2</v>
          </cell>
          <cell r="H125">
            <v>8.5000000000000006E-2</v>
          </cell>
          <cell r="I125">
            <v>4.8255625899280577E-2</v>
          </cell>
          <cell r="J125">
            <v>3.5</v>
          </cell>
        </row>
        <row r="126">
          <cell r="A126" t="str">
            <v>618</v>
          </cell>
          <cell r="B126">
            <v>66</v>
          </cell>
          <cell r="C126" t="str">
            <v>DUL618 CONC.LISO PRETO 3.5LT</v>
          </cell>
          <cell r="D126">
            <v>112</v>
          </cell>
          <cell r="E126">
            <v>3430</v>
          </cell>
          <cell r="F126">
            <v>3.2653061224489799E-2</v>
          </cell>
          <cell r="G126">
            <v>0.2</v>
          </cell>
          <cell r="H126">
            <v>8.5000000000000006E-2</v>
          </cell>
          <cell r="I126">
            <v>4.251428571428572E-2</v>
          </cell>
          <cell r="J126">
            <v>3.5</v>
          </cell>
        </row>
        <row r="127">
          <cell r="A127" t="str">
            <v>619</v>
          </cell>
          <cell r="B127">
            <v>67</v>
          </cell>
          <cell r="C127" t="str">
            <v>DUL619 CONC.LISO ROSA CLARO 1LT</v>
          </cell>
          <cell r="D127">
            <v>119.83</v>
          </cell>
          <cell r="E127">
            <v>980</v>
          </cell>
          <cell r="F127">
            <v>0.12227551020408163</v>
          </cell>
          <cell r="G127">
            <v>0.2</v>
          </cell>
          <cell r="H127">
            <v>8.5000000000000006E-2</v>
          </cell>
          <cell r="I127">
            <v>0.15920271428571431</v>
          </cell>
          <cell r="J127">
            <v>1</v>
          </cell>
        </row>
        <row r="128">
          <cell r="A128" t="str">
            <v>620</v>
          </cell>
          <cell r="B128">
            <v>68</v>
          </cell>
          <cell r="C128" t="str">
            <v>DUL620 CONC.LISO VERDE AMARELADO 1LT</v>
          </cell>
          <cell r="D128">
            <v>45.86</v>
          </cell>
          <cell r="E128">
            <v>1010</v>
          </cell>
          <cell r="F128">
            <v>4.5405940594059405E-2</v>
          </cell>
          <cell r="G128">
            <v>0.2</v>
          </cell>
          <cell r="H128">
            <v>8.5000000000000006E-2</v>
          </cell>
          <cell r="I128">
            <v>5.9118534653465345E-2</v>
          </cell>
          <cell r="J128">
            <v>1</v>
          </cell>
        </row>
        <row r="129">
          <cell r="A129" t="str">
            <v>621</v>
          </cell>
          <cell r="B129">
            <v>620</v>
          </cell>
          <cell r="C129" t="str">
            <v>CL537 CONC. VERMELHO FORTE</v>
          </cell>
          <cell r="D129">
            <v>69.08</v>
          </cell>
          <cell r="E129">
            <v>998</v>
          </cell>
          <cell r="F129">
            <v>6.9218436873747499E-2</v>
          </cell>
          <cell r="G129">
            <v>0.2</v>
          </cell>
          <cell r="H129">
            <v>8.5000000000000006E-2</v>
          </cell>
          <cell r="I129">
            <v>9.012240480961925E-2</v>
          </cell>
          <cell r="J129">
            <v>1</v>
          </cell>
        </row>
        <row r="130">
          <cell r="A130" t="str">
            <v>622</v>
          </cell>
          <cell r="B130">
            <v>69</v>
          </cell>
          <cell r="C130" t="str">
            <v>DUL622 CONCE.LISO VERMELHO CLARO 1LT</v>
          </cell>
          <cell r="D130">
            <v>128.4</v>
          </cell>
          <cell r="E130">
            <v>1000</v>
          </cell>
          <cell r="F130">
            <v>0.12840000000000001</v>
          </cell>
          <cell r="G130">
            <v>0.2</v>
          </cell>
          <cell r="H130">
            <v>8.5000000000000006E-2</v>
          </cell>
          <cell r="I130">
            <v>0.16717680000000001</v>
          </cell>
          <cell r="J130">
            <v>1</v>
          </cell>
        </row>
        <row r="131">
          <cell r="A131" t="str">
            <v>623</v>
          </cell>
          <cell r="B131">
            <v>1007</v>
          </cell>
          <cell r="C131" t="str">
            <v>DUL623 ROJOLIMPIO X 1 LT - PPG</v>
          </cell>
          <cell r="D131">
            <v>349.26</v>
          </cell>
          <cell r="E131">
            <v>1003</v>
          </cell>
          <cell r="F131">
            <v>0.34821535393818542</v>
          </cell>
          <cell r="G131">
            <v>0.2</v>
          </cell>
          <cell r="H131">
            <v>8.5000000000000006E-2</v>
          </cell>
          <cell r="I131">
            <v>0.45337639082751746</v>
          </cell>
          <cell r="J131">
            <v>1</v>
          </cell>
        </row>
        <row r="132">
          <cell r="A132" t="str">
            <v>624</v>
          </cell>
          <cell r="B132">
            <v>70</v>
          </cell>
          <cell r="C132" t="str">
            <v>DUL624 CONC.LISO VEREMLHO OXIDO</v>
          </cell>
          <cell r="D132">
            <v>34.01</v>
          </cell>
          <cell r="E132">
            <v>1330</v>
          </cell>
          <cell r="F132">
            <v>2.5571428571428571E-2</v>
          </cell>
          <cell r="G132">
            <v>0.2</v>
          </cell>
          <cell r="H132">
            <v>8.5000000000000006E-2</v>
          </cell>
          <cell r="I132">
            <v>3.3293999999999997E-2</v>
          </cell>
          <cell r="J132">
            <v>1</v>
          </cell>
        </row>
        <row r="133">
          <cell r="A133" t="str">
            <v>625</v>
          </cell>
          <cell r="B133">
            <v>71</v>
          </cell>
          <cell r="C133" t="str">
            <v>DUL625 CONC.LISO VIOLETA 1LT</v>
          </cell>
          <cell r="D133">
            <v>72.69</v>
          </cell>
          <cell r="E133">
            <v>980</v>
          </cell>
          <cell r="F133">
            <v>7.4173469387755098E-2</v>
          </cell>
          <cell r="G133">
            <v>0.2</v>
          </cell>
          <cell r="H133">
            <v>8.5000000000000006E-2</v>
          </cell>
          <cell r="I133">
            <v>9.6573857142857128E-2</v>
          </cell>
          <cell r="J133">
            <v>1</v>
          </cell>
        </row>
        <row r="134">
          <cell r="A134" t="str">
            <v>626</v>
          </cell>
          <cell r="B134">
            <v>72</v>
          </cell>
          <cell r="C134" t="str">
            <v>DUL626 VIOLETA ROJIZIO 1LT</v>
          </cell>
          <cell r="D134">
            <v>79.56</v>
          </cell>
          <cell r="E134">
            <v>1000</v>
          </cell>
          <cell r="F134">
            <v>7.9560000000000006E-2</v>
          </cell>
          <cell r="G134">
            <v>0.2</v>
          </cell>
          <cell r="H134">
            <v>8.5000000000000006E-2</v>
          </cell>
          <cell r="I134">
            <v>0.10358712</v>
          </cell>
          <cell r="J134">
            <v>1</v>
          </cell>
        </row>
        <row r="135">
          <cell r="A135" t="str">
            <v>629</v>
          </cell>
          <cell r="B135">
            <v>73</v>
          </cell>
          <cell r="C135" t="str">
            <v>DUL629 CONC.MET.AMARELO TRANSPARENTE 1LT</v>
          </cell>
          <cell r="D135">
            <v>109.06</v>
          </cell>
          <cell r="E135">
            <v>1050</v>
          </cell>
          <cell r="F135">
            <v>0.10386666666666666</v>
          </cell>
          <cell r="G135">
            <v>0.2</v>
          </cell>
          <cell r="H135">
            <v>8.5000000000000006E-2</v>
          </cell>
          <cell r="I135">
            <v>0.1352344</v>
          </cell>
          <cell r="J135">
            <v>1</v>
          </cell>
        </row>
        <row r="136">
          <cell r="A136" t="str">
            <v>630</v>
          </cell>
          <cell r="B136">
            <v>74</v>
          </cell>
          <cell r="C136" t="str">
            <v>DUL630 AMARILLO INTENSO X 1LT</v>
          </cell>
          <cell r="D136">
            <v>261.5</v>
          </cell>
          <cell r="E136">
            <v>1030</v>
          </cell>
          <cell r="F136">
            <v>0.25388349514563108</v>
          </cell>
          <cell r="G136">
            <v>0.2</v>
          </cell>
          <cell r="H136">
            <v>8.5000000000000006E-2</v>
          </cell>
          <cell r="I136">
            <v>0.33055631067961166</v>
          </cell>
          <cell r="J136">
            <v>1</v>
          </cell>
        </row>
        <row r="137">
          <cell r="A137" t="str">
            <v>631</v>
          </cell>
          <cell r="B137">
            <v>75</v>
          </cell>
          <cell r="C137" t="str">
            <v>DUL631 CONC.MET.AMARELO LIMAO 1LT</v>
          </cell>
          <cell r="D137">
            <v>146.91</v>
          </cell>
          <cell r="E137">
            <v>980</v>
          </cell>
          <cell r="F137">
            <v>0.14990816326530612</v>
          </cell>
          <cell r="G137">
            <v>0.2</v>
          </cell>
          <cell r="H137">
            <v>8.5000000000000006E-2</v>
          </cell>
          <cell r="I137">
            <v>0.19518042857142856</v>
          </cell>
          <cell r="J137">
            <v>1</v>
          </cell>
        </row>
        <row r="138">
          <cell r="A138" t="str">
            <v>632</v>
          </cell>
          <cell r="B138">
            <v>76</v>
          </cell>
          <cell r="C138" t="str">
            <v>DUL632 AZUL X 1LT</v>
          </cell>
          <cell r="D138">
            <v>130.29</v>
          </cell>
          <cell r="E138">
            <v>950</v>
          </cell>
          <cell r="F138">
            <v>0.13714736842105263</v>
          </cell>
          <cell r="G138">
            <v>0.2</v>
          </cell>
          <cell r="H138">
            <v>8.5000000000000006E-2</v>
          </cell>
          <cell r="I138">
            <v>0.17856587368421054</v>
          </cell>
          <cell r="J138">
            <v>1</v>
          </cell>
        </row>
        <row r="139">
          <cell r="A139" t="str">
            <v>633</v>
          </cell>
          <cell r="B139">
            <v>402</v>
          </cell>
          <cell r="C139" t="str">
            <v>CM010 CONC. AZUL AVERMELHADO</v>
          </cell>
          <cell r="D139">
            <v>183.08</v>
          </cell>
          <cell r="E139">
            <v>970</v>
          </cell>
          <cell r="F139">
            <v>0.18874226804123712</v>
          </cell>
          <cell r="G139">
            <v>0.2</v>
          </cell>
          <cell r="H139">
            <v>8.5000000000000006E-2</v>
          </cell>
          <cell r="I139">
            <v>0.24574243298969073</v>
          </cell>
          <cell r="J139">
            <v>1</v>
          </cell>
        </row>
        <row r="140">
          <cell r="A140" t="str">
            <v>634</v>
          </cell>
          <cell r="B140">
            <v>78</v>
          </cell>
          <cell r="C140" t="str">
            <v>DUL634 AZUL LIMPO X 1LT</v>
          </cell>
          <cell r="D140">
            <v>80.540000000000006</v>
          </cell>
          <cell r="E140">
            <v>980</v>
          </cell>
          <cell r="F140">
            <v>8.2183673469387764E-2</v>
          </cell>
          <cell r="G140">
            <v>0.2</v>
          </cell>
          <cell r="H140">
            <v>8.5000000000000006E-2</v>
          </cell>
          <cell r="I140">
            <v>0.10700314285714287</v>
          </cell>
          <cell r="J140">
            <v>1</v>
          </cell>
        </row>
        <row r="141">
          <cell r="A141" t="str">
            <v>635</v>
          </cell>
          <cell r="B141">
            <v>610</v>
          </cell>
          <cell r="C141" t="str">
            <v>CM065 CONC. AZUL BRILHANTE</v>
          </cell>
          <cell r="D141">
            <v>191.19</v>
          </cell>
          <cell r="E141">
            <v>980</v>
          </cell>
          <cell r="F141">
            <v>0.19509183673469388</v>
          </cell>
          <cell r="G141">
            <v>0.2</v>
          </cell>
          <cell r="H141">
            <v>8.5000000000000006E-2</v>
          </cell>
          <cell r="I141">
            <v>0.25400957142857145</v>
          </cell>
          <cell r="J141">
            <v>1</v>
          </cell>
        </row>
        <row r="142">
          <cell r="A142" t="str">
            <v>636</v>
          </cell>
          <cell r="B142">
            <v>79</v>
          </cell>
          <cell r="C142" t="str">
            <v>DUL636 BLANCO HIELO X 1LT PPG</v>
          </cell>
          <cell r="D142">
            <v>285.67</v>
          </cell>
          <cell r="E142">
            <v>1100</v>
          </cell>
          <cell r="F142">
            <v>0.25970000000000004</v>
          </cell>
          <cell r="G142">
            <v>0.2</v>
          </cell>
          <cell r="H142">
            <v>8.5000000000000006E-2</v>
          </cell>
          <cell r="I142">
            <v>0.33812940000000002</v>
          </cell>
          <cell r="J142">
            <v>1</v>
          </cell>
        </row>
        <row r="143">
          <cell r="A143" t="str">
            <v>637</v>
          </cell>
          <cell r="B143">
            <v>535</v>
          </cell>
          <cell r="C143" t="str">
            <v>CM001 CONC. BRANCO</v>
          </cell>
          <cell r="D143">
            <v>100.38</v>
          </cell>
          <cell r="E143">
            <v>1170</v>
          </cell>
          <cell r="F143">
            <v>8.5794871794871788E-2</v>
          </cell>
          <cell r="G143">
            <v>0.2</v>
          </cell>
          <cell r="H143">
            <v>8.5000000000000006E-2</v>
          </cell>
          <cell r="I143">
            <v>0.11170492307692306</v>
          </cell>
          <cell r="J143">
            <v>1</v>
          </cell>
        </row>
        <row r="144">
          <cell r="A144" t="str">
            <v>638</v>
          </cell>
          <cell r="B144">
            <v>81</v>
          </cell>
          <cell r="C144" t="str">
            <v>DUL638 CASTANO OSCURO X 1LT</v>
          </cell>
          <cell r="D144">
            <v>331.74</v>
          </cell>
          <cell r="E144">
            <v>970</v>
          </cell>
          <cell r="F144">
            <v>0.34200000000000003</v>
          </cell>
          <cell r="G144">
            <v>0.2</v>
          </cell>
          <cell r="H144">
            <v>8.5000000000000006E-2</v>
          </cell>
          <cell r="I144">
            <v>0.44528400000000007</v>
          </cell>
          <cell r="J144">
            <v>1</v>
          </cell>
        </row>
        <row r="145">
          <cell r="A145" t="str">
            <v>639</v>
          </cell>
          <cell r="B145">
            <v>656</v>
          </cell>
          <cell r="C145" t="str">
            <v>CM207 BASE MATIZANTE</v>
          </cell>
          <cell r="D145">
            <v>116.66</v>
          </cell>
          <cell r="E145">
            <v>930</v>
          </cell>
          <cell r="F145">
            <v>0.12544086021505377</v>
          </cell>
          <cell r="G145">
            <v>0.2</v>
          </cell>
          <cell r="H145">
            <v>8.5000000000000006E-2</v>
          </cell>
          <cell r="I145">
            <v>0.163324</v>
          </cell>
          <cell r="J145">
            <v>1</v>
          </cell>
        </row>
        <row r="146">
          <cell r="A146" t="str">
            <v>640</v>
          </cell>
          <cell r="B146">
            <v>258</v>
          </cell>
          <cell r="C146" t="str">
            <v>CM035 CONC. VERMELHO BRILHANTE</v>
          </cell>
          <cell r="D146">
            <v>199.97</v>
          </cell>
          <cell r="E146">
            <v>970</v>
          </cell>
          <cell r="F146">
            <v>0.20615463917525773</v>
          </cell>
          <cell r="G146">
            <v>0.2</v>
          </cell>
          <cell r="H146">
            <v>8.5000000000000006E-2</v>
          </cell>
          <cell r="I146">
            <v>0.26841334020618557</v>
          </cell>
          <cell r="J146">
            <v>1</v>
          </cell>
        </row>
        <row r="147">
          <cell r="A147" t="str">
            <v>641</v>
          </cell>
          <cell r="B147">
            <v>424</v>
          </cell>
          <cell r="C147" t="str">
            <v>CM007 CONC. PRETO INTENSO</v>
          </cell>
          <cell r="D147">
            <v>88.52</v>
          </cell>
          <cell r="E147">
            <v>960</v>
          </cell>
          <cell r="F147">
            <v>9.2208333333333323E-2</v>
          </cell>
          <cell r="G147">
            <v>0.2</v>
          </cell>
          <cell r="H147">
            <v>8.5000000000000006E-2</v>
          </cell>
          <cell r="I147">
            <v>0.12005524999999999</v>
          </cell>
          <cell r="J147">
            <v>1</v>
          </cell>
        </row>
        <row r="148">
          <cell r="A148" t="str">
            <v>642</v>
          </cell>
          <cell r="B148">
            <v>85</v>
          </cell>
          <cell r="C148" t="str">
            <v>DUL642 VERDE X 1LT</v>
          </cell>
          <cell r="D148">
            <v>74.31</v>
          </cell>
          <cell r="E148">
            <v>1000</v>
          </cell>
          <cell r="F148">
            <v>7.4310000000000001E-2</v>
          </cell>
          <cell r="G148">
            <v>0.2</v>
          </cell>
          <cell r="H148">
            <v>8.5000000000000006E-2</v>
          </cell>
          <cell r="I148">
            <v>9.6751619999999997E-2</v>
          </cell>
          <cell r="J148">
            <v>1</v>
          </cell>
        </row>
        <row r="149">
          <cell r="A149" t="str">
            <v>643</v>
          </cell>
          <cell r="B149">
            <v>661</v>
          </cell>
          <cell r="C149" t="str">
            <v>CM062 CONCENTRADO VERDE ESCURO</v>
          </cell>
          <cell r="D149">
            <v>139.43</v>
          </cell>
          <cell r="E149">
            <v>1010</v>
          </cell>
          <cell r="F149">
            <v>0.13804950495049506</v>
          </cell>
          <cell r="G149">
            <v>0.2</v>
          </cell>
          <cell r="H149">
            <v>8.5000000000000006E-2</v>
          </cell>
          <cell r="I149">
            <v>0.17974045544554459</v>
          </cell>
          <cell r="J149">
            <v>1</v>
          </cell>
        </row>
        <row r="150">
          <cell r="A150" t="str">
            <v>644</v>
          </cell>
          <cell r="B150">
            <v>613</v>
          </cell>
          <cell r="C150" t="str">
            <v>CM043 CONC. VERMELHO VIVO</v>
          </cell>
          <cell r="D150">
            <v>261.76</v>
          </cell>
          <cell r="E150">
            <v>960</v>
          </cell>
          <cell r="F150">
            <v>0.27266666666666667</v>
          </cell>
          <cell r="G150">
            <v>0.2</v>
          </cell>
          <cell r="H150">
            <v>8.5000000000000006E-2</v>
          </cell>
          <cell r="I150">
            <v>0.35501199999999999</v>
          </cell>
          <cell r="J150">
            <v>1</v>
          </cell>
        </row>
        <row r="151">
          <cell r="A151" t="str">
            <v>645</v>
          </cell>
          <cell r="B151">
            <v>88</v>
          </cell>
          <cell r="C151" t="str">
            <v>DUL645 CONC.MET.VIOLETA INTENSO 1LT PPG</v>
          </cell>
          <cell r="D151">
            <v>180.63</v>
          </cell>
          <cell r="E151">
            <v>950</v>
          </cell>
          <cell r="F151">
            <v>0.19013684210526316</v>
          </cell>
          <cell r="G151">
            <v>0.2</v>
          </cell>
          <cell r="H151">
            <v>8.5000000000000006E-2</v>
          </cell>
          <cell r="I151">
            <v>0.24755816842105266</v>
          </cell>
          <cell r="J151">
            <v>1</v>
          </cell>
        </row>
        <row r="152">
          <cell r="A152" t="str">
            <v>646</v>
          </cell>
          <cell r="B152">
            <v>1152</v>
          </cell>
          <cell r="C152" t="str">
            <v>CM002 CONC. NEGRO 3,5</v>
          </cell>
          <cell r="D152">
            <v>196.4</v>
          </cell>
          <cell r="E152">
            <v>3185</v>
          </cell>
          <cell r="F152">
            <v>6.1664050235478808E-2</v>
          </cell>
          <cell r="G152">
            <v>0.2</v>
          </cell>
          <cell r="H152">
            <v>8.5000000000000006E-2</v>
          </cell>
          <cell r="I152">
            <v>8.0286593406593415E-2</v>
          </cell>
          <cell r="J152">
            <v>3.5</v>
          </cell>
        </row>
        <row r="153">
          <cell r="A153" t="str">
            <v>647</v>
          </cell>
          <cell r="B153">
            <v>90</v>
          </cell>
          <cell r="C153" t="str">
            <v>DUL647 CONC.MET.VERMELHO TRANSPARENTE 3.5LT</v>
          </cell>
          <cell r="D153">
            <v>169.61</v>
          </cell>
          <cell r="E153">
            <v>3570</v>
          </cell>
          <cell r="F153">
            <v>4.750980392156863E-2</v>
          </cell>
          <cell r="G153">
            <v>0.2</v>
          </cell>
          <cell r="H153">
            <v>8.5000000000000006E-2</v>
          </cell>
          <cell r="I153">
            <v>6.1857764705882362E-2</v>
          </cell>
          <cell r="J153">
            <v>3.5</v>
          </cell>
        </row>
        <row r="154">
          <cell r="A154" t="str">
            <v>648</v>
          </cell>
          <cell r="B154">
            <v>91</v>
          </cell>
          <cell r="C154" t="str">
            <v>DUL648 ROJO VINO X 1LT</v>
          </cell>
          <cell r="D154">
            <v>138.13999999999999</v>
          </cell>
          <cell r="E154">
            <v>960</v>
          </cell>
          <cell r="F154">
            <v>0.14389583333333331</v>
          </cell>
          <cell r="G154">
            <v>0.2</v>
          </cell>
          <cell r="H154">
            <v>8.5000000000000006E-2</v>
          </cell>
          <cell r="I154">
            <v>0.18735237499999996</v>
          </cell>
          <cell r="J154">
            <v>1</v>
          </cell>
        </row>
        <row r="155">
          <cell r="A155" t="str">
            <v>649</v>
          </cell>
          <cell r="B155">
            <v>92</v>
          </cell>
          <cell r="C155" t="str">
            <v>DUL649 AMARILIO DORADO X 1LT</v>
          </cell>
          <cell r="D155">
            <v>42.16</v>
          </cell>
          <cell r="E155">
            <v>1020</v>
          </cell>
          <cell r="F155">
            <v>4.1333333333333333E-2</v>
          </cell>
          <cell r="G155">
            <v>0.2</v>
          </cell>
          <cell r="H155">
            <v>8.5000000000000006E-2</v>
          </cell>
          <cell r="I155">
            <v>5.3815999999999996E-2</v>
          </cell>
          <cell r="J155">
            <v>1</v>
          </cell>
        </row>
        <row r="156">
          <cell r="A156" t="str">
            <v>640</v>
          </cell>
          <cell r="B156">
            <v>592</v>
          </cell>
          <cell r="C156" t="str">
            <v>CM213 CONC. PEROLIZADO AMARELO</v>
          </cell>
          <cell r="D156">
            <v>232.22</v>
          </cell>
          <cell r="E156">
            <v>1020</v>
          </cell>
          <cell r="F156">
            <v>0.22766666666666666</v>
          </cell>
          <cell r="G156">
            <v>0.2</v>
          </cell>
          <cell r="H156">
            <v>8.5000000000000006E-2</v>
          </cell>
          <cell r="I156">
            <v>0.29642200000000002</v>
          </cell>
          <cell r="J156">
            <v>1</v>
          </cell>
        </row>
        <row r="157">
          <cell r="A157" t="str">
            <v>651</v>
          </cell>
          <cell r="B157">
            <v>623</v>
          </cell>
          <cell r="C157" t="str">
            <v>CM200 CONC. PEROLIZADO AZUL FINO</v>
          </cell>
          <cell r="D157">
            <v>261.76</v>
          </cell>
          <cell r="E157">
            <v>1060</v>
          </cell>
          <cell r="F157">
            <v>0.24694339622641509</v>
          </cell>
          <cell r="G157">
            <v>0.2</v>
          </cell>
          <cell r="H157">
            <v>8.5000000000000006E-2</v>
          </cell>
          <cell r="I157">
            <v>0.32152030188679243</v>
          </cell>
          <cell r="J157">
            <v>1</v>
          </cell>
        </row>
        <row r="158">
          <cell r="A158" t="str">
            <v>652</v>
          </cell>
          <cell r="B158">
            <v>653</v>
          </cell>
          <cell r="C158" t="str">
            <v>CM201 CONC. PEROLIZADO AZUL SUPER</v>
          </cell>
          <cell r="D158">
            <v>281.45999999999998</v>
          </cell>
          <cell r="E158">
            <v>1060</v>
          </cell>
          <cell r="F158">
            <v>0.26552830188679244</v>
          </cell>
          <cell r="G158">
            <v>0.2</v>
          </cell>
          <cell r="H158">
            <v>8.5000000000000006E-2</v>
          </cell>
          <cell r="I158">
            <v>0.34571784905660374</v>
          </cell>
          <cell r="J158">
            <v>1</v>
          </cell>
        </row>
        <row r="159">
          <cell r="A159" t="str">
            <v>653</v>
          </cell>
          <cell r="B159">
            <v>632</v>
          </cell>
          <cell r="C159" t="str">
            <v>CM202 CONC. PEROLIZADO BRANCO FINO</v>
          </cell>
          <cell r="D159">
            <v>252.31</v>
          </cell>
          <cell r="E159">
            <v>1050</v>
          </cell>
          <cell r="F159">
            <v>0.24029523809523809</v>
          </cell>
          <cell r="G159">
            <v>0.2</v>
          </cell>
          <cell r="H159">
            <v>8.5000000000000006E-2</v>
          </cell>
          <cell r="I159">
            <v>0.31286440000000004</v>
          </cell>
          <cell r="J159">
            <v>1</v>
          </cell>
        </row>
        <row r="160">
          <cell r="A160" t="str">
            <v>654</v>
          </cell>
          <cell r="B160">
            <v>650</v>
          </cell>
          <cell r="C160" t="str">
            <v>CM203 CONC. PEROLIZADO PRATA LUMINOSO</v>
          </cell>
          <cell r="D160">
            <v>199.97</v>
          </cell>
          <cell r="E160">
            <v>1040</v>
          </cell>
          <cell r="F160">
            <v>0.19227884615384616</v>
          </cell>
          <cell r="G160">
            <v>0.2</v>
          </cell>
          <cell r="H160">
            <v>8.5000000000000006E-2</v>
          </cell>
          <cell r="I160">
            <v>0.2503470576923077</v>
          </cell>
          <cell r="J160">
            <v>1</v>
          </cell>
        </row>
        <row r="161">
          <cell r="A161" t="str">
            <v>655</v>
          </cell>
          <cell r="B161">
            <v>1169</v>
          </cell>
          <cell r="C161" t="str">
            <v>DUL655 COBRE PERLADO X1LT</v>
          </cell>
          <cell r="D161">
            <v>299.89</v>
          </cell>
          <cell r="E161">
            <v>940</v>
          </cell>
          <cell r="F161">
            <v>0.31903191489361699</v>
          </cell>
          <cell r="G161">
            <v>0.2</v>
          </cell>
          <cell r="H161">
            <v>8.5000000000000006E-2</v>
          </cell>
          <cell r="I161">
            <v>0.41537955319148928</v>
          </cell>
          <cell r="J161">
            <v>1</v>
          </cell>
        </row>
        <row r="162">
          <cell r="A162" t="str">
            <v>656</v>
          </cell>
          <cell r="B162">
            <v>597</v>
          </cell>
          <cell r="C162" t="str">
            <v>CM209 CONC. PEROLIZADO DOURADO</v>
          </cell>
          <cell r="D162">
            <v>261.76</v>
          </cell>
          <cell r="E162">
            <v>1000</v>
          </cell>
          <cell r="F162">
            <v>0.26175999999999999</v>
          </cell>
          <cell r="G162">
            <v>0.2</v>
          </cell>
          <cell r="H162">
            <v>8.5000000000000006E-2</v>
          </cell>
          <cell r="I162">
            <v>0.34081151999999998</v>
          </cell>
          <cell r="J162">
            <v>1</v>
          </cell>
        </row>
        <row r="163">
          <cell r="A163" t="str">
            <v>657</v>
          </cell>
          <cell r="B163">
            <v>608</v>
          </cell>
          <cell r="C163" t="str">
            <v>CM214 CONC. PEROLIZADO VERDE CLARO</v>
          </cell>
          <cell r="D163">
            <v>261.76</v>
          </cell>
          <cell r="E163">
            <v>1000</v>
          </cell>
          <cell r="F163">
            <v>0.26175999999999999</v>
          </cell>
          <cell r="G163">
            <v>0.2</v>
          </cell>
          <cell r="H163">
            <v>8.5000000000000006E-2</v>
          </cell>
          <cell r="I163">
            <v>0.34081151999999998</v>
          </cell>
          <cell r="J163">
            <v>1</v>
          </cell>
        </row>
        <row r="164">
          <cell r="A164" t="str">
            <v>658</v>
          </cell>
          <cell r="B164">
            <v>99</v>
          </cell>
          <cell r="C164" t="str">
            <v>DUL658 VERMELHO PEROLIZADO FINO 1LT</v>
          </cell>
          <cell r="D164">
            <v>136.09</v>
          </cell>
          <cell r="E164">
            <v>1050</v>
          </cell>
          <cell r="F164">
            <v>0.12960952380952381</v>
          </cell>
          <cell r="G164">
            <v>0.2</v>
          </cell>
          <cell r="H164">
            <v>8.5000000000000006E-2</v>
          </cell>
          <cell r="I164">
            <v>0.1687516</v>
          </cell>
          <cell r="J164">
            <v>1</v>
          </cell>
        </row>
        <row r="165">
          <cell r="A165" t="str">
            <v>659</v>
          </cell>
          <cell r="B165">
            <v>631</v>
          </cell>
          <cell r="C165" t="str">
            <v>CM205 CONC. PEROLIZADO VERMELHO SUPER</v>
          </cell>
          <cell r="D165">
            <v>208.84</v>
          </cell>
          <cell r="E165">
            <v>1050</v>
          </cell>
          <cell r="F165">
            <v>0.1988952380952381</v>
          </cell>
          <cell r="G165">
            <v>0.2</v>
          </cell>
          <cell r="H165">
            <v>8.5000000000000006E-2</v>
          </cell>
          <cell r="I165">
            <v>0.25896160000000001</v>
          </cell>
          <cell r="J165">
            <v>1</v>
          </cell>
        </row>
        <row r="166">
          <cell r="A166" t="str">
            <v>660</v>
          </cell>
          <cell r="B166">
            <v>652</v>
          </cell>
          <cell r="C166" t="str">
            <v>CM206 CONC. PEROLIZADO VIOLETA</v>
          </cell>
          <cell r="D166">
            <v>448.66</v>
          </cell>
          <cell r="E166">
            <v>940</v>
          </cell>
          <cell r="F166">
            <v>0.47729787234042553</v>
          </cell>
          <cell r="G166">
            <v>0.2</v>
          </cell>
          <cell r="H166">
            <v>8.5000000000000006E-2</v>
          </cell>
          <cell r="I166">
            <v>0.62144182978723395</v>
          </cell>
          <cell r="J166">
            <v>1</v>
          </cell>
        </row>
        <row r="167">
          <cell r="A167" t="str">
            <v>670</v>
          </cell>
          <cell r="B167">
            <v>595</v>
          </cell>
          <cell r="C167" t="str">
            <v>CM107 CONC. ALUMINIO FINO BRILHANTE</v>
          </cell>
          <cell r="D167">
            <v>135.47</v>
          </cell>
          <cell r="E167">
            <v>950</v>
          </cell>
          <cell r="F167">
            <v>0.1426</v>
          </cell>
          <cell r="G167">
            <v>0.2</v>
          </cell>
          <cell r="H167">
            <v>8.5000000000000006E-2</v>
          </cell>
          <cell r="I167">
            <v>0.1856652</v>
          </cell>
          <cell r="J167">
            <v>1</v>
          </cell>
        </row>
        <row r="168">
          <cell r="A168" t="str">
            <v>671</v>
          </cell>
          <cell r="B168">
            <v>459</v>
          </cell>
          <cell r="C168" t="str">
            <v>CM103 CONC. ALUMINIO GROSSO LUMINOSO</v>
          </cell>
          <cell r="D168">
            <v>100.38</v>
          </cell>
          <cell r="E168">
            <v>980</v>
          </cell>
          <cell r="F168">
            <v>0.10242857142857142</v>
          </cell>
          <cell r="G168">
            <v>0.2</v>
          </cell>
          <cell r="H168">
            <v>8.5000000000000006E-2</v>
          </cell>
          <cell r="I168">
            <v>0.13336200000000001</v>
          </cell>
          <cell r="J168">
            <v>1</v>
          </cell>
        </row>
        <row r="169">
          <cell r="A169" t="str">
            <v>672</v>
          </cell>
          <cell r="B169">
            <v>662</v>
          </cell>
          <cell r="C169" t="str">
            <v>CM105 CONC. ALUMINIO MEDIO BRILHANTE 1LT</v>
          </cell>
          <cell r="D169">
            <v>137.37</v>
          </cell>
          <cell r="E169">
            <v>960</v>
          </cell>
          <cell r="F169">
            <v>0.14309374999999999</v>
          </cell>
          <cell r="G169">
            <v>0.2</v>
          </cell>
          <cell r="H169">
            <v>8.5000000000000006E-2</v>
          </cell>
          <cell r="I169">
            <v>0.18630806249999998</v>
          </cell>
          <cell r="J169">
            <v>1</v>
          </cell>
        </row>
        <row r="170">
          <cell r="A170" t="str">
            <v>673</v>
          </cell>
          <cell r="B170">
            <v>565</v>
          </cell>
          <cell r="C170" t="str">
            <v>CM106 CONC. ALUMINIO MEDIO LUMINOSO</v>
          </cell>
          <cell r="D170">
            <v>191.19</v>
          </cell>
          <cell r="E170">
            <v>990</v>
          </cell>
          <cell r="F170">
            <v>0.19312121212121211</v>
          </cell>
          <cell r="G170">
            <v>0.2</v>
          </cell>
          <cell r="H170">
            <v>8.5000000000000006E-2</v>
          </cell>
          <cell r="I170">
            <v>0.25144381818181816</v>
          </cell>
          <cell r="J170">
            <v>1</v>
          </cell>
        </row>
        <row r="171">
          <cell r="A171" t="str">
            <v>674</v>
          </cell>
          <cell r="B171">
            <v>667</v>
          </cell>
          <cell r="C171" t="str">
            <v>CM102 CONC. ALUMINIO GROSSO</v>
          </cell>
          <cell r="D171">
            <v>347.8</v>
          </cell>
          <cell r="E171">
            <v>3535</v>
          </cell>
          <cell r="F171">
            <v>9.8387553041018386E-2</v>
          </cell>
          <cell r="G171">
            <v>0.2</v>
          </cell>
          <cell r="H171">
            <v>8.5000000000000006E-2</v>
          </cell>
          <cell r="I171">
            <v>0.12810059405940594</v>
          </cell>
          <cell r="J171">
            <v>3.5</v>
          </cell>
        </row>
        <row r="172">
          <cell r="A172" t="str">
            <v>675</v>
          </cell>
          <cell r="B172">
            <v>630</v>
          </cell>
          <cell r="C172" t="str">
            <v>CM100 CONC. ALUMINIO EXTRA FINO</v>
          </cell>
          <cell r="D172">
            <v>248.58</v>
          </cell>
          <cell r="E172">
            <v>3395</v>
          </cell>
          <cell r="F172">
            <v>7.3219440353460979E-2</v>
          </cell>
          <cell r="G172">
            <v>0.2</v>
          </cell>
          <cell r="H172">
            <v>8.5000000000000006E-2</v>
          </cell>
          <cell r="I172">
            <v>9.5331711340206196E-2</v>
          </cell>
          <cell r="J172">
            <v>3.3</v>
          </cell>
        </row>
        <row r="173">
          <cell r="A173" t="str">
            <v>676</v>
          </cell>
          <cell r="B173">
            <v>108</v>
          </cell>
          <cell r="C173" t="str">
            <v>DUL676 CONCENTRADO MET.ALUMINIO BRILHANTE 1LT</v>
          </cell>
          <cell r="D173">
            <v>144.9</v>
          </cell>
          <cell r="E173">
            <v>950</v>
          </cell>
          <cell r="F173">
            <v>0.15252631578947368</v>
          </cell>
          <cell r="G173">
            <v>0.2</v>
          </cell>
          <cell r="H173">
            <v>8.5000000000000006E-2</v>
          </cell>
          <cell r="I173">
            <v>0.19858926315789471</v>
          </cell>
          <cell r="J173">
            <v>1</v>
          </cell>
        </row>
        <row r="174">
          <cell r="A174" t="str">
            <v>690</v>
          </cell>
          <cell r="B174">
            <v>109</v>
          </cell>
          <cell r="C174" t="str">
            <v>DUL690 AZUL TEIDOX X 1LT</v>
          </cell>
          <cell r="D174">
            <v>52.11</v>
          </cell>
          <cell r="E174">
            <v>1020</v>
          </cell>
          <cell r="F174">
            <v>5.108823529411765E-2</v>
          </cell>
          <cell r="G174">
            <v>0.2</v>
          </cell>
          <cell r="H174">
            <v>8.5000000000000006E-2</v>
          </cell>
          <cell r="I174">
            <v>6.651688235294119E-2</v>
          </cell>
          <cell r="J174">
            <v>1</v>
          </cell>
        </row>
        <row r="175">
          <cell r="A175" t="str">
            <v>691</v>
          </cell>
          <cell r="B175">
            <v>1417</v>
          </cell>
          <cell r="C175" t="str">
            <v>CR332 CONCENTRADO AMARELO REDUZIDO</v>
          </cell>
          <cell r="D175">
            <v>56.97</v>
          </cell>
          <cell r="E175">
            <v>1030</v>
          </cell>
          <cell r="F175">
            <v>5.5310679611650482E-2</v>
          </cell>
          <cell r="G175">
            <v>0.2</v>
          </cell>
          <cell r="H175">
            <v>8.5000000000000006E-2</v>
          </cell>
          <cell r="I175">
            <v>7.201450485436893E-2</v>
          </cell>
          <cell r="J175">
            <v>1</v>
          </cell>
        </row>
        <row r="176">
          <cell r="A176" t="str">
            <v>692</v>
          </cell>
          <cell r="B176">
            <v>388</v>
          </cell>
          <cell r="C176" t="str">
            <v>CR309 CONC PRETO REDUZIDO</v>
          </cell>
          <cell r="D176">
            <v>55.38</v>
          </cell>
          <cell r="E176">
            <v>1010</v>
          </cell>
          <cell r="F176">
            <v>5.4831683168316832E-2</v>
          </cell>
          <cell r="G176">
            <v>0.2</v>
          </cell>
          <cell r="H176">
            <v>8.5000000000000006E-2</v>
          </cell>
          <cell r="I176">
            <v>7.1390851485148524E-2</v>
          </cell>
          <cell r="J176">
            <v>1</v>
          </cell>
        </row>
        <row r="177">
          <cell r="A177" t="str">
            <v>693</v>
          </cell>
          <cell r="B177">
            <v>112</v>
          </cell>
          <cell r="C177" t="str">
            <v>DUL693 ROJO TEIDO X 1LT</v>
          </cell>
          <cell r="D177">
            <v>45.6</v>
          </cell>
          <cell r="E177">
            <v>1020</v>
          </cell>
          <cell r="F177">
            <v>4.4705882352941179E-2</v>
          </cell>
          <cell r="G177">
            <v>0.2</v>
          </cell>
          <cell r="H177">
            <v>8.5000000000000006E-2</v>
          </cell>
          <cell r="I177">
            <v>5.8207058823529417E-2</v>
          </cell>
          <cell r="J177">
            <v>1</v>
          </cell>
        </row>
        <row r="178">
          <cell r="A178" t="str">
            <v>694</v>
          </cell>
          <cell r="B178">
            <v>113</v>
          </cell>
          <cell r="C178" t="str">
            <v>DUL694 OXIDO TEIDO 1LT</v>
          </cell>
          <cell r="D178">
            <v>45.66</v>
          </cell>
          <cell r="E178">
            <v>1030</v>
          </cell>
          <cell r="F178">
            <v>4.4330097087378638E-2</v>
          </cell>
          <cell r="G178">
            <v>0.2</v>
          </cell>
          <cell r="H178">
            <v>8.5000000000000006E-2</v>
          </cell>
          <cell r="I178">
            <v>5.7717786407766987E-2</v>
          </cell>
          <cell r="J178">
            <v>1</v>
          </cell>
        </row>
        <row r="179">
          <cell r="A179" t="str">
            <v>695</v>
          </cell>
          <cell r="B179">
            <v>114</v>
          </cell>
          <cell r="C179" t="str">
            <v>DUL695 BASE LISA BRANCA SINTETICO 3.5LT</v>
          </cell>
          <cell r="D179">
            <v>47.48</v>
          </cell>
          <cell r="E179">
            <v>3780</v>
          </cell>
          <cell r="F179">
            <v>1.2560846560846561E-2</v>
          </cell>
          <cell r="G179">
            <v>0.2</v>
          </cell>
          <cell r="H179">
            <v>8.5000000000000006E-2</v>
          </cell>
          <cell r="I179">
            <v>1.6354222222222221E-2</v>
          </cell>
          <cell r="J179">
            <v>3.5</v>
          </cell>
        </row>
        <row r="180">
          <cell r="A180" t="str">
            <v>696</v>
          </cell>
          <cell r="B180">
            <v>115</v>
          </cell>
          <cell r="C180" t="str">
            <v>DUL696 CONCE.LISO AMARELO SINTETICO 1LT</v>
          </cell>
          <cell r="D180">
            <v>47.97</v>
          </cell>
          <cell r="E180">
            <v>1800</v>
          </cell>
          <cell r="F180">
            <v>2.665E-2</v>
          </cell>
          <cell r="G180">
            <v>0.2</v>
          </cell>
          <cell r="H180">
            <v>8.5000000000000006E-2</v>
          </cell>
          <cell r="I180">
            <v>3.4698300000000001E-2</v>
          </cell>
          <cell r="J180">
            <v>1</v>
          </cell>
        </row>
        <row r="181">
          <cell r="A181" t="str">
            <v>697</v>
          </cell>
          <cell r="B181">
            <v>116</v>
          </cell>
          <cell r="C181" t="str">
            <v>DUL697 CONCENTRADO LISO VERMELHO SINTETICO 1LT</v>
          </cell>
          <cell r="D181">
            <v>33.659999999999997</v>
          </cell>
          <cell r="E181">
            <v>1020</v>
          </cell>
          <cell r="F181">
            <v>3.2999999999999995E-2</v>
          </cell>
          <cell r="G181">
            <v>0.2</v>
          </cell>
          <cell r="H181">
            <v>8.5000000000000006E-2</v>
          </cell>
          <cell r="I181">
            <v>4.2965999999999997E-2</v>
          </cell>
          <cell r="J181">
            <v>1</v>
          </cell>
        </row>
        <row r="182">
          <cell r="A182" t="str">
            <v>698</v>
          </cell>
          <cell r="B182">
            <v>117</v>
          </cell>
          <cell r="C182" t="str">
            <v>DUL698 AZUL FTALO X 1 LT</v>
          </cell>
          <cell r="D182">
            <v>135.85</v>
          </cell>
          <cell r="E182">
            <v>980</v>
          </cell>
          <cell r="F182">
            <v>0.13862244897959183</v>
          </cell>
          <cell r="G182">
            <v>0.2</v>
          </cell>
          <cell r="H182">
            <v>8.5000000000000006E-2</v>
          </cell>
          <cell r="I182">
            <v>0.18048642857142858</v>
          </cell>
          <cell r="J182">
            <v>1</v>
          </cell>
        </row>
        <row r="183">
          <cell r="A183" t="str">
            <v>699</v>
          </cell>
          <cell r="B183">
            <v>118</v>
          </cell>
          <cell r="C183" t="str">
            <v>DUL699 OXIDO DE HIERRO X 1LT PPG</v>
          </cell>
          <cell r="D183">
            <v>48.72</v>
          </cell>
          <cell r="E183">
            <v>1070</v>
          </cell>
          <cell r="F183">
            <v>4.5532710280373832E-2</v>
          </cell>
          <cell r="G183">
            <v>0.2</v>
          </cell>
          <cell r="H183">
            <v>8.5000000000000006E-2</v>
          </cell>
          <cell r="I183">
            <v>5.9283588785046727E-2</v>
          </cell>
          <cell r="J183">
            <v>1</v>
          </cell>
        </row>
        <row r="184">
          <cell r="A184" t="str">
            <v>700</v>
          </cell>
          <cell r="B184">
            <v>119</v>
          </cell>
          <cell r="C184" t="str">
            <v>DUL700 ROJO FUEGO X 1 LT</v>
          </cell>
          <cell r="D184">
            <v>111.66</v>
          </cell>
          <cell r="E184">
            <v>970</v>
          </cell>
          <cell r="F184">
            <v>0.11511340206185566</v>
          </cell>
          <cell r="G184">
            <v>0.2</v>
          </cell>
          <cell r="H184">
            <v>8.5000000000000006E-2</v>
          </cell>
          <cell r="I184">
            <v>0.14987764948453608</v>
          </cell>
          <cell r="J184">
            <v>1</v>
          </cell>
        </row>
        <row r="185">
          <cell r="A185" t="str">
            <v>702</v>
          </cell>
          <cell r="B185">
            <v>120</v>
          </cell>
          <cell r="C185" t="str">
            <v>DUL702 CONC.MET.ROXO 1LT PPG</v>
          </cell>
          <cell r="D185">
            <v>208.19</v>
          </cell>
          <cell r="E185">
            <v>980</v>
          </cell>
          <cell r="F185">
            <v>0.21243877551020407</v>
          </cell>
          <cell r="G185">
            <v>0.2</v>
          </cell>
          <cell r="H185">
            <v>8.5000000000000006E-2</v>
          </cell>
          <cell r="I185">
            <v>0.27659528571428571</v>
          </cell>
          <cell r="J185">
            <v>1</v>
          </cell>
        </row>
        <row r="186">
          <cell r="A186" t="str">
            <v>703</v>
          </cell>
          <cell r="B186">
            <v>121</v>
          </cell>
          <cell r="C186" t="str">
            <v>DUL703 CONC.MET.ROSA 1LT PPG</v>
          </cell>
          <cell r="D186">
            <v>162.16</v>
          </cell>
          <cell r="E186">
            <v>970</v>
          </cell>
          <cell r="F186">
            <v>0.16717525773195877</v>
          </cell>
          <cell r="G186">
            <v>0.2</v>
          </cell>
          <cell r="H186">
            <v>8.5000000000000006E-2</v>
          </cell>
          <cell r="I186">
            <v>0.21766218556701031</v>
          </cell>
          <cell r="J186">
            <v>1</v>
          </cell>
        </row>
        <row r="187">
          <cell r="A187" t="str">
            <v>704</v>
          </cell>
          <cell r="B187">
            <v>1008</v>
          </cell>
          <cell r="C187" t="str">
            <v>DUL704 AZUL MARINO X 1LT PPG - PPG</v>
          </cell>
          <cell r="D187">
            <v>98.84</v>
          </cell>
          <cell r="E187">
            <v>960</v>
          </cell>
          <cell r="F187">
            <v>0.10295833333333333</v>
          </cell>
          <cell r="G187">
            <v>0.2</v>
          </cell>
          <cell r="H187">
            <v>8.5000000000000006E-2</v>
          </cell>
          <cell r="I187">
            <v>0.13405175</v>
          </cell>
          <cell r="J187">
            <v>1</v>
          </cell>
        </row>
        <row r="188">
          <cell r="A188" t="str">
            <v>705</v>
          </cell>
          <cell r="B188">
            <v>122</v>
          </cell>
          <cell r="C188" t="str">
            <v>DUL705 NEGRO PLENO X 1LT</v>
          </cell>
          <cell r="D188">
            <v>87.88</v>
          </cell>
          <cell r="E188">
            <v>960</v>
          </cell>
          <cell r="F188">
            <v>9.154166666666666E-2</v>
          </cell>
          <cell r="G188">
            <v>0.2</v>
          </cell>
          <cell r="H188">
            <v>8.5000000000000006E-2</v>
          </cell>
          <cell r="I188">
            <v>0.11918724999999999</v>
          </cell>
          <cell r="J188">
            <v>1</v>
          </cell>
        </row>
        <row r="189">
          <cell r="A189" t="str">
            <v>706</v>
          </cell>
          <cell r="B189">
            <v>1427</v>
          </cell>
          <cell r="C189" t="str">
            <v>CL560 BASE FOSQUEANTE 1LT - ACS</v>
          </cell>
          <cell r="D189">
            <v>48.94</v>
          </cell>
          <cell r="E189">
            <v>1030</v>
          </cell>
          <cell r="F189">
            <v>4.7514563106796116E-2</v>
          </cell>
          <cell r="G189">
            <v>0.2</v>
          </cell>
          <cell r="H189">
            <v>8.5000000000000006E-2</v>
          </cell>
          <cell r="I189">
            <v>6.1863961165048546E-2</v>
          </cell>
          <cell r="J189">
            <v>1</v>
          </cell>
        </row>
        <row r="190">
          <cell r="A190" t="str">
            <v>707</v>
          </cell>
          <cell r="B190">
            <v>124</v>
          </cell>
          <cell r="C190" t="str">
            <v>DUL707 CLEAR NITROCELULOSE 3.5LT</v>
          </cell>
          <cell r="D190">
            <v>47.82</v>
          </cell>
          <cell r="E190">
            <v>3290</v>
          </cell>
          <cell r="F190">
            <v>1.4534954407294833E-2</v>
          </cell>
          <cell r="G190">
            <v>0.2</v>
          </cell>
          <cell r="H190">
            <v>8.5000000000000006E-2</v>
          </cell>
          <cell r="I190">
            <v>1.8924510638297871E-2</v>
          </cell>
          <cell r="J190">
            <v>3.5</v>
          </cell>
        </row>
        <row r="191">
          <cell r="A191" t="str">
            <v>708</v>
          </cell>
          <cell r="B191">
            <v>125</v>
          </cell>
          <cell r="C191" t="str">
            <v>DUL708 CONCENTRADO MET.MARROM PERMANENTE 1LT</v>
          </cell>
          <cell r="D191">
            <v>138.99</v>
          </cell>
          <cell r="E191">
            <v>930</v>
          </cell>
          <cell r="F191">
            <v>0.14945161290322581</v>
          </cell>
          <cell r="G191">
            <v>0.2</v>
          </cell>
          <cell r="H191">
            <v>8.5000000000000006E-2</v>
          </cell>
          <cell r="I191">
            <v>0.19458600000000001</v>
          </cell>
          <cell r="J191">
            <v>1</v>
          </cell>
        </row>
        <row r="192">
          <cell r="A192" t="str">
            <v>709</v>
          </cell>
          <cell r="B192">
            <v>611</v>
          </cell>
          <cell r="C192" t="str">
            <v>CM074 CONCENTRADO VERMELHO FORTE</v>
          </cell>
          <cell r="D192">
            <v>161.91</v>
          </cell>
          <cell r="E192">
            <v>930</v>
          </cell>
          <cell r="F192">
            <v>0.17409677419354838</v>
          </cell>
          <cell r="G192">
            <v>0.2</v>
          </cell>
          <cell r="H192">
            <v>8.5000000000000006E-2</v>
          </cell>
          <cell r="I192">
            <v>0.22667399999999999</v>
          </cell>
          <cell r="J192">
            <v>1</v>
          </cell>
        </row>
        <row r="193">
          <cell r="A193" t="str">
            <v>710</v>
          </cell>
          <cell r="B193">
            <v>126</v>
          </cell>
          <cell r="C193" t="str">
            <v>DUL710 CONCENTRADO MET.VERMELHO PROFUNDO 1LT</v>
          </cell>
          <cell r="D193">
            <v>527.52</v>
          </cell>
          <cell r="E193">
            <v>930</v>
          </cell>
          <cell r="F193">
            <v>0.56722580645161291</v>
          </cell>
          <cell r="G193">
            <v>0.2</v>
          </cell>
          <cell r="H193">
            <v>8.5000000000000006E-2</v>
          </cell>
          <cell r="I193">
            <v>0.73852799999999996</v>
          </cell>
          <cell r="J193">
            <v>1</v>
          </cell>
        </row>
        <row r="194">
          <cell r="A194" t="str">
            <v>711</v>
          </cell>
          <cell r="B194">
            <v>145</v>
          </cell>
          <cell r="C194" t="str">
            <v>DUL711 CONCENTRADO MET. VERMELHO BRILHANTE</v>
          </cell>
          <cell r="D194">
            <v>259.45999999999998</v>
          </cell>
          <cell r="E194">
            <v>950</v>
          </cell>
          <cell r="F194">
            <v>0.2731157894736842</v>
          </cell>
          <cell r="G194">
            <v>0.2</v>
          </cell>
          <cell r="H194">
            <v>8.5000000000000006E-2</v>
          </cell>
          <cell r="I194">
            <v>0.35559675789473683</v>
          </cell>
          <cell r="J194">
            <v>1</v>
          </cell>
        </row>
        <row r="195">
          <cell r="A195" t="str">
            <v>713</v>
          </cell>
          <cell r="B195">
            <v>127</v>
          </cell>
          <cell r="C195" t="str">
            <v>DUL713 CONCENTRADO MET.VERMELHO GRAFITE 1LT</v>
          </cell>
          <cell r="D195">
            <v>115.55</v>
          </cell>
          <cell r="E195">
            <v>980</v>
          </cell>
          <cell r="F195">
            <v>0.11790816326530612</v>
          </cell>
          <cell r="G195">
            <v>0.2</v>
          </cell>
          <cell r="H195">
            <v>8.5000000000000006E-2</v>
          </cell>
          <cell r="I195">
            <v>0.15351642857142858</v>
          </cell>
          <cell r="J195">
            <v>1</v>
          </cell>
        </row>
        <row r="196">
          <cell r="A196" t="str">
            <v>714</v>
          </cell>
          <cell r="B196">
            <v>128</v>
          </cell>
          <cell r="C196" t="str">
            <v>DUL714 CONC.AMARELO AVERMELHADO IMP 1LT</v>
          </cell>
          <cell r="D196">
            <v>88.88</v>
          </cell>
          <cell r="E196">
            <v>1080</v>
          </cell>
          <cell r="F196">
            <v>8.2296296296296298E-2</v>
          </cell>
          <cell r="G196">
            <v>0.2</v>
          </cell>
          <cell r="H196">
            <v>8.5000000000000006E-2</v>
          </cell>
          <cell r="I196">
            <v>0.10714977777777777</v>
          </cell>
          <cell r="J196">
            <v>1</v>
          </cell>
        </row>
        <row r="197">
          <cell r="A197" t="str">
            <v>715</v>
          </cell>
          <cell r="B197">
            <v>129</v>
          </cell>
          <cell r="C197" t="str">
            <v>DUL715 CONC.LARANJA IMP 1LT</v>
          </cell>
          <cell r="D197">
            <v>114.79</v>
          </cell>
          <cell r="E197">
            <v>1040</v>
          </cell>
          <cell r="F197">
            <v>0.110375</v>
          </cell>
          <cell r="G197">
            <v>0.2</v>
          </cell>
          <cell r="H197">
            <v>8.5000000000000006E-2</v>
          </cell>
          <cell r="I197">
            <v>0.14370825000000001</v>
          </cell>
          <cell r="J197">
            <v>1</v>
          </cell>
        </row>
        <row r="198">
          <cell r="A198" t="str">
            <v>717</v>
          </cell>
          <cell r="B198">
            <v>571</v>
          </cell>
          <cell r="C198" t="str">
            <v>DUL717 CONC AMARELO ESVERDEADO IMP</v>
          </cell>
          <cell r="D198">
            <v>227.75</v>
          </cell>
          <cell r="E198">
            <v>1220</v>
          </cell>
          <cell r="F198">
            <v>0.18668032786885247</v>
          </cell>
          <cell r="G198">
            <v>0.2</v>
          </cell>
          <cell r="H198">
            <v>8.5000000000000006E-2</v>
          </cell>
          <cell r="I198">
            <v>0.24305778688524593</v>
          </cell>
          <cell r="J198">
            <v>1</v>
          </cell>
        </row>
        <row r="199">
          <cell r="A199" t="str">
            <v>718</v>
          </cell>
          <cell r="B199">
            <v>130</v>
          </cell>
          <cell r="C199" t="str">
            <v>CM078 CONC.LARANJA LIMPO IMP.1LT</v>
          </cell>
          <cell r="D199">
            <v>161.02000000000001</v>
          </cell>
          <cell r="E199">
            <v>1220</v>
          </cell>
          <cell r="F199">
            <v>0.13198360655737706</v>
          </cell>
          <cell r="G199">
            <v>0.2</v>
          </cell>
          <cell r="H199">
            <v>8.5000000000000006E-2</v>
          </cell>
          <cell r="I199">
            <v>0.17184265573770494</v>
          </cell>
          <cell r="J199">
            <v>1</v>
          </cell>
        </row>
        <row r="200">
          <cell r="A200" t="str">
            <v>720</v>
          </cell>
          <cell r="B200">
            <v>1107</v>
          </cell>
          <cell r="C200" t="str">
            <v>BP06 BASE BRANCA POLIESTER 3,5 LT</v>
          </cell>
          <cell r="D200">
            <v>103.39</v>
          </cell>
          <cell r="E200">
            <v>3500</v>
          </cell>
          <cell r="F200">
            <v>2.954E-2</v>
          </cell>
          <cell r="G200">
            <v>0.2</v>
          </cell>
          <cell r="H200">
            <v>8.5000000000000006E-2</v>
          </cell>
          <cell r="I200">
            <v>3.8461080000000002E-2</v>
          </cell>
          <cell r="J200">
            <v>3.5</v>
          </cell>
        </row>
        <row r="201">
          <cell r="A201" t="str">
            <v>722</v>
          </cell>
          <cell r="B201">
            <v>132</v>
          </cell>
          <cell r="C201" t="str">
            <v>DUL722 BASE BRANCA P/ESMALTE ACRILICO 3.5LT</v>
          </cell>
          <cell r="D201">
            <v>110.75</v>
          </cell>
          <cell r="E201">
            <v>4480</v>
          </cell>
          <cell r="F201">
            <v>2.4720982142857142E-2</v>
          </cell>
          <cell r="G201">
            <v>0.2</v>
          </cell>
          <cell r="H201">
            <v>8.5000000000000006E-2</v>
          </cell>
          <cell r="I201">
            <v>3.2186718750000003E-2</v>
          </cell>
          <cell r="J201">
            <v>3.5</v>
          </cell>
        </row>
        <row r="202">
          <cell r="A202" t="str">
            <v>500</v>
          </cell>
          <cell r="B202">
            <v>1012</v>
          </cell>
          <cell r="C202" t="str">
            <v>IN500 INDUSTRAN BRANCO R01 GL 3.5L PPG</v>
          </cell>
          <cell r="D202">
            <v>122.84</v>
          </cell>
          <cell r="E202">
            <v>5530</v>
          </cell>
          <cell r="F202">
            <v>2.2213381555153709E-2</v>
          </cell>
          <cell r="G202">
            <v>0.2</v>
          </cell>
          <cell r="H202">
            <v>8.5000000000000006E-2</v>
          </cell>
          <cell r="I202">
            <v>2.892182278481013E-2</v>
          </cell>
          <cell r="J202">
            <v>3.5</v>
          </cell>
        </row>
        <row r="203">
          <cell r="A203" t="str">
            <v>501</v>
          </cell>
          <cell r="B203">
            <v>2</v>
          </cell>
          <cell r="C203" t="str">
            <v>IN501 INDUSTRAN AMARELO MEDIO R01 GL 3.5L</v>
          </cell>
          <cell r="D203">
            <v>177.86</v>
          </cell>
          <cell r="E203">
            <v>4830</v>
          </cell>
          <cell r="F203">
            <v>3.6824016563147002E-2</v>
          </cell>
          <cell r="G203">
            <v>0.2</v>
          </cell>
          <cell r="H203">
            <v>8.5000000000000006E-2</v>
          </cell>
          <cell r="I203">
            <v>4.7944869565217395E-2</v>
          </cell>
          <cell r="J203">
            <v>3.5</v>
          </cell>
        </row>
        <row r="204">
          <cell r="A204" t="str">
            <v>502</v>
          </cell>
          <cell r="B204">
            <v>3</v>
          </cell>
          <cell r="C204" t="str">
            <v>IN502 INDUSTRAN AMARELO LIMPO R01 GL 3.5L</v>
          </cell>
          <cell r="D204">
            <v>204.44</v>
          </cell>
          <cell r="E204">
            <v>5425</v>
          </cell>
          <cell r="F204">
            <v>3.7684792626728109E-2</v>
          </cell>
          <cell r="G204">
            <v>0.2</v>
          </cell>
          <cell r="H204">
            <v>8.5000000000000006E-2</v>
          </cell>
          <cell r="I204">
            <v>4.9065600000000001E-2</v>
          </cell>
          <cell r="J204">
            <v>3.5</v>
          </cell>
        </row>
        <row r="205">
          <cell r="A205" t="str">
            <v>503</v>
          </cell>
          <cell r="B205">
            <v>4</v>
          </cell>
          <cell r="C205" t="str">
            <v>IN503 INDUSTRAN AMARELO OXIDO R01 GL 3.5L</v>
          </cell>
          <cell r="D205">
            <v>105.82</v>
          </cell>
          <cell r="E205">
            <v>4200</v>
          </cell>
          <cell r="F205">
            <v>2.5195238095238093E-2</v>
          </cell>
          <cell r="G205">
            <v>0.2</v>
          </cell>
          <cell r="H205">
            <v>8.5000000000000006E-2</v>
          </cell>
          <cell r="I205">
            <v>3.2804199999999999E-2</v>
          </cell>
          <cell r="J205">
            <v>3.5</v>
          </cell>
        </row>
        <row r="206">
          <cell r="A206" t="str">
            <v>504</v>
          </cell>
          <cell r="B206">
            <v>5</v>
          </cell>
          <cell r="C206" t="str">
            <v>IN504 INDUSTRAN LARANJA R01 GL 3.5LT</v>
          </cell>
          <cell r="D206">
            <v>217.43</v>
          </cell>
          <cell r="E206">
            <v>5075</v>
          </cell>
          <cell r="F206">
            <v>4.2843349753694582E-2</v>
          </cell>
          <cell r="G206">
            <v>0.2</v>
          </cell>
          <cell r="H206">
            <v>8.5000000000000006E-2</v>
          </cell>
          <cell r="I206">
            <v>5.5782041379310351E-2</v>
          </cell>
          <cell r="J206">
            <v>3.5</v>
          </cell>
        </row>
        <row r="207">
          <cell r="A207" t="str">
            <v>505</v>
          </cell>
          <cell r="B207">
            <v>1013</v>
          </cell>
          <cell r="C207" t="str">
            <v>IN505 INDUSTRAN VERMELHO R01 GL 3.5LT</v>
          </cell>
          <cell r="D207">
            <v>152.5</v>
          </cell>
          <cell r="E207">
            <v>3325</v>
          </cell>
          <cell r="F207">
            <v>4.5864661654135337E-2</v>
          </cell>
          <cell r="G207">
            <v>0.2</v>
          </cell>
          <cell r="H207">
            <v>8.5000000000000006E-2</v>
          </cell>
          <cell r="I207">
            <v>5.9715789473684208E-2</v>
          </cell>
          <cell r="J207">
            <v>3.5</v>
          </cell>
        </row>
        <row r="208">
          <cell r="A208" t="str">
            <v>506</v>
          </cell>
          <cell r="B208">
            <v>6</v>
          </cell>
          <cell r="C208" t="str">
            <v>IN506 INDUSTRAN VERMELHO OXIDO R01 GL 3.5LT</v>
          </cell>
          <cell r="D208">
            <v>71.260000000000005</v>
          </cell>
          <cell r="E208">
            <v>5600</v>
          </cell>
          <cell r="F208">
            <v>1.2725E-2</v>
          </cell>
          <cell r="G208">
            <v>0.2</v>
          </cell>
          <cell r="H208">
            <v>8.5000000000000006E-2</v>
          </cell>
          <cell r="I208">
            <v>1.6567950000000001E-2</v>
          </cell>
          <cell r="J208">
            <v>3.5</v>
          </cell>
        </row>
        <row r="209">
          <cell r="A209" t="str">
            <v>507</v>
          </cell>
          <cell r="B209">
            <v>7</v>
          </cell>
          <cell r="C209" t="str">
            <v>IN507 INDUSTRAN VERDE R01 GL 3.5LT</v>
          </cell>
          <cell r="D209">
            <v>113.17</v>
          </cell>
          <cell r="E209">
            <v>3325</v>
          </cell>
          <cell r="F209">
            <v>3.4036090225563913E-2</v>
          </cell>
          <cell r="G209">
            <v>0.2</v>
          </cell>
          <cell r="H209">
            <v>8.5000000000000006E-2</v>
          </cell>
          <cell r="I209">
            <v>4.4314989473684216E-2</v>
          </cell>
          <cell r="J209">
            <v>3.5</v>
          </cell>
        </row>
        <row r="210">
          <cell r="A210" t="str">
            <v>508</v>
          </cell>
          <cell r="B210">
            <v>8</v>
          </cell>
          <cell r="C210" t="str">
            <v>IN508 INDUSTRAN AZUL R01 GL 3.5LT</v>
          </cell>
          <cell r="D210">
            <v>135.34</v>
          </cell>
          <cell r="E210">
            <v>3325</v>
          </cell>
          <cell r="F210">
            <v>4.0703759398496242E-2</v>
          </cell>
          <cell r="G210">
            <v>0.2</v>
          </cell>
          <cell r="H210">
            <v>8.5000000000000006E-2</v>
          </cell>
          <cell r="I210">
            <v>5.2996294736842101E-2</v>
          </cell>
          <cell r="J210">
            <v>3.5</v>
          </cell>
        </row>
        <row r="211">
          <cell r="A211" t="str">
            <v>509</v>
          </cell>
          <cell r="B211">
            <v>9</v>
          </cell>
          <cell r="C211" t="str">
            <v>IN509 INDUSTRAN VIOLETA R01 GL 3.5LT</v>
          </cell>
          <cell r="D211">
            <v>217.98</v>
          </cell>
          <cell r="E211">
            <v>3325</v>
          </cell>
          <cell r="F211">
            <v>6.5557894736842107E-2</v>
          </cell>
          <cell r="G211">
            <v>0.2</v>
          </cell>
          <cell r="H211">
            <v>8.5000000000000006E-2</v>
          </cell>
          <cell r="I211">
            <v>8.5356378947368416E-2</v>
          </cell>
          <cell r="J211">
            <v>3.5</v>
          </cell>
        </row>
        <row r="212">
          <cell r="A212" t="str">
            <v>510</v>
          </cell>
          <cell r="B212">
            <v>740</v>
          </cell>
          <cell r="C212" t="str">
            <v>IN510 INDUSTRAN PRETO R01 GL 3.5LT</v>
          </cell>
          <cell r="D212">
            <v>128.19</v>
          </cell>
          <cell r="E212">
            <v>3220</v>
          </cell>
          <cell r="F212">
            <v>3.981055900621118E-2</v>
          </cell>
          <cell r="G212">
            <v>0.2</v>
          </cell>
          <cell r="H212">
            <v>8.5000000000000006E-2</v>
          </cell>
          <cell r="I212">
            <v>5.1833347826086951E-2</v>
          </cell>
          <cell r="J212">
            <v>3.5</v>
          </cell>
        </row>
        <row r="213">
          <cell r="A213" t="str">
            <v>511</v>
          </cell>
          <cell r="B213">
            <v>1011</v>
          </cell>
          <cell r="C213" t="str">
            <v>IN511 INDUSTRAN CLEAR SINTETICO R01 GL 3.5L PPG</v>
          </cell>
          <cell r="D213">
            <v>60.63</v>
          </cell>
          <cell r="E213">
            <v>3220</v>
          </cell>
          <cell r="F213">
            <v>1.8829192546583853E-2</v>
          </cell>
          <cell r="G213">
            <v>0.2</v>
          </cell>
          <cell r="H213">
            <v>8.5000000000000006E-2</v>
          </cell>
          <cell r="I213">
            <v>2.4515608695652176E-2</v>
          </cell>
          <cell r="J213">
            <v>3.5</v>
          </cell>
        </row>
        <row r="214">
          <cell r="A214" t="str">
            <v>512</v>
          </cell>
          <cell r="B214">
            <v>1160</v>
          </cell>
          <cell r="C214" t="str">
            <v>IN512 BASE FOSQUEANTE ANTI CORROSIVO</v>
          </cell>
          <cell r="D214">
            <v>91.89</v>
          </cell>
          <cell r="E214">
            <v>4410</v>
          </cell>
          <cell r="F214">
            <v>2.0836734693877552E-2</v>
          </cell>
          <cell r="G214">
            <v>0.2</v>
          </cell>
          <cell r="H214">
            <v>8.5000000000000006E-2</v>
          </cell>
          <cell r="I214">
            <v>2.7129428571428575E-2</v>
          </cell>
          <cell r="J214">
            <v>3.5</v>
          </cell>
        </row>
        <row r="215">
          <cell r="A215" t="str">
            <v>517</v>
          </cell>
          <cell r="B215">
            <v>10</v>
          </cell>
          <cell r="C215" t="str">
            <v>IN517 INDUSTRAN CONC ANTICORROSIVO W01 3,5L</v>
          </cell>
          <cell r="D215">
            <v>110.66</v>
          </cell>
          <cell r="E215">
            <v>4410</v>
          </cell>
          <cell r="F215">
            <v>2.5092970521541948E-2</v>
          </cell>
          <cell r="G215">
            <v>0.2</v>
          </cell>
          <cell r="H215">
            <v>8.5000000000000006E-2</v>
          </cell>
          <cell r="I215">
            <v>3.2671047619047613E-2</v>
          </cell>
          <cell r="J215">
            <v>3.5</v>
          </cell>
        </row>
        <row r="216">
          <cell r="A216" t="str">
            <v>600</v>
          </cell>
          <cell r="B216">
            <v>11</v>
          </cell>
          <cell r="C216" t="str">
            <v>IN600 INDUSTRAN CLEAR POLIURETANO W01 3,5L</v>
          </cell>
          <cell r="D216">
            <v>82.55</v>
          </cell>
          <cell r="E216">
            <v>3430</v>
          </cell>
          <cell r="F216">
            <v>2.4067055393586004E-2</v>
          </cell>
          <cell r="G216">
            <v>0.2</v>
          </cell>
          <cell r="H216">
            <v>8.5000000000000006E-2</v>
          </cell>
          <cell r="I216">
            <v>3.1335306122448975E-2</v>
          </cell>
          <cell r="J216">
            <v>3.5</v>
          </cell>
        </row>
        <row r="217">
          <cell r="A217" t="str">
            <v>008</v>
          </cell>
          <cell r="B217">
            <v>1108</v>
          </cell>
          <cell r="C217" t="str">
            <v>CM008 CONC. PRETO AZULADO</v>
          </cell>
          <cell r="D217">
            <v>31.58</v>
          </cell>
          <cell r="E217">
            <v>980</v>
          </cell>
          <cell r="F217">
            <v>3.2224489795918368E-2</v>
          </cell>
          <cell r="G217">
            <v>0.2</v>
          </cell>
          <cell r="H217">
            <v>8.5000000000000006E-2</v>
          </cell>
          <cell r="I217">
            <v>4.1956285714285717E-2</v>
          </cell>
          <cell r="J217">
            <v>1</v>
          </cell>
        </row>
        <row r="218">
          <cell r="A218" t="str">
            <v>110</v>
          </cell>
          <cell r="B218">
            <v>439</v>
          </cell>
          <cell r="C218" t="str">
            <v>CM110 CONCENTRADO ALUMINIO FINO</v>
          </cell>
          <cell r="D218">
            <v>66.06</v>
          </cell>
          <cell r="E218">
            <v>980</v>
          </cell>
          <cell r="F218">
            <v>6.7408163265306131E-2</v>
          </cell>
          <cell r="G218">
            <v>0.2</v>
          </cell>
          <cell r="H218">
            <v>8.5000000000000006E-2</v>
          </cell>
          <cell r="I218">
            <v>8.7765428571428578E-2</v>
          </cell>
          <cell r="J218">
            <v>1</v>
          </cell>
        </row>
        <row r="219">
          <cell r="A219" t="str">
            <v>112</v>
          </cell>
          <cell r="B219">
            <v>549</v>
          </cell>
          <cell r="C219" t="str">
            <v>CM112 CONC ALUMINIO GROSSO BRILHANTE</v>
          </cell>
          <cell r="D219">
            <v>79.05</v>
          </cell>
          <cell r="E219">
            <v>980</v>
          </cell>
          <cell r="F219">
            <v>8.0663265306122445E-2</v>
          </cell>
          <cell r="G219">
            <v>0.2</v>
          </cell>
          <cell r="H219">
            <v>8.5000000000000006E-2</v>
          </cell>
          <cell r="I219">
            <v>0.10502357142857142</v>
          </cell>
          <cell r="J219">
            <v>1</v>
          </cell>
        </row>
        <row r="220">
          <cell r="A220" t="str">
            <v>116</v>
          </cell>
          <cell r="B220">
            <v>418</v>
          </cell>
          <cell r="C220" t="str">
            <v>CM116 CONCENTRADO ALUMINO MEDIO</v>
          </cell>
          <cell r="D220">
            <v>161.21</v>
          </cell>
          <cell r="E220">
            <v>980</v>
          </cell>
          <cell r="F220">
            <v>0.16450000000000001</v>
          </cell>
          <cell r="G220">
            <v>0.2</v>
          </cell>
          <cell r="H220">
            <v>8.5000000000000006E-2</v>
          </cell>
          <cell r="I220">
            <v>0.21417900000000001</v>
          </cell>
          <cell r="J220">
            <v>1</v>
          </cell>
        </row>
        <row r="221">
          <cell r="A221" t="str">
            <v>117</v>
          </cell>
          <cell r="B221">
            <v>189</v>
          </cell>
          <cell r="C221" t="str">
            <v>CM117 CONCENTRADO ALUMINIO FINO LUMINOSO</v>
          </cell>
          <cell r="D221">
            <v>108.33</v>
          </cell>
          <cell r="E221">
            <v>980</v>
          </cell>
          <cell r="F221">
            <v>0.11054081632653061</v>
          </cell>
          <cell r="G221">
            <v>0.2</v>
          </cell>
          <cell r="H221">
            <v>8.5000000000000006E-2</v>
          </cell>
          <cell r="I221">
            <v>0.14392414285714286</v>
          </cell>
          <cell r="J221">
            <v>1</v>
          </cell>
        </row>
        <row r="222">
          <cell r="A222" t="str">
            <v>BN01</v>
          </cell>
          <cell r="B222">
            <v>1105</v>
          </cell>
          <cell r="C222" t="str">
            <v>BN01 CLEAR NITROCELULOSE 3,5LT</v>
          </cell>
          <cell r="D222">
            <v>79.760000000000005</v>
          </cell>
          <cell r="E222">
            <v>3290</v>
          </cell>
          <cell r="F222">
            <v>2.4243161094224926E-2</v>
          </cell>
          <cell r="G222">
            <v>0.2</v>
          </cell>
          <cell r="H222">
            <v>8.5000000000000006E-2</v>
          </cell>
          <cell r="I222">
            <v>3.1564595744680853E-2</v>
          </cell>
          <cell r="J222">
            <v>3.5</v>
          </cell>
        </row>
        <row r="223">
          <cell r="A223" t="str">
            <v>BP01</v>
          </cell>
          <cell r="B223">
            <v>1106</v>
          </cell>
          <cell r="C223" t="str">
            <v>BP01 CLEAR PARA POLIESTER 20 LT</v>
          </cell>
          <cell r="D223">
            <v>302.52999999999997</v>
          </cell>
          <cell r="E223">
            <v>18000</v>
          </cell>
          <cell r="F223">
            <v>1.680722222222222E-2</v>
          </cell>
          <cell r="G223">
            <v>0.2</v>
          </cell>
          <cell r="H223">
            <v>8.5000000000000006E-2</v>
          </cell>
          <cell r="I223">
            <v>2.1883003333333331E-2</v>
          </cell>
          <cell r="J223">
            <v>20</v>
          </cell>
        </row>
        <row r="224">
          <cell r="A224" t="str">
            <v>BP06</v>
          </cell>
          <cell r="B224">
            <v>1107</v>
          </cell>
          <cell r="C224" t="str">
            <v>BP06 BASE BRANCA POLIESTER 3,5 LT</v>
          </cell>
          <cell r="D224">
            <v>103.39</v>
          </cell>
          <cell r="E224">
            <v>3500</v>
          </cell>
          <cell r="F224">
            <v>2.954E-2</v>
          </cell>
          <cell r="G224">
            <v>0.2</v>
          </cell>
          <cell r="H224">
            <v>8.5000000000000006E-2</v>
          </cell>
          <cell r="I224">
            <v>3.8461080000000002E-2</v>
          </cell>
          <cell r="J224">
            <v>3.5</v>
          </cell>
        </row>
        <row r="225">
          <cell r="A225" t="str">
            <v>537</v>
          </cell>
          <cell r="B225">
            <v>620</v>
          </cell>
          <cell r="C225" t="str">
            <v>CL537 CONC. VERMELHO FORTE</v>
          </cell>
          <cell r="D225">
            <v>69.08</v>
          </cell>
          <cell r="E225">
            <v>998</v>
          </cell>
          <cell r="F225">
            <v>6.9218436873747499E-2</v>
          </cell>
          <cell r="G225">
            <v>0.2</v>
          </cell>
          <cell r="H225">
            <v>8.5000000000000006E-2</v>
          </cell>
          <cell r="I225">
            <v>9.012240480961925E-2</v>
          </cell>
          <cell r="J225">
            <v>1</v>
          </cell>
        </row>
        <row r="226">
          <cell r="A226" t="str">
            <v>555</v>
          </cell>
          <cell r="B226">
            <v>605</v>
          </cell>
          <cell r="C226" t="str">
            <v>CL555 CONC. VERMELHO FOGO</v>
          </cell>
          <cell r="D226">
            <v>275.27</v>
          </cell>
          <cell r="E226">
            <v>1003</v>
          </cell>
          <cell r="F226">
            <v>0.27444666001994017</v>
          </cell>
          <cell r="G226">
            <v>0.2</v>
          </cell>
          <cell r="H226">
            <v>8.5000000000000006E-2</v>
          </cell>
          <cell r="I226">
            <v>0.35732955134596212</v>
          </cell>
          <cell r="J226">
            <v>1</v>
          </cell>
        </row>
        <row r="227">
          <cell r="A227" t="str">
            <v>001</v>
          </cell>
          <cell r="B227">
            <v>535</v>
          </cell>
          <cell r="C227" t="str">
            <v>CM001 CONC. BRANCO</v>
          </cell>
          <cell r="D227">
            <v>100.38</v>
          </cell>
          <cell r="E227">
            <v>1170</v>
          </cell>
          <cell r="F227">
            <v>8.5794871794871788E-2</v>
          </cell>
          <cell r="G227">
            <v>0.2</v>
          </cell>
          <cell r="H227">
            <v>8.5000000000000006E-2</v>
          </cell>
          <cell r="I227">
            <v>0.11170492307692306</v>
          </cell>
          <cell r="J227">
            <v>1</v>
          </cell>
        </row>
        <row r="228">
          <cell r="A228" t="str">
            <v>002</v>
          </cell>
          <cell r="B228">
            <v>1152</v>
          </cell>
          <cell r="C228" t="str">
            <v>CM002 CONC. NEGRO 3,5</v>
          </cell>
          <cell r="D228">
            <v>196.4</v>
          </cell>
          <cell r="E228">
            <v>3395</v>
          </cell>
          <cell r="F228">
            <v>5.784977908689249E-2</v>
          </cell>
          <cell r="G228">
            <v>0.2</v>
          </cell>
          <cell r="H228">
            <v>8.5000000000000006E-2</v>
          </cell>
          <cell r="I228">
            <v>7.5320412371134016E-2</v>
          </cell>
          <cell r="J228">
            <v>3.5</v>
          </cell>
        </row>
        <row r="229">
          <cell r="A229" t="str">
            <v>003</v>
          </cell>
          <cell r="B229">
            <v>648</v>
          </cell>
          <cell r="C229" t="str">
            <v>CM003 CONC. BRANCO NEVE</v>
          </cell>
          <cell r="D229">
            <v>360.07</v>
          </cell>
          <cell r="E229">
            <v>1170</v>
          </cell>
          <cell r="F229">
            <v>0.30775213675213675</v>
          </cell>
          <cell r="G229">
            <v>0.2</v>
          </cell>
          <cell r="H229">
            <v>8.5000000000000006E-2</v>
          </cell>
          <cell r="I229">
            <v>0.40069328205128207</v>
          </cell>
          <cell r="J229">
            <v>1</v>
          </cell>
        </row>
        <row r="230">
          <cell r="A230" t="str">
            <v>007</v>
          </cell>
          <cell r="B230">
            <v>424</v>
          </cell>
          <cell r="C230" t="str">
            <v>CM007 CONC. PRETO INTENSO</v>
          </cell>
          <cell r="D230">
            <v>88.52</v>
          </cell>
          <cell r="E230">
            <v>960</v>
          </cell>
          <cell r="F230">
            <v>9.2208333333333323E-2</v>
          </cell>
          <cell r="G230">
            <v>0.2</v>
          </cell>
          <cell r="H230">
            <v>8.5000000000000006E-2</v>
          </cell>
          <cell r="I230">
            <v>0.12005524999999999</v>
          </cell>
          <cell r="J230">
            <v>1</v>
          </cell>
        </row>
        <row r="231">
          <cell r="A231" t="str">
            <v>010</v>
          </cell>
          <cell r="B231">
            <v>402</v>
          </cell>
          <cell r="C231" t="str">
            <v>CM010 CONC. AZUL AVERMELHADO</v>
          </cell>
          <cell r="D231">
            <v>183.08</v>
          </cell>
          <cell r="E231">
            <v>970</v>
          </cell>
          <cell r="F231">
            <v>0.18874226804123712</v>
          </cell>
          <cell r="G231">
            <v>0.2</v>
          </cell>
          <cell r="H231">
            <v>8.5000000000000006E-2</v>
          </cell>
          <cell r="I231">
            <v>0.24574243298969073</v>
          </cell>
          <cell r="J231">
            <v>1</v>
          </cell>
        </row>
        <row r="232">
          <cell r="A232" t="str">
            <v>011</v>
          </cell>
          <cell r="B232">
            <v>643</v>
          </cell>
          <cell r="C232" t="str">
            <v>CM011 CONC. AZUL FTALO</v>
          </cell>
          <cell r="D232">
            <v>130.07</v>
          </cell>
          <cell r="E232">
            <v>970</v>
          </cell>
          <cell r="F232">
            <v>0.13409278350515463</v>
          </cell>
          <cell r="G232">
            <v>0.2</v>
          </cell>
          <cell r="H232">
            <v>8.5000000000000006E-2</v>
          </cell>
          <cell r="I232">
            <v>0.17458880412371133</v>
          </cell>
          <cell r="J232">
            <v>1</v>
          </cell>
        </row>
        <row r="233">
          <cell r="A233" t="str">
            <v>015</v>
          </cell>
          <cell r="B233">
            <v>669</v>
          </cell>
          <cell r="C233" t="str">
            <v>CM015 CONC. VIOLETA</v>
          </cell>
          <cell r="D233">
            <v>155.52000000000001</v>
          </cell>
          <cell r="E233">
            <v>950</v>
          </cell>
          <cell r="F233">
            <v>0.16370526315789474</v>
          </cell>
          <cell r="G233">
            <v>0.2</v>
          </cell>
          <cell r="H233">
            <v>8.5000000000000006E-2</v>
          </cell>
          <cell r="I233">
            <v>0.21314425263157896</v>
          </cell>
          <cell r="J233">
            <v>1</v>
          </cell>
        </row>
        <row r="234">
          <cell r="A234" t="str">
            <v>016</v>
          </cell>
          <cell r="B234">
            <v>628</v>
          </cell>
          <cell r="C234" t="str">
            <v>CM016 CONC. AZUL LUMINOSO BRILHANTE</v>
          </cell>
          <cell r="D234">
            <v>261.76</v>
          </cell>
          <cell r="E234">
            <v>950</v>
          </cell>
          <cell r="F234">
            <v>0.27553684210526314</v>
          </cell>
          <cell r="G234">
            <v>0.2</v>
          </cell>
          <cell r="H234">
            <v>8.5000000000000006E-2</v>
          </cell>
          <cell r="I234">
            <v>0.35874896842105258</v>
          </cell>
          <cell r="J234">
            <v>1</v>
          </cell>
        </row>
        <row r="235">
          <cell r="A235" t="str">
            <v>017</v>
          </cell>
          <cell r="B235">
            <v>664</v>
          </cell>
          <cell r="C235" t="str">
            <v>CM017 CONC. VERDE BRILHANTE</v>
          </cell>
          <cell r="D235">
            <v>130.07</v>
          </cell>
          <cell r="E235">
            <v>1000</v>
          </cell>
          <cell r="F235">
            <v>0.13006999999999999</v>
          </cell>
          <cell r="G235">
            <v>0.2</v>
          </cell>
          <cell r="H235">
            <v>8.5000000000000006E-2</v>
          </cell>
          <cell r="I235">
            <v>0.16935114000000001</v>
          </cell>
          <cell r="J235">
            <v>1</v>
          </cell>
        </row>
        <row r="236">
          <cell r="A236" t="str">
            <v>019</v>
          </cell>
          <cell r="B236">
            <v>642</v>
          </cell>
          <cell r="C236" t="str">
            <v>CM019 CONC. AZUL ESCURO PROFUNDO</v>
          </cell>
          <cell r="D236">
            <v>155.52000000000001</v>
          </cell>
          <cell r="E236">
            <v>980</v>
          </cell>
          <cell r="F236">
            <v>0.15869387755102041</v>
          </cell>
          <cell r="G236">
            <v>0.2</v>
          </cell>
          <cell r="H236">
            <v>8.5000000000000006E-2</v>
          </cell>
          <cell r="I236">
            <v>0.20661942857142857</v>
          </cell>
          <cell r="J236">
            <v>1</v>
          </cell>
        </row>
        <row r="237">
          <cell r="A237" t="str">
            <v>031</v>
          </cell>
          <cell r="B237">
            <v>646</v>
          </cell>
          <cell r="C237" t="str">
            <v>CM031 CONC. AMARELO OURO</v>
          </cell>
          <cell r="D237">
            <v>281.45999999999998</v>
          </cell>
          <cell r="E237">
            <v>1000</v>
          </cell>
          <cell r="F237">
            <v>0.28145999999999999</v>
          </cell>
          <cell r="G237">
            <v>0.2</v>
          </cell>
          <cell r="H237">
            <v>8.5000000000000006E-2</v>
          </cell>
          <cell r="I237">
            <v>0.36646092000000002</v>
          </cell>
          <cell r="J237">
            <v>1</v>
          </cell>
        </row>
        <row r="238">
          <cell r="A238" t="str">
            <v>033</v>
          </cell>
          <cell r="B238">
            <v>647</v>
          </cell>
          <cell r="C238" t="str">
            <v>CM033 CONC. AMARELO TRANSPARENTE</v>
          </cell>
          <cell r="D238">
            <v>130.07</v>
          </cell>
          <cell r="E238">
            <v>1000</v>
          </cell>
          <cell r="F238">
            <v>0.13006999999999999</v>
          </cell>
          <cell r="G238">
            <v>0.2</v>
          </cell>
          <cell r="H238">
            <v>8.5000000000000006E-2</v>
          </cell>
          <cell r="I238">
            <v>0.16935114000000001</v>
          </cell>
          <cell r="J238">
            <v>1</v>
          </cell>
        </row>
        <row r="239">
          <cell r="A239" t="str">
            <v>035</v>
          </cell>
          <cell r="B239">
            <v>258</v>
          </cell>
          <cell r="C239" t="str">
            <v>CM035 CONC. VERMELHO BRILHANTE</v>
          </cell>
          <cell r="D239">
            <v>199.97</v>
          </cell>
          <cell r="E239">
            <v>970</v>
          </cell>
          <cell r="F239">
            <v>0.20615463917525773</v>
          </cell>
          <cell r="G239">
            <v>0.2</v>
          </cell>
          <cell r="H239">
            <v>8.5000000000000006E-2</v>
          </cell>
          <cell r="I239">
            <v>0.26841334020618557</v>
          </cell>
          <cell r="J239">
            <v>1</v>
          </cell>
        </row>
        <row r="240">
          <cell r="A240" t="str">
            <v>038</v>
          </cell>
          <cell r="B240">
            <v>644</v>
          </cell>
          <cell r="C240" t="str">
            <v>CM038 CONC. VERMELHO OXIDO</v>
          </cell>
          <cell r="D240">
            <v>96.47</v>
          </cell>
          <cell r="E240">
            <v>1000</v>
          </cell>
          <cell r="F240">
            <v>9.647E-2</v>
          </cell>
          <cell r="G240">
            <v>0.2</v>
          </cell>
          <cell r="H240">
            <v>8.5000000000000006E-2</v>
          </cell>
          <cell r="I240">
            <v>0.12560394</v>
          </cell>
          <cell r="J240">
            <v>1</v>
          </cell>
        </row>
        <row r="241">
          <cell r="A241" t="str">
            <v>040</v>
          </cell>
          <cell r="B241">
            <v>645</v>
          </cell>
          <cell r="C241" t="str">
            <v>CM040 CONC. VERMELHO RUBI</v>
          </cell>
          <cell r="D241">
            <v>261.76</v>
          </cell>
          <cell r="E241">
            <v>970</v>
          </cell>
          <cell r="F241">
            <v>0.26985567010309275</v>
          </cell>
          <cell r="G241">
            <v>0.2</v>
          </cell>
          <cell r="H241">
            <v>8.5000000000000006E-2</v>
          </cell>
          <cell r="I241">
            <v>0.35135208247422672</v>
          </cell>
          <cell r="J241">
            <v>1</v>
          </cell>
        </row>
        <row r="242">
          <cell r="A242" t="str">
            <v>042</v>
          </cell>
          <cell r="B242">
            <v>567</v>
          </cell>
          <cell r="C242" t="str">
            <v>CM042 CONC. VERMELHO TRANSPARENTE</v>
          </cell>
          <cell r="D242">
            <v>96.47</v>
          </cell>
          <cell r="E242">
            <v>1000</v>
          </cell>
          <cell r="F242">
            <v>9.647E-2</v>
          </cell>
          <cell r="G242">
            <v>0.2</v>
          </cell>
          <cell r="H242">
            <v>8.5000000000000006E-2</v>
          </cell>
          <cell r="I242">
            <v>0.12560394</v>
          </cell>
          <cell r="J242">
            <v>1</v>
          </cell>
        </row>
        <row r="243">
          <cell r="A243" t="str">
            <v>043</v>
          </cell>
          <cell r="B243">
            <v>613</v>
          </cell>
          <cell r="C243" t="str">
            <v>CM043 CONC. VERMELHO VIVO</v>
          </cell>
          <cell r="D243">
            <v>261.76</v>
          </cell>
          <cell r="E243">
            <v>950</v>
          </cell>
          <cell r="F243">
            <v>0.27553684210526314</v>
          </cell>
          <cell r="G243">
            <v>0.2</v>
          </cell>
          <cell r="H243">
            <v>8.5000000000000006E-2</v>
          </cell>
          <cell r="I243">
            <v>0.35874896842105258</v>
          </cell>
          <cell r="J243">
            <v>1</v>
          </cell>
        </row>
        <row r="244">
          <cell r="A244" t="str">
            <v>050</v>
          </cell>
          <cell r="B244">
            <v>665</v>
          </cell>
          <cell r="C244" t="str">
            <v>CM050 CONC. CASTANHO</v>
          </cell>
          <cell r="D244">
            <v>360.07</v>
          </cell>
          <cell r="E244">
            <v>970</v>
          </cell>
          <cell r="F244">
            <v>0.37120618556701029</v>
          </cell>
          <cell r="G244">
            <v>0.2</v>
          </cell>
          <cell r="H244">
            <v>8.5000000000000006E-2</v>
          </cell>
          <cell r="I244">
            <v>0.48331045360824743</v>
          </cell>
          <cell r="J244">
            <v>1</v>
          </cell>
        </row>
        <row r="245">
          <cell r="A245" t="str">
            <v>060</v>
          </cell>
          <cell r="B245">
            <v>668</v>
          </cell>
          <cell r="C245" t="str">
            <v>CM060 CONC. BORDEAUX</v>
          </cell>
          <cell r="D245">
            <v>222.9</v>
          </cell>
          <cell r="E245">
            <v>980</v>
          </cell>
          <cell r="F245">
            <v>0.22744897959183674</v>
          </cell>
          <cell r="G245">
            <v>0.2</v>
          </cell>
          <cell r="H245">
            <v>8.5000000000000006E-2</v>
          </cell>
          <cell r="I245">
            <v>0.29613857142857142</v>
          </cell>
          <cell r="J245">
            <v>1</v>
          </cell>
        </row>
        <row r="246">
          <cell r="A246" t="str">
            <v>062</v>
          </cell>
          <cell r="B246">
            <v>661</v>
          </cell>
          <cell r="C246" t="str">
            <v>CM062 CONCENTRADO VERDE ESCURO</v>
          </cell>
          <cell r="D246">
            <v>139.43</v>
          </cell>
          <cell r="E246">
            <v>1000</v>
          </cell>
          <cell r="F246">
            <v>0.13943</v>
          </cell>
          <cell r="G246">
            <v>0.2</v>
          </cell>
          <cell r="H246">
            <v>8.5000000000000006E-2</v>
          </cell>
          <cell r="I246">
            <v>0.18153786</v>
          </cell>
          <cell r="J246">
            <v>1</v>
          </cell>
        </row>
        <row r="247">
          <cell r="A247" t="str">
            <v>063</v>
          </cell>
          <cell r="B247">
            <v>675</v>
          </cell>
          <cell r="C247" t="str">
            <v>CM063 CONC. AMARELO ESVERDEADO</v>
          </cell>
          <cell r="D247">
            <v>155.52000000000001</v>
          </cell>
          <cell r="E247">
            <v>980</v>
          </cell>
          <cell r="F247">
            <v>0.15869387755102041</v>
          </cell>
          <cell r="G247">
            <v>0.2</v>
          </cell>
          <cell r="H247">
            <v>8.5000000000000006E-2</v>
          </cell>
          <cell r="I247">
            <v>0.20661942857142857</v>
          </cell>
          <cell r="J247">
            <v>1</v>
          </cell>
        </row>
        <row r="248">
          <cell r="A248" t="str">
            <v>064</v>
          </cell>
          <cell r="B248">
            <v>638</v>
          </cell>
          <cell r="C248" t="str">
            <v>CM064 CONC. VERMELHO</v>
          </cell>
          <cell r="D248">
            <v>281.45999999999998</v>
          </cell>
          <cell r="E248">
            <v>960</v>
          </cell>
          <cell r="F248">
            <v>0.29318749999999999</v>
          </cell>
          <cell r="G248">
            <v>0.2</v>
          </cell>
          <cell r="H248">
            <v>8.5000000000000006E-2</v>
          </cell>
          <cell r="I248">
            <v>0.38173012499999998</v>
          </cell>
          <cell r="J248">
            <v>1</v>
          </cell>
        </row>
        <row r="249">
          <cell r="A249" t="str">
            <v>065</v>
          </cell>
          <cell r="B249">
            <v>610</v>
          </cell>
          <cell r="C249" t="str">
            <v>CM065 CONC. AZUL BRILHANTE</v>
          </cell>
          <cell r="D249">
            <v>191.19</v>
          </cell>
          <cell r="E249">
            <v>970</v>
          </cell>
          <cell r="F249">
            <v>0.19710309278350516</v>
          </cell>
          <cell r="G249">
            <v>0.2</v>
          </cell>
          <cell r="H249">
            <v>8.5000000000000006E-2</v>
          </cell>
          <cell r="I249">
            <v>0.25662822680412373</v>
          </cell>
          <cell r="J249">
            <v>1</v>
          </cell>
        </row>
        <row r="250">
          <cell r="A250" t="str">
            <v>068</v>
          </cell>
          <cell r="B250">
            <v>637</v>
          </cell>
          <cell r="C250" t="str">
            <v>CM068 CONC. MAGENTA ESCURO</v>
          </cell>
          <cell r="D250">
            <v>222.9</v>
          </cell>
          <cell r="E250">
            <v>950</v>
          </cell>
          <cell r="F250">
            <v>0.23463157894736841</v>
          </cell>
          <cell r="G250">
            <v>0.2</v>
          </cell>
          <cell r="H250">
            <v>8.5000000000000006E-2</v>
          </cell>
          <cell r="I250">
            <v>0.30549031578947372</v>
          </cell>
          <cell r="J250">
            <v>1</v>
          </cell>
        </row>
        <row r="251">
          <cell r="A251" t="str">
            <v>069</v>
          </cell>
          <cell r="B251">
            <v>677</v>
          </cell>
          <cell r="C251" t="str">
            <v>CM069 CONC. PRETO AMARELDO</v>
          </cell>
          <cell r="D251">
            <v>80.459999999999994</v>
          </cell>
          <cell r="E251">
            <v>940</v>
          </cell>
          <cell r="F251">
            <v>8.5595744680851057E-2</v>
          </cell>
          <cell r="G251">
            <v>0.2</v>
          </cell>
          <cell r="H251">
            <v>8.5000000000000006E-2</v>
          </cell>
          <cell r="I251">
            <v>0.11144565957446807</v>
          </cell>
          <cell r="J251">
            <v>1</v>
          </cell>
        </row>
        <row r="252">
          <cell r="A252" t="str">
            <v>070</v>
          </cell>
          <cell r="B252">
            <v>627</v>
          </cell>
          <cell r="C252" t="str">
            <v>CM070 CONC. AZUL MARINHO</v>
          </cell>
          <cell r="D252">
            <v>96.47</v>
          </cell>
          <cell r="E252">
            <v>960</v>
          </cell>
          <cell r="F252">
            <v>0.10048958333333333</v>
          </cell>
          <cell r="G252">
            <v>0.2</v>
          </cell>
          <cell r="H252">
            <v>8.5000000000000006E-2</v>
          </cell>
          <cell r="I252">
            <v>0.13083743749999999</v>
          </cell>
          <cell r="J252">
            <v>1</v>
          </cell>
        </row>
        <row r="253">
          <cell r="A253" t="str">
            <v>071</v>
          </cell>
          <cell r="B253">
            <v>649</v>
          </cell>
          <cell r="C253" t="str">
            <v>CM071 CONCENTRADO GRAFITE</v>
          </cell>
          <cell r="D253">
            <v>204.1</v>
          </cell>
          <cell r="E253">
            <v>920</v>
          </cell>
          <cell r="F253">
            <v>0.22184782608695652</v>
          </cell>
          <cell r="G253">
            <v>0.2</v>
          </cell>
          <cell r="H253">
            <v>8.5000000000000006E-2</v>
          </cell>
          <cell r="I253">
            <v>0.28884586956521741</v>
          </cell>
          <cell r="J253">
            <v>1</v>
          </cell>
        </row>
        <row r="254">
          <cell r="A254" t="str">
            <v>073</v>
          </cell>
          <cell r="B254">
            <v>634</v>
          </cell>
          <cell r="C254" t="str">
            <v>CM073 CONCENTRADO MARROM PERMANENTE</v>
          </cell>
          <cell r="D254">
            <v>261.76</v>
          </cell>
          <cell r="E254">
            <v>950</v>
          </cell>
          <cell r="F254">
            <v>0.27553684210526314</v>
          </cell>
          <cell r="G254">
            <v>0.2</v>
          </cell>
          <cell r="H254">
            <v>8.5000000000000006E-2</v>
          </cell>
          <cell r="I254">
            <v>0.35874896842105258</v>
          </cell>
          <cell r="J254">
            <v>1</v>
          </cell>
        </row>
        <row r="255">
          <cell r="A255" t="str">
            <v>074</v>
          </cell>
          <cell r="B255">
            <v>611</v>
          </cell>
          <cell r="C255" t="str">
            <v>CM074 CONCENTRADO VERMELHO FORTE</v>
          </cell>
          <cell r="D255">
            <v>161.91</v>
          </cell>
          <cell r="E255">
            <v>980</v>
          </cell>
          <cell r="F255">
            <v>0.1652142857142857</v>
          </cell>
          <cell r="G255">
            <v>0.2</v>
          </cell>
          <cell r="H255">
            <v>8.5000000000000006E-2</v>
          </cell>
          <cell r="I255">
            <v>0.21510899999999999</v>
          </cell>
          <cell r="J255">
            <v>1</v>
          </cell>
        </row>
        <row r="256">
          <cell r="A256" t="str">
            <v>075</v>
          </cell>
          <cell r="B256">
            <v>607</v>
          </cell>
          <cell r="C256" t="str">
            <v>CM075 CONCENTRADO VERMELHO PROFUNDO</v>
          </cell>
          <cell r="D256">
            <v>448.66</v>
          </cell>
          <cell r="E256">
            <v>1000</v>
          </cell>
          <cell r="F256">
            <v>0.44866</v>
          </cell>
          <cell r="G256">
            <v>0.2</v>
          </cell>
          <cell r="H256">
            <v>8.5000000000000006E-2</v>
          </cell>
          <cell r="I256">
            <v>0.58415532000000003</v>
          </cell>
          <cell r="J256">
            <v>1</v>
          </cell>
        </row>
        <row r="257">
          <cell r="A257" t="str">
            <v>076</v>
          </cell>
          <cell r="B257">
            <v>629</v>
          </cell>
          <cell r="C257" t="str">
            <v>CM076 CONCENTRADO VERMELHO BRILHANTE</v>
          </cell>
          <cell r="D257">
            <v>222.9</v>
          </cell>
          <cell r="E257">
            <v>980</v>
          </cell>
          <cell r="F257">
            <v>0.22744897959183674</v>
          </cell>
          <cell r="G257">
            <v>0.2</v>
          </cell>
          <cell r="H257">
            <v>8.5000000000000006E-2</v>
          </cell>
          <cell r="I257">
            <v>0.29613857142857142</v>
          </cell>
          <cell r="J257">
            <v>1</v>
          </cell>
        </row>
        <row r="258">
          <cell r="A258" t="str">
            <v>077</v>
          </cell>
          <cell r="B258">
            <v>619</v>
          </cell>
          <cell r="C258" t="str">
            <v>CM077 CONC AMARELO ESVERDEADO IMP</v>
          </cell>
          <cell r="D258">
            <v>204.1</v>
          </cell>
          <cell r="E258">
            <v>1220</v>
          </cell>
          <cell r="F258">
            <v>0.1672950819672131</v>
          </cell>
          <cell r="G258">
            <v>0.2</v>
          </cell>
          <cell r="H258">
            <v>8.5000000000000006E-2</v>
          </cell>
          <cell r="I258">
            <v>0.21781819672131145</v>
          </cell>
          <cell r="J258">
            <v>1</v>
          </cell>
        </row>
        <row r="259">
          <cell r="A259" t="str">
            <v>078</v>
          </cell>
          <cell r="B259">
            <v>130</v>
          </cell>
          <cell r="C259" t="str">
            <v>CM078 CONC.LARANJA LIMPO IMP.1LT</v>
          </cell>
          <cell r="D259">
            <v>161.02000000000001</v>
          </cell>
          <cell r="E259">
            <v>1040</v>
          </cell>
          <cell r="F259">
            <v>0.15482692307692308</v>
          </cell>
          <cell r="G259">
            <v>0.2</v>
          </cell>
          <cell r="H259">
            <v>8.5000000000000006E-2</v>
          </cell>
          <cell r="I259">
            <v>0.20158465384615387</v>
          </cell>
          <cell r="J259">
            <v>1</v>
          </cell>
        </row>
        <row r="260">
          <cell r="A260" t="str">
            <v>100</v>
          </cell>
          <cell r="B260">
            <v>630</v>
          </cell>
          <cell r="C260" t="str">
            <v>CM100 CONC. ALUMINIO EXTRA FINO</v>
          </cell>
          <cell r="D260">
            <v>248.58</v>
          </cell>
          <cell r="E260">
            <v>3395</v>
          </cell>
          <cell r="F260">
            <v>7.3219440353460979E-2</v>
          </cell>
          <cell r="G260">
            <v>0.2</v>
          </cell>
          <cell r="H260">
            <v>8.5000000000000006E-2</v>
          </cell>
          <cell r="I260">
            <v>9.5331711340206196E-2</v>
          </cell>
          <cell r="J260">
            <v>3.5</v>
          </cell>
        </row>
        <row r="261">
          <cell r="A261" t="str">
            <v>102</v>
          </cell>
          <cell r="B261">
            <v>667</v>
          </cell>
          <cell r="C261" t="str">
            <v>CM102 CONC. ALUMINIO GROSSO</v>
          </cell>
          <cell r="D261">
            <v>347.8</v>
          </cell>
          <cell r="E261">
            <v>3500</v>
          </cell>
          <cell r="F261">
            <v>9.9371428571428569E-2</v>
          </cell>
          <cell r="G261">
            <v>0.2</v>
          </cell>
          <cell r="H261">
            <v>8.5000000000000006E-2</v>
          </cell>
          <cell r="I261">
            <v>0.12938160000000001</v>
          </cell>
          <cell r="J261">
            <v>3.5</v>
          </cell>
        </row>
        <row r="262">
          <cell r="A262" t="str">
            <v>103</v>
          </cell>
          <cell r="B262">
            <v>459</v>
          </cell>
          <cell r="C262" t="str">
            <v>CM103 CONC. ALUMINIO GROSSO LUMINOSO</v>
          </cell>
          <cell r="D262">
            <v>100.38</v>
          </cell>
          <cell r="E262">
            <v>970</v>
          </cell>
          <cell r="F262">
            <v>0.10348453608247422</v>
          </cell>
          <cell r="G262">
            <v>0.2</v>
          </cell>
          <cell r="H262">
            <v>8.5000000000000006E-2</v>
          </cell>
          <cell r="I262">
            <v>0.13473686597938145</v>
          </cell>
          <cell r="J262">
            <v>1</v>
          </cell>
        </row>
        <row r="263">
          <cell r="A263" t="str">
            <v>105</v>
          </cell>
          <cell r="B263">
            <v>662</v>
          </cell>
          <cell r="C263" t="str">
            <v>CM105 CONC. ALUMINIO MEDIO BRILHANTE 1LT</v>
          </cell>
          <cell r="D263">
            <v>137.37</v>
          </cell>
          <cell r="E263">
            <v>960</v>
          </cell>
          <cell r="F263">
            <v>0.14309374999999999</v>
          </cell>
          <cell r="G263">
            <v>0.2</v>
          </cell>
          <cell r="H263">
            <v>8.5000000000000006E-2</v>
          </cell>
          <cell r="I263">
            <v>0.18630806249999998</v>
          </cell>
          <cell r="J263">
            <v>1</v>
          </cell>
        </row>
        <row r="264">
          <cell r="A264" t="str">
            <v>106</v>
          </cell>
          <cell r="B264">
            <v>565</v>
          </cell>
          <cell r="C264" t="str">
            <v>CM106 CONC. ALUMINIO MEDIO LUMINOSO</v>
          </cell>
          <cell r="D264">
            <v>191.19</v>
          </cell>
          <cell r="E264">
            <v>960</v>
          </cell>
          <cell r="F264">
            <v>0.19915625000000001</v>
          </cell>
          <cell r="G264">
            <v>0.2</v>
          </cell>
          <cell r="H264">
            <v>8.5000000000000006E-2</v>
          </cell>
          <cell r="I264">
            <v>0.25930143750000001</v>
          </cell>
          <cell r="J264">
            <v>1</v>
          </cell>
        </row>
        <row r="265">
          <cell r="A265" t="str">
            <v>107</v>
          </cell>
          <cell r="B265">
            <v>595</v>
          </cell>
          <cell r="C265" t="str">
            <v>CM107 CONC. ALUMINIO FINO BRILHANTE</v>
          </cell>
          <cell r="D265">
            <v>135.47</v>
          </cell>
          <cell r="E265">
            <v>950</v>
          </cell>
          <cell r="F265">
            <v>0.1426</v>
          </cell>
          <cell r="G265">
            <v>0.2</v>
          </cell>
          <cell r="H265">
            <v>8.5000000000000006E-2</v>
          </cell>
          <cell r="I265">
            <v>0.1856652</v>
          </cell>
          <cell r="J265">
            <v>1</v>
          </cell>
        </row>
        <row r="266">
          <cell r="A266" t="str">
            <v>108</v>
          </cell>
          <cell r="B266">
            <v>633</v>
          </cell>
          <cell r="C266" t="str">
            <v>CM108 CONCENTRADO ALUMINIO BRILHANTE</v>
          </cell>
          <cell r="D266">
            <v>155.52000000000001</v>
          </cell>
          <cell r="E266">
            <v>940</v>
          </cell>
          <cell r="F266">
            <v>0.16544680851063831</v>
          </cell>
          <cell r="G266">
            <v>0.2</v>
          </cell>
          <cell r="H266">
            <v>8.5000000000000006E-2</v>
          </cell>
          <cell r="I266">
            <v>0.21541174468085109</v>
          </cell>
          <cell r="J266">
            <v>1</v>
          </cell>
        </row>
        <row r="267">
          <cell r="A267" t="str">
            <v>200</v>
          </cell>
          <cell r="B267">
            <v>623</v>
          </cell>
          <cell r="C267" t="str">
            <v>CM200 CONC. PEROLIZADO AZUL FINO</v>
          </cell>
          <cell r="D267">
            <v>261.76</v>
          </cell>
          <cell r="E267">
            <v>1000</v>
          </cell>
          <cell r="F267">
            <v>0.26175999999999999</v>
          </cell>
          <cell r="G267">
            <v>0.2</v>
          </cell>
          <cell r="H267">
            <v>8.5000000000000006E-2</v>
          </cell>
          <cell r="I267">
            <v>0.34081151999999998</v>
          </cell>
          <cell r="J267">
            <v>1</v>
          </cell>
        </row>
        <row r="268">
          <cell r="A268" t="str">
            <v>201</v>
          </cell>
          <cell r="B268">
            <v>653</v>
          </cell>
          <cell r="C268" t="str">
            <v>CM201 CONC. PEROLIZADO AZUL SUPER</v>
          </cell>
          <cell r="D268">
            <v>281.45999999999998</v>
          </cell>
          <cell r="E268">
            <v>1000</v>
          </cell>
          <cell r="F268">
            <v>0.28145999999999999</v>
          </cell>
          <cell r="G268">
            <v>0.2</v>
          </cell>
          <cell r="H268">
            <v>8.5000000000000006E-2</v>
          </cell>
          <cell r="I268">
            <v>0.36646092000000002</v>
          </cell>
          <cell r="J268">
            <v>1</v>
          </cell>
        </row>
        <row r="269">
          <cell r="A269" t="str">
            <v>202</v>
          </cell>
          <cell r="B269">
            <v>632</v>
          </cell>
          <cell r="C269" t="str">
            <v>CM202 CONC. PEROLIZADO BRANCO FINO</v>
          </cell>
          <cell r="D269">
            <v>252.31</v>
          </cell>
          <cell r="E269">
            <v>1000</v>
          </cell>
          <cell r="F269">
            <v>0.25230999999999998</v>
          </cell>
          <cell r="G269">
            <v>0.2</v>
          </cell>
          <cell r="H269">
            <v>8.5000000000000006E-2</v>
          </cell>
          <cell r="I269">
            <v>0.32850762</v>
          </cell>
          <cell r="J269">
            <v>1</v>
          </cell>
        </row>
        <row r="270">
          <cell r="A270" t="str">
            <v>203</v>
          </cell>
          <cell r="B270">
            <v>650</v>
          </cell>
          <cell r="C270" t="str">
            <v>CM203 CONC. PEROLIZADO PRATA LUMINOSO</v>
          </cell>
          <cell r="D270">
            <v>199.97</v>
          </cell>
          <cell r="E270">
            <v>1000</v>
          </cell>
          <cell r="F270">
            <v>0.19997000000000001</v>
          </cell>
          <cell r="G270">
            <v>0.2</v>
          </cell>
          <cell r="H270">
            <v>8.5000000000000006E-2</v>
          </cell>
          <cell r="I270">
            <v>0.26036093999999999</v>
          </cell>
          <cell r="J270">
            <v>1</v>
          </cell>
        </row>
        <row r="271">
          <cell r="A271" t="str">
            <v>204</v>
          </cell>
          <cell r="B271">
            <v>626</v>
          </cell>
          <cell r="C271" t="str">
            <v>CM204 CONC. PEROLIZADO VERMELHO FINO</v>
          </cell>
          <cell r="D271">
            <v>261.76</v>
          </cell>
          <cell r="E271">
            <v>1000</v>
          </cell>
          <cell r="F271">
            <v>0.26175999999999999</v>
          </cell>
          <cell r="G271">
            <v>0.2</v>
          </cell>
          <cell r="H271">
            <v>8.5000000000000006E-2</v>
          </cell>
          <cell r="I271">
            <v>0.34081151999999998</v>
          </cell>
          <cell r="J271">
            <v>1</v>
          </cell>
        </row>
        <row r="272">
          <cell r="A272" t="str">
            <v>205</v>
          </cell>
          <cell r="B272">
            <v>631</v>
          </cell>
          <cell r="C272" t="str">
            <v>CM205 CONC. PEROLIZADO VERMELHO SUPER</v>
          </cell>
          <cell r="D272">
            <v>208.84</v>
          </cell>
          <cell r="E272">
            <v>1000</v>
          </cell>
          <cell r="F272">
            <v>0.20884</v>
          </cell>
          <cell r="G272">
            <v>0.2</v>
          </cell>
          <cell r="H272">
            <v>8.5000000000000006E-2</v>
          </cell>
          <cell r="I272">
            <v>0.27190967999999999</v>
          </cell>
          <cell r="J272">
            <v>1</v>
          </cell>
        </row>
        <row r="273">
          <cell r="A273" t="str">
            <v>206</v>
          </cell>
          <cell r="B273">
            <v>652</v>
          </cell>
          <cell r="C273" t="str">
            <v>CM206 CONC. PEROLIZADO VIOLETA</v>
          </cell>
          <cell r="D273">
            <v>448.66</v>
          </cell>
          <cell r="E273">
            <v>1000</v>
          </cell>
          <cell r="F273">
            <v>0.44866</v>
          </cell>
          <cell r="G273">
            <v>0.2</v>
          </cell>
          <cell r="H273">
            <v>8.5000000000000006E-2</v>
          </cell>
          <cell r="I273">
            <v>0.58415532000000003</v>
          </cell>
          <cell r="J273">
            <v>1</v>
          </cell>
        </row>
        <row r="274">
          <cell r="A274" t="str">
            <v>207</v>
          </cell>
          <cell r="B274">
            <v>656</v>
          </cell>
          <cell r="C274" t="str">
            <v>CM207 BASE MATIZANTE</v>
          </cell>
          <cell r="D274">
            <v>116.66</v>
          </cell>
          <cell r="E274">
            <v>930</v>
          </cell>
          <cell r="F274">
            <v>0.12544086021505377</v>
          </cell>
          <cell r="G274">
            <v>0.2</v>
          </cell>
          <cell r="H274">
            <v>8.5000000000000006E-2</v>
          </cell>
          <cell r="I274">
            <v>0.163324</v>
          </cell>
          <cell r="J274">
            <v>1</v>
          </cell>
        </row>
        <row r="275">
          <cell r="A275" t="str">
            <v>209</v>
          </cell>
          <cell r="B275">
            <v>597</v>
          </cell>
          <cell r="C275" t="str">
            <v>CM209 CONC. PEROLIZADO DOURADO</v>
          </cell>
          <cell r="D275">
            <v>261.76</v>
          </cell>
          <cell r="E275">
            <v>1000</v>
          </cell>
          <cell r="F275">
            <v>0.26175999999999999</v>
          </cell>
          <cell r="G275">
            <v>0.2</v>
          </cell>
          <cell r="H275">
            <v>8.5000000000000006E-2</v>
          </cell>
          <cell r="I275">
            <v>0.34081151999999998</v>
          </cell>
          <cell r="J275">
            <v>1</v>
          </cell>
        </row>
        <row r="276">
          <cell r="A276" t="str">
            <v>212</v>
          </cell>
          <cell r="B276">
            <v>666</v>
          </cell>
          <cell r="C276" t="str">
            <v>CM212 CONC. PEROLIZADO DOURADO SUPER</v>
          </cell>
          <cell r="D276">
            <v>360.07</v>
          </cell>
          <cell r="E276">
            <v>940</v>
          </cell>
          <cell r="F276">
            <v>0.38305319148936168</v>
          </cell>
          <cell r="G276">
            <v>0.2</v>
          </cell>
          <cell r="H276">
            <v>8.5000000000000006E-2</v>
          </cell>
          <cell r="I276">
            <v>0.49873525531914892</v>
          </cell>
          <cell r="J276">
            <v>1</v>
          </cell>
        </row>
        <row r="277">
          <cell r="A277" t="str">
            <v>213</v>
          </cell>
          <cell r="B277">
            <v>592</v>
          </cell>
          <cell r="C277" t="str">
            <v>CM213 CONC. PEROLIZADO AMARELO</v>
          </cell>
          <cell r="D277">
            <v>232.22</v>
          </cell>
          <cell r="E277">
            <v>1000</v>
          </cell>
          <cell r="F277">
            <v>0.23222000000000001</v>
          </cell>
          <cell r="G277">
            <v>0.2</v>
          </cell>
          <cell r="H277">
            <v>8.5000000000000006E-2</v>
          </cell>
          <cell r="I277">
            <v>0.30235044</v>
          </cell>
          <cell r="J277">
            <v>1</v>
          </cell>
        </row>
        <row r="278">
          <cell r="A278" t="str">
            <v>214</v>
          </cell>
          <cell r="B278">
            <v>608</v>
          </cell>
          <cell r="C278" t="str">
            <v>CM214 CONC. PEROLIZADO VERDE CLARO</v>
          </cell>
          <cell r="D278">
            <v>261.76</v>
          </cell>
          <cell r="E278">
            <v>1000</v>
          </cell>
          <cell r="F278">
            <v>0.26175999999999999</v>
          </cell>
          <cell r="G278">
            <v>0.2</v>
          </cell>
          <cell r="H278">
            <v>8.5000000000000006E-2</v>
          </cell>
          <cell r="I278">
            <v>0.34081151999999998</v>
          </cell>
          <cell r="J278">
            <v>1</v>
          </cell>
        </row>
        <row r="279">
          <cell r="A279" t="str">
            <v>CR303</v>
          </cell>
          <cell r="B279">
            <v>399</v>
          </cell>
          <cell r="C279" t="str">
            <v>CR303 CONC BRANCO NEVE REDUZIDO</v>
          </cell>
          <cell r="D279">
            <v>102.3</v>
          </cell>
          <cell r="E279">
            <v>1080</v>
          </cell>
          <cell r="F279">
            <v>9.4722222222222222E-2</v>
          </cell>
          <cell r="G279">
            <v>0.2</v>
          </cell>
          <cell r="H279">
            <v>8.5000000000000006E-2</v>
          </cell>
          <cell r="I279">
            <v>0.12332833333333333</v>
          </cell>
          <cell r="J279">
            <v>1</v>
          </cell>
        </row>
        <row r="280">
          <cell r="A280" t="str">
            <v>CR309</v>
          </cell>
          <cell r="B280">
            <v>388</v>
          </cell>
          <cell r="C280" t="str">
            <v>CR309 CONC PRETO REDUZIDO</v>
          </cell>
          <cell r="D280">
            <v>55.38</v>
          </cell>
          <cell r="E280">
            <v>980</v>
          </cell>
          <cell r="F280">
            <v>5.6510204081632653E-2</v>
          </cell>
          <cell r="G280">
            <v>0.2</v>
          </cell>
          <cell r="H280">
            <v>8.5000000000000006E-2</v>
          </cell>
          <cell r="I280">
            <v>7.3576285714285719E-2</v>
          </cell>
          <cell r="J280">
            <v>1</v>
          </cell>
        </row>
        <row r="281">
          <cell r="A281" t="str">
            <v>CR311</v>
          </cell>
          <cell r="B281">
            <v>754</v>
          </cell>
          <cell r="C281" t="str">
            <v>CR311 CONC AZUL ESVERDEADO REDUZIDO</v>
          </cell>
          <cell r="D281">
            <v>66.2</v>
          </cell>
          <cell r="E281">
            <v>960</v>
          </cell>
          <cell r="F281">
            <v>6.895833333333333E-2</v>
          </cell>
          <cell r="G281">
            <v>0.2</v>
          </cell>
          <cell r="H281">
            <v>8.5000000000000006E-2</v>
          </cell>
          <cell r="I281">
            <v>8.9783749999999996E-2</v>
          </cell>
          <cell r="J281">
            <v>1</v>
          </cell>
        </row>
        <row r="282">
          <cell r="A282" t="str">
            <v>CR315</v>
          </cell>
          <cell r="B282">
            <v>568</v>
          </cell>
          <cell r="C282" t="str">
            <v/>
          </cell>
          <cell r="D282" t="str">
            <v/>
          </cell>
          <cell r="E282">
            <v>970</v>
          </cell>
          <cell r="F282" t="str">
            <v/>
          </cell>
          <cell r="G282">
            <v>0.2</v>
          </cell>
          <cell r="H282">
            <v>8.5000000000000006E-2</v>
          </cell>
          <cell r="I282" t="str">
            <v/>
          </cell>
          <cell r="J282">
            <v>1</v>
          </cell>
        </row>
        <row r="283">
          <cell r="A283" t="str">
            <v>CR332</v>
          </cell>
          <cell r="B283">
            <v>1417</v>
          </cell>
          <cell r="C283" t="str">
            <v>CR332 CONCENTRADO AMARELO REDUZIDO</v>
          </cell>
          <cell r="D283">
            <v>56.97</v>
          </cell>
          <cell r="E283">
            <v>970</v>
          </cell>
          <cell r="F283">
            <v>5.8731958762886595E-2</v>
          </cell>
          <cell r="G283">
            <v>0.2</v>
          </cell>
          <cell r="H283">
            <v>8.5000000000000006E-2</v>
          </cell>
          <cell r="I283">
            <v>7.6469010309278357E-2</v>
          </cell>
          <cell r="J283">
            <v>1</v>
          </cell>
        </row>
        <row r="284">
          <cell r="A284" t="str">
            <v>CR338</v>
          </cell>
          <cell r="B284">
            <v>146</v>
          </cell>
          <cell r="C284" t="str">
            <v>CR338 CONC VERMELHO OXIDO REDUZIDO</v>
          </cell>
          <cell r="D284">
            <v>68.63</v>
          </cell>
          <cell r="E284">
            <v>970</v>
          </cell>
          <cell r="F284">
            <v>7.0752577319587617E-2</v>
          </cell>
          <cell r="G284">
            <v>0.2</v>
          </cell>
          <cell r="H284">
            <v>8.5000000000000006E-2</v>
          </cell>
          <cell r="I284">
            <v>9.2119855670103071E-2</v>
          </cell>
          <cell r="J284">
            <v>1</v>
          </cell>
        </row>
        <row r="285">
          <cell r="A285" t="str">
            <v>CR377</v>
          </cell>
          <cell r="B285">
            <v>259</v>
          </cell>
          <cell r="C285" t="str">
            <v>CR377 CONC AMARELO ESVERDEADO REDUZIDO</v>
          </cell>
          <cell r="D285">
            <v>66.900000000000006</v>
          </cell>
          <cell r="E285">
            <v>970</v>
          </cell>
          <cell r="F285">
            <v>6.8969072164948464E-2</v>
          </cell>
          <cell r="G285">
            <v>0.2</v>
          </cell>
          <cell r="H285">
            <v>8.5000000000000006E-2</v>
          </cell>
          <cell r="I285">
            <v>8.9797731958762894E-2</v>
          </cell>
          <cell r="J285">
            <v>1</v>
          </cell>
        </row>
        <row r="286">
          <cell r="A286" t="str">
            <v>CX10</v>
          </cell>
          <cell r="B286">
            <v>500</v>
          </cell>
          <cell r="C286" t="str">
            <v>CX10 CONCENTRADO DE EFEITO PRATA CRISTAL</v>
          </cell>
          <cell r="D286">
            <v>162.51</v>
          </cell>
          <cell r="E286">
            <v>340</v>
          </cell>
          <cell r="F286">
            <v>0.47797058823529409</v>
          </cell>
          <cell r="G286">
            <v>0.2</v>
          </cell>
          <cell r="H286">
            <v>8.5000000000000006E-2</v>
          </cell>
          <cell r="I286">
            <v>0.62231770588235302</v>
          </cell>
          <cell r="J286">
            <v>0.34</v>
          </cell>
        </row>
        <row r="287">
          <cell r="A287" t="str">
            <v>CX12</v>
          </cell>
          <cell r="B287">
            <v>1155</v>
          </cell>
          <cell r="C287" t="str">
            <v>CX12 CONCENTRADO DE EFEITO VERMELHO RUBI</v>
          </cell>
          <cell r="D287">
            <v>162.51</v>
          </cell>
          <cell r="E287">
            <v>340</v>
          </cell>
          <cell r="F287">
            <v>0.47797058823529409</v>
          </cell>
          <cell r="G287">
            <v>0.2</v>
          </cell>
          <cell r="H287">
            <v>8.5000000000000006E-2</v>
          </cell>
          <cell r="I287">
            <v>0.62231770588235302</v>
          </cell>
          <cell r="J287">
            <v>0.34</v>
          </cell>
        </row>
        <row r="288">
          <cell r="A288" t="str">
            <v>CX13</v>
          </cell>
          <cell r="B288">
            <v>268</v>
          </cell>
          <cell r="C288" t="str">
            <v>CX13 CONCENTRADO DE EFEITO AZUL UNIVERSO</v>
          </cell>
          <cell r="D288">
            <v>162.51</v>
          </cell>
          <cell r="E288">
            <v>340</v>
          </cell>
          <cell r="F288">
            <v>0.47797058823529409</v>
          </cell>
          <cell r="G288">
            <v>0.2</v>
          </cell>
          <cell r="H288">
            <v>8.5000000000000006E-2</v>
          </cell>
          <cell r="I288">
            <v>0.62231770588235302</v>
          </cell>
          <cell r="J288">
            <v>0.34</v>
          </cell>
        </row>
        <row r="289">
          <cell r="A289" t="str">
            <v>CX14</v>
          </cell>
          <cell r="B289">
            <v>247</v>
          </cell>
          <cell r="C289" t="str">
            <v>CX14 CONC DE EFEITO VERDE LUMINOSO</v>
          </cell>
          <cell r="D289">
            <v>162.51</v>
          </cell>
          <cell r="E289">
            <v>340</v>
          </cell>
          <cell r="F289">
            <v>0.47797058823529409</v>
          </cell>
          <cell r="G289">
            <v>0.2</v>
          </cell>
          <cell r="H289">
            <v>8.5000000000000006E-2</v>
          </cell>
          <cell r="I289">
            <v>0.62231770588235302</v>
          </cell>
          <cell r="J289">
            <v>0.34</v>
          </cell>
        </row>
        <row r="290">
          <cell r="A290" t="str">
            <v>556</v>
          </cell>
          <cell r="B290">
            <v>678</v>
          </cell>
          <cell r="C290" t="str">
            <v>CL556 CONC. AMARELO LIMAO IMP</v>
          </cell>
          <cell r="D290">
            <v>471.43</v>
          </cell>
          <cell r="E290">
            <v>1380</v>
          </cell>
          <cell r="F290">
            <v>0.34161594202898549</v>
          </cell>
          <cell r="G290">
            <v>0.2</v>
          </cell>
          <cell r="H290">
            <v>8.5000000000000006E-2</v>
          </cell>
          <cell r="I290">
            <v>0.44478395652173908</v>
          </cell>
          <cell r="J290">
            <v>1</v>
          </cell>
        </row>
        <row r="291">
          <cell r="A291" t="str">
            <v>SM100</v>
          </cell>
          <cell r="B291">
            <v>672</v>
          </cell>
          <cell r="C291" t="str">
            <v>SM100 AJUSTE DE CLEAR</v>
          </cell>
          <cell r="D291">
            <v>120.25</v>
          </cell>
          <cell r="E291">
            <v>3300</v>
          </cell>
          <cell r="F291">
            <v>3.6439393939393938E-2</v>
          </cell>
          <cell r="G291">
            <v>0.2</v>
          </cell>
          <cell r="H291">
            <v>8.5000000000000006E-2</v>
          </cell>
          <cell r="I291">
            <v>4.7444090909090908E-2</v>
          </cell>
          <cell r="J291">
            <v>3.5</v>
          </cell>
        </row>
        <row r="292">
          <cell r="A292" t="str">
            <v>T400</v>
          </cell>
          <cell r="B292">
            <v>694</v>
          </cell>
          <cell r="C292" t="str">
            <v>T400 WHITE 2LT</v>
          </cell>
          <cell r="D292">
            <v>229.83</v>
          </cell>
          <cell r="E292">
            <v>2426</v>
          </cell>
          <cell r="F292">
            <v>9.4736191261335534E-2</v>
          </cell>
          <cell r="G292">
            <v>0.2</v>
          </cell>
          <cell r="H292">
            <v>8.5000000000000006E-2</v>
          </cell>
          <cell r="I292">
            <v>0.12334652102225886</v>
          </cell>
          <cell r="J292">
            <v>2</v>
          </cell>
        </row>
        <row r="293">
          <cell r="A293" t="str">
            <v>T4000</v>
          </cell>
          <cell r="B293">
            <v>635</v>
          </cell>
          <cell r="C293" t="str">
            <v>T4000 CRYSTAL SILVER 500ML</v>
          </cell>
          <cell r="D293">
            <v>369.36</v>
          </cell>
          <cell r="E293">
            <v>550</v>
          </cell>
          <cell r="F293">
            <v>0.67156363636363636</v>
          </cell>
          <cell r="G293">
            <v>0.2</v>
          </cell>
          <cell r="H293">
            <v>8.5000000000000006E-2</v>
          </cell>
          <cell r="I293">
            <v>0.87437585454545452</v>
          </cell>
          <cell r="J293">
            <v>0.5</v>
          </cell>
        </row>
        <row r="294">
          <cell r="A294" t="str">
            <v>T401</v>
          </cell>
          <cell r="B294">
            <v>651</v>
          </cell>
          <cell r="C294" t="str">
            <v>T401 ULTRA FINE WHITE 500ML</v>
          </cell>
          <cell r="D294">
            <v>84</v>
          </cell>
          <cell r="E294">
            <v>531</v>
          </cell>
          <cell r="F294">
            <v>0.15819209039548024</v>
          </cell>
          <cell r="G294">
            <v>0.2</v>
          </cell>
          <cell r="H294">
            <v>8.5000000000000006E-2</v>
          </cell>
          <cell r="I294">
            <v>0.20596610169491525</v>
          </cell>
          <cell r="J294">
            <v>0.5</v>
          </cell>
        </row>
        <row r="295">
          <cell r="A295" t="str">
            <v>T402</v>
          </cell>
          <cell r="B295">
            <v>334</v>
          </cell>
          <cell r="C295" t="str">
            <v>T402 TRACE WHITE 500ML</v>
          </cell>
          <cell r="D295">
            <v>57.46</v>
          </cell>
          <cell r="E295">
            <v>555</v>
          </cell>
          <cell r="F295">
            <v>0.10353153153153154</v>
          </cell>
          <cell r="G295">
            <v>0.2</v>
          </cell>
          <cell r="H295">
            <v>8.5000000000000006E-2</v>
          </cell>
          <cell r="I295">
            <v>0.13479805405405407</v>
          </cell>
          <cell r="J295">
            <v>0.5</v>
          </cell>
        </row>
        <row r="296">
          <cell r="A296" t="str">
            <v>T403</v>
          </cell>
          <cell r="B296">
            <v>614</v>
          </cell>
          <cell r="C296" t="str">
            <v>T403 MICRO WHITE 500ML</v>
          </cell>
          <cell r="D296">
            <v>250.98</v>
          </cell>
          <cell r="E296">
            <v>541</v>
          </cell>
          <cell r="F296">
            <v>0.46391866913123841</v>
          </cell>
          <cell r="G296">
            <v>0.2</v>
          </cell>
          <cell r="H296">
            <v>8.5000000000000006E-2</v>
          </cell>
          <cell r="I296">
            <v>0.60402210720887239</v>
          </cell>
          <cell r="J296">
            <v>0.5</v>
          </cell>
        </row>
        <row r="297">
          <cell r="A297" t="str">
            <v>T404</v>
          </cell>
          <cell r="B297">
            <v>724</v>
          </cell>
          <cell r="C297" t="str">
            <v>T404 TRACE BLUE BLACK 500ML</v>
          </cell>
          <cell r="D297">
            <v>55.33</v>
          </cell>
          <cell r="E297">
            <v>496</v>
          </cell>
          <cell r="F297">
            <v>0.1115524193548387</v>
          </cell>
          <cell r="G297">
            <v>0.2</v>
          </cell>
          <cell r="H297">
            <v>8.5000000000000006E-2</v>
          </cell>
          <cell r="I297">
            <v>0.14524124999999999</v>
          </cell>
          <cell r="J297">
            <v>0.5</v>
          </cell>
        </row>
        <row r="298">
          <cell r="A298" t="str">
            <v>T4040</v>
          </cell>
          <cell r="B298">
            <v>58</v>
          </cell>
          <cell r="C298" t="str">
            <v>T4040 ORANGE FLASH 500ML</v>
          </cell>
          <cell r="D298">
            <v>369.36</v>
          </cell>
          <cell r="E298">
            <v>561</v>
          </cell>
          <cell r="F298">
            <v>0.65839572192513374</v>
          </cell>
          <cell r="G298">
            <v>0.2</v>
          </cell>
          <cell r="H298">
            <v>8.5000000000000006E-2</v>
          </cell>
          <cell r="I298">
            <v>0.85723122994652412</v>
          </cell>
          <cell r="J298">
            <v>0.5</v>
          </cell>
        </row>
        <row r="299">
          <cell r="A299" t="str">
            <v>T405</v>
          </cell>
          <cell r="B299">
            <v>681</v>
          </cell>
          <cell r="C299" t="str">
            <v>T405 GRAPHITE BLACK 500ML</v>
          </cell>
          <cell r="D299">
            <v>87.34</v>
          </cell>
          <cell r="E299">
            <v>511</v>
          </cell>
          <cell r="F299">
            <v>0.17091976516634053</v>
          </cell>
          <cell r="G299">
            <v>0.2</v>
          </cell>
          <cell r="H299">
            <v>8.5000000000000006E-2</v>
          </cell>
          <cell r="I299">
            <v>0.22253753424657535</v>
          </cell>
          <cell r="J299">
            <v>0.5</v>
          </cell>
        </row>
        <row r="300">
          <cell r="A300" t="str">
            <v>T406</v>
          </cell>
          <cell r="B300">
            <v>458</v>
          </cell>
          <cell r="C300" t="str">
            <v>T406 BLUE BLACK 1LT</v>
          </cell>
          <cell r="D300">
            <v>120.03</v>
          </cell>
          <cell r="E300">
            <v>1005</v>
          </cell>
          <cell r="F300">
            <v>0.11943283582089552</v>
          </cell>
          <cell r="G300">
            <v>0.2</v>
          </cell>
          <cell r="H300">
            <v>8.5000000000000006E-2</v>
          </cell>
          <cell r="I300">
            <v>0.15550155223880596</v>
          </cell>
          <cell r="J300">
            <v>1</v>
          </cell>
        </row>
        <row r="301">
          <cell r="A301" t="str">
            <v>T407</v>
          </cell>
          <cell r="B301">
            <v>538</v>
          </cell>
          <cell r="C301" t="str">
            <v>T407 JET BLACK 2LT</v>
          </cell>
          <cell r="D301">
            <v>194.03</v>
          </cell>
          <cell r="E301">
            <v>2028</v>
          </cell>
          <cell r="F301">
            <v>9.5675542406311639E-2</v>
          </cell>
          <cell r="G301">
            <v>0.2</v>
          </cell>
          <cell r="H301">
            <v>8.5000000000000006E-2</v>
          </cell>
          <cell r="I301">
            <v>0.12456955621301777</v>
          </cell>
          <cell r="J301">
            <v>2</v>
          </cell>
        </row>
        <row r="302">
          <cell r="A302" t="str">
            <v>T409</v>
          </cell>
          <cell r="B302">
            <v>468</v>
          </cell>
          <cell r="C302" t="str">
            <v>T409 DEEP BLACK 2LT</v>
          </cell>
          <cell r="D302">
            <v>192.94</v>
          </cell>
          <cell r="E302">
            <v>1996</v>
          </cell>
          <cell r="F302">
            <v>9.6663326653306611E-2</v>
          </cell>
          <cell r="G302">
            <v>0.2</v>
          </cell>
          <cell r="H302">
            <v>8.5000000000000006E-2</v>
          </cell>
          <cell r="I302">
            <v>0.1258556513026052</v>
          </cell>
          <cell r="J302">
            <v>2</v>
          </cell>
        </row>
        <row r="303">
          <cell r="A303" t="str">
            <v>T411</v>
          </cell>
          <cell r="B303">
            <v>1329</v>
          </cell>
          <cell r="C303" t="str">
            <v>T411 BLUE 1LT</v>
          </cell>
          <cell r="D303">
            <v>120.03</v>
          </cell>
          <cell r="E303">
            <v>1006</v>
          </cell>
          <cell r="F303">
            <v>0.1193141153081511</v>
          </cell>
          <cell r="G303">
            <v>0.2</v>
          </cell>
          <cell r="H303">
            <v>8.5000000000000006E-2</v>
          </cell>
          <cell r="I303">
            <v>0.15534697813121273</v>
          </cell>
          <cell r="J303">
            <v>1</v>
          </cell>
        </row>
        <row r="304">
          <cell r="A304" t="str">
            <v>T412</v>
          </cell>
          <cell r="B304">
            <v>1330</v>
          </cell>
          <cell r="C304" t="str">
            <v>T412 TRANSPARENT BLUE 1LT</v>
          </cell>
          <cell r="D304">
            <v>124.58</v>
          </cell>
          <cell r="E304">
            <v>1002</v>
          </cell>
          <cell r="F304">
            <v>0.1243313373253493</v>
          </cell>
          <cell r="G304">
            <v>0.2</v>
          </cell>
          <cell r="H304">
            <v>8.5000000000000006E-2</v>
          </cell>
          <cell r="I304">
            <v>0.1618794011976048</v>
          </cell>
          <cell r="J304">
            <v>1</v>
          </cell>
        </row>
        <row r="305">
          <cell r="A305" t="str">
            <v>T413</v>
          </cell>
          <cell r="B305">
            <v>1331</v>
          </cell>
          <cell r="C305" t="str">
            <v>T413 BRIGHT BLUE 1LT</v>
          </cell>
          <cell r="D305">
            <v>115.56</v>
          </cell>
          <cell r="E305">
            <v>1008</v>
          </cell>
          <cell r="F305">
            <v>0.11464285714285714</v>
          </cell>
          <cell r="G305">
            <v>0.2</v>
          </cell>
          <cell r="H305">
            <v>8.5000000000000006E-2</v>
          </cell>
          <cell r="I305">
            <v>0.14926499999999998</v>
          </cell>
          <cell r="J305">
            <v>1</v>
          </cell>
        </row>
        <row r="306">
          <cell r="A306" t="str">
            <v>T414</v>
          </cell>
          <cell r="B306">
            <v>1332</v>
          </cell>
          <cell r="C306" t="str">
            <v>T414 RICH BLUE 2LT</v>
          </cell>
          <cell r="D306">
            <v>248.91</v>
          </cell>
          <cell r="E306">
            <v>1002</v>
          </cell>
          <cell r="F306">
            <v>0.24841317365269461</v>
          </cell>
          <cell r="G306">
            <v>0.2</v>
          </cell>
          <cell r="H306">
            <v>8.5000000000000006E-2</v>
          </cell>
          <cell r="I306">
            <v>0.32343395209580839</v>
          </cell>
          <cell r="J306">
            <v>2</v>
          </cell>
        </row>
        <row r="307">
          <cell r="A307" t="str">
            <v>T415</v>
          </cell>
          <cell r="B307">
            <v>1333</v>
          </cell>
          <cell r="C307" t="str">
            <v>T415 TRACE BLUE 500ML</v>
          </cell>
          <cell r="D307">
            <v>57.78</v>
          </cell>
          <cell r="E307">
            <v>496</v>
          </cell>
          <cell r="F307">
            <v>0.11649193548387098</v>
          </cell>
          <cell r="G307">
            <v>0.2</v>
          </cell>
          <cell r="H307">
            <v>8.5000000000000006E-2</v>
          </cell>
          <cell r="I307">
            <v>0.15167250000000002</v>
          </cell>
          <cell r="J307">
            <v>0.5</v>
          </cell>
        </row>
        <row r="308">
          <cell r="A308" t="str">
            <v>T420</v>
          </cell>
          <cell r="B308">
            <v>1334</v>
          </cell>
          <cell r="C308" t="str">
            <v>T420 HIGH STRENGHT BLUE 1LT</v>
          </cell>
          <cell r="D308">
            <v>174.68</v>
          </cell>
          <cell r="E308">
            <v>1025</v>
          </cell>
          <cell r="F308">
            <v>0.17041951219512197</v>
          </cell>
          <cell r="G308">
            <v>0.2</v>
          </cell>
          <cell r="H308">
            <v>8.5000000000000006E-2</v>
          </cell>
          <cell r="I308">
            <v>0.2218862048780488</v>
          </cell>
          <cell r="J308">
            <v>1</v>
          </cell>
        </row>
        <row r="309">
          <cell r="A309" t="str">
            <v>T421</v>
          </cell>
          <cell r="B309">
            <v>1335</v>
          </cell>
          <cell r="C309" t="str">
            <v>T421 OLIVE 500ML</v>
          </cell>
          <cell r="D309">
            <v>60.06</v>
          </cell>
          <cell r="E309">
            <v>502.5</v>
          </cell>
          <cell r="F309">
            <v>0.1195223880597015</v>
          </cell>
          <cell r="G309">
            <v>0.2</v>
          </cell>
          <cell r="H309">
            <v>8.5000000000000006E-2</v>
          </cell>
          <cell r="I309">
            <v>0.15561814925373135</v>
          </cell>
          <cell r="J309">
            <v>0.5</v>
          </cell>
        </row>
        <row r="310">
          <cell r="A310" t="str">
            <v>T422</v>
          </cell>
          <cell r="B310">
            <v>1336</v>
          </cell>
          <cell r="C310" t="str">
            <v>T422 YELLOW OXIDE 500ML</v>
          </cell>
          <cell r="D310">
            <v>60.06</v>
          </cell>
          <cell r="E310">
            <v>493</v>
          </cell>
          <cell r="F310">
            <v>0.12182555780933063</v>
          </cell>
          <cell r="G310">
            <v>0.2</v>
          </cell>
          <cell r="H310">
            <v>8.5000000000000006E-2</v>
          </cell>
          <cell r="I310">
            <v>0.15861687626774848</v>
          </cell>
          <cell r="J310">
            <v>0.5</v>
          </cell>
        </row>
        <row r="311">
          <cell r="A311" t="str">
            <v>T423</v>
          </cell>
          <cell r="B311">
            <v>612</v>
          </cell>
          <cell r="C311" t="str">
            <v>T423 TRACE YELLOW OXIDE 500ML</v>
          </cell>
          <cell r="D311">
            <v>55.56</v>
          </cell>
          <cell r="E311">
            <v>494.5</v>
          </cell>
          <cell r="F311">
            <v>0.11235591506572296</v>
          </cell>
          <cell r="G311">
            <v>0.2</v>
          </cell>
          <cell r="H311">
            <v>8.5000000000000006E-2</v>
          </cell>
          <cell r="I311">
            <v>0.14628740141557131</v>
          </cell>
          <cell r="J311">
            <v>0.5</v>
          </cell>
        </row>
        <row r="312">
          <cell r="A312" t="str">
            <v>T425</v>
          </cell>
          <cell r="B312">
            <v>618</v>
          </cell>
          <cell r="C312" t="str">
            <v>T425 PERMANENT YELLOW 500ML</v>
          </cell>
          <cell r="D312">
            <v>87.34</v>
          </cell>
          <cell r="E312">
            <v>503.5</v>
          </cell>
          <cell r="F312">
            <v>0.17346573982125124</v>
          </cell>
          <cell r="G312">
            <v>0.2</v>
          </cell>
          <cell r="H312">
            <v>8.5000000000000006E-2</v>
          </cell>
          <cell r="I312">
            <v>0.22585239324726911</v>
          </cell>
          <cell r="J312">
            <v>0.5</v>
          </cell>
        </row>
        <row r="313">
          <cell r="A313" t="str">
            <v>T426</v>
          </cell>
          <cell r="B313">
            <v>553</v>
          </cell>
          <cell r="C313" t="str">
            <v>T426 WARM YELLOW 500ML</v>
          </cell>
          <cell r="D313">
            <v>83.65</v>
          </cell>
          <cell r="E313">
            <v>502.5</v>
          </cell>
          <cell r="F313">
            <v>0.16646766169154231</v>
          </cell>
          <cell r="G313">
            <v>0.2</v>
          </cell>
          <cell r="H313">
            <v>8.5000000000000006E-2</v>
          </cell>
          <cell r="I313">
            <v>0.21674089552238807</v>
          </cell>
          <cell r="J313">
            <v>0.5</v>
          </cell>
        </row>
        <row r="314">
          <cell r="A314" t="str">
            <v>T427</v>
          </cell>
          <cell r="B314">
            <v>373</v>
          </cell>
          <cell r="C314" t="str">
            <v>T427 YELLOW 1LT</v>
          </cell>
          <cell r="D314">
            <v>174.68</v>
          </cell>
          <cell r="E314">
            <v>1050</v>
          </cell>
          <cell r="F314">
            <v>0.16636190476190477</v>
          </cell>
          <cell r="G314">
            <v>0.2</v>
          </cell>
          <cell r="H314">
            <v>8.5000000000000006E-2</v>
          </cell>
          <cell r="I314">
            <v>0.2166032</v>
          </cell>
          <cell r="J314">
            <v>1</v>
          </cell>
        </row>
        <row r="315">
          <cell r="A315" t="str">
            <v>T4281</v>
          </cell>
          <cell r="B315">
            <v>544</v>
          </cell>
          <cell r="C315" t="str">
            <v>T4281 ENVIROBASE HP SOLID YELLOW 500ML</v>
          </cell>
          <cell r="D315">
            <v>120.05</v>
          </cell>
          <cell r="E315">
            <v>585.5</v>
          </cell>
          <cell r="F315">
            <v>0.20503842869342442</v>
          </cell>
          <cell r="G315">
            <v>0.2</v>
          </cell>
          <cell r="H315">
            <v>8.5000000000000006E-2</v>
          </cell>
          <cell r="I315">
            <v>0.26696003415883862</v>
          </cell>
          <cell r="J315">
            <v>0.5</v>
          </cell>
        </row>
        <row r="316">
          <cell r="A316" t="str">
            <v>T429</v>
          </cell>
          <cell r="B316">
            <v>533</v>
          </cell>
          <cell r="C316" t="str">
            <v>T429 TRANSPARENT GOLDEN 500ML</v>
          </cell>
          <cell r="D316">
            <v>60.06</v>
          </cell>
          <cell r="E316">
            <v>508.5</v>
          </cell>
          <cell r="F316">
            <v>0.11811209439528024</v>
          </cell>
          <cell r="G316">
            <v>0.2</v>
          </cell>
          <cell r="H316">
            <v>8.5000000000000006E-2</v>
          </cell>
          <cell r="I316">
            <v>0.15378194690265487</v>
          </cell>
          <cell r="J316">
            <v>0.5</v>
          </cell>
        </row>
        <row r="317">
          <cell r="A317" t="str">
            <v>T430</v>
          </cell>
          <cell r="B317">
            <v>372</v>
          </cell>
          <cell r="C317" t="str">
            <v>T430 HIGH STRENGHT TRANSPARENT GREEN 1LT</v>
          </cell>
          <cell r="D317">
            <v>174.68</v>
          </cell>
          <cell r="E317">
            <v>1025</v>
          </cell>
          <cell r="F317">
            <v>0.17041951219512197</v>
          </cell>
          <cell r="G317">
            <v>0.2</v>
          </cell>
          <cell r="H317">
            <v>8.5000000000000006E-2</v>
          </cell>
          <cell r="I317">
            <v>0.2218862048780488</v>
          </cell>
          <cell r="J317">
            <v>1</v>
          </cell>
        </row>
        <row r="318">
          <cell r="A318" t="str">
            <v>T431</v>
          </cell>
          <cell r="B318">
            <v>640</v>
          </cell>
          <cell r="C318" t="str">
            <v>T431 NIGH STRENGHT PHTALO GREEN 1LT</v>
          </cell>
          <cell r="D318">
            <v>167.9</v>
          </cell>
          <cell r="E318">
            <v>1015</v>
          </cell>
          <cell r="F318">
            <v>0.16541871921182266</v>
          </cell>
          <cell r="G318">
            <v>0.2</v>
          </cell>
          <cell r="H318">
            <v>8.5000000000000006E-2</v>
          </cell>
          <cell r="I318">
            <v>0.21537517241379311</v>
          </cell>
          <cell r="J318">
            <v>1</v>
          </cell>
        </row>
        <row r="319">
          <cell r="A319" t="str">
            <v>T432</v>
          </cell>
          <cell r="B319">
            <v>484</v>
          </cell>
          <cell r="C319" t="str">
            <v>T432 TRANSPARENT RED 1LT</v>
          </cell>
          <cell r="D319">
            <v>120.03</v>
          </cell>
          <cell r="E319">
            <v>1019</v>
          </cell>
          <cell r="F319">
            <v>0.1177919528949951</v>
          </cell>
          <cell r="G319">
            <v>0.2</v>
          </cell>
          <cell r="H319">
            <v>8.5000000000000006E-2</v>
          </cell>
          <cell r="I319">
            <v>0.15336512266928362</v>
          </cell>
          <cell r="J319">
            <v>1</v>
          </cell>
        </row>
        <row r="320">
          <cell r="A320" t="str">
            <v>T433</v>
          </cell>
          <cell r="B320">
            <v>540</v>
          </cell>
          <cell r="C320" t="str">
            <v>T433 BRILLANT ORANGE 500ML</v>
          </cell>
          <cell r="D320">
            <v>80.849999999999994</v>
          </cell>
          <cell r="E320">
            <v>506.5</v>
          </cell>
          <cell r="F320">
            <v>0.15962487660414609</v>
          </cell>
          <cell r="G320">
            <v>0.2</v>
          </cell>
          <cell r="H320">
            <v>8.5000000000000006E-2</v>
          </cell>
          <cell r="I320">
            <v>0.20783158933859822</v>
          </cell>
          <cell r="J320">
            <v>0.5</v>
          </cell>
        </row>
        <row r="321">
          <cell r="A321" t="str">
            <v>T435</v>
          </cell>
          <cell r="B321">
            <v>519</v>
          </cell>
          <cell r="C321" t="str">
            <v>T435 SALMON RED 1LT</v>
          </cell>
          <cell r="D321">
            <v>164.72</v>
          </cell>
          <cell r="E321">
            <v>1003</v>
          </cell>
          <cell r="F321">
            <v>0.16422731804586241</v>
          </cell>
          <cell r="G321">
            <v>0.2</v>
          </cell>
          <cell r="H321">
            <v>8.5000000000000006E-2</v>
          </cell>
          <cell r="I321">
            <v>0.21382396809571286</v>
          </cell>
          <cell r="J321">
            <v>1</v>
          </cell>
        </row>
        <row r="322">
          <cell r="A322" t="str">
            <v>T436</v>
          </cell>
          <cell r="B322">
            <v>687</v>
          </cell>
          <cell r="C322" t="str">
            <v>T436 RED OXIDE 500ML</v>
          </cell>
          <cell r="D322">
            <v>60.06</v>
          </cell>
          <cell r="E322">
            <v>526</v>
          </cell>
          <cell r="F322">
            <v>0.11418250950570343</v>
          </cell>
          <cell r="G322">
            <v>0.2</v>
          </cell>
          <cell r="H322">
            <v>8.5000000000000006E-2</v>
          </cell>
          <cell r="I322">
            <v>0.14866562737642586</v>
          </cell>
          <cell r="J322">
            <v>0.5</v>
          </cell>
        </row>
        <row r="323">
          <cell r="A323" t="str">
            <v>T438</v>
          </cell>
          <cell r="B323">
            <v>495</v>
          </cell>
          <cell r="C323" t="str">
            <v>T438 ROSE 1LT</v>
          </cell>
          <cell r="D323">
            <v>174.68</v>
          </cell>
          <cell r="E323">
            <v>1005</v>
          </cell>
          <cell r="F323">
            <v>0.17381094527363183</v>
          </cell>
          <cell r="G323">
            <v>0.2</v>
          </cell>
          <cell r="H323">
            <v>8.5000000000000006E-2</v>
          </cell>
          <cell r="I323">
            <v>0.22630185074626863</v>
          </cell>
          <cell r="J323">
            <v>1</v>
          </cell>
        </row>
        <row r="324">
          <cell r="A324" t="str">
            <v>T440</v>
          </cell>
          <cell r="B324">
            <v>453</v>
          </cell>
          <cell r="C324" t="str">
            <v>T440 TRACE RED OXIDE 500ML</v>
          </cell>
          <cell r="D324">
            <v>57.78</v>
          </cell>
          <cell r="E324">
            <v>501</v>
          </cell>
          <cell r="F324">
            <v>0.11532934131736527</v>
          </cell>
          <cell r="G324">
            <v>0.2</v>
          </cell>
          <cell r="H324">
            <v>8.5000000000000006E-2</v>
          </cell>
          <cell r="I324">
            <v>0.1501588023952096</v>
          </cell>
          <cell r="J324">
            <v>0.5</v>
          </cell>
        </row>
        <row r="325">
          <cell r="A325" t="str">
            <v>T441</v>
          </cell>
          <cell r="B325">
            <v>715</v>
          </cell>
          <cell r="C325" t="str">
            <v>T441 CARMINE 500ML</v>
          </cell>
          <cell r="D325">
            <v>77.78</v>
          </cell>
          <cell r="E325">
            <v>500.5</v>
          </cell>
          <cell r="F325">
            <v>0.15540459540459542</v>
          </cell>
          <cell r="G325">
            <v>0.2</v>
          </cell>
          <cell r="H325">
            <v>8.5000000000000006E-2</v>
          </cell>
          <cell r="I325">
            <v>0.20233678321678325</v>
          </cell>
          <cell r="J325">
            <v>0.5</v>
          </cell>
        </row>
        <row r="326">
          <cell r="A326" t="str">
            <v>T442</v>
          </cell>
          <cell r="B326">
            <v>89</v>
          </cell>
          <cell r="C326" t="str">
            <v>T442 BROWN 500ML</v>
          </cell>
          <cell r="D326">
            <v>87.34</v>
          </cell>
          <cell r="E326">
            <v>502.5</v>
          </cell>
          <cell r="F326">
            <v>0.17381094527363183</v>
          </cell>
          <cell r="G326">
            <v>0.2</v>
          </cell>
          <cell r="H326">
            <v>8.5000000000000006E-2</v>
          </cell>
          <cell r="I326">
            <v>0.22630185074626863</v>
          </cell>
          <cell r="J326">
            <v>0.5</v>
          </cell>
        </row>
        <row r="327">
          <cell r="A327" t="str">
            <v>T443</v>
          </cell>
          <cell r="B327">
            <v>673</v>
          </cell>
          <cell r="C327" t="str">
            <v>T443 VIOLET 1LT</v>
          </cell>
          <cell r="D327">
            <v>120.03</v>
          </cell>
          <cell r="E327">
            <v>994</v>
          </cell>
          <cell r="F327">
            <v>0.12075452716297787</v>
          </cell>
          <cell r="G327">
            <v>0.2</v>
          </cell>
          <cell r="H327">
            <v>8.5000000000000006E-2</v>
          </cell>
          <cell r="I327">
            <v>0.1572223943661972</v>
          </cell>
          <cell r="J327">
            <v>1</v>
          </cell>
        </row>
        <row r="328">
          <cell r="A328" t="str">
            <v>T444</v>
          </cell>
          <cell r="B328">
            <v>689</v>
          </cell>
          <cell r="C328" t="str">
            <v>T444 BORDEAUX 1LT</v>
          </cell>
          <cell r="D328">
            <v>160.69999999999999</v>
          </cell>
          <cell r="E328">
            <v>1011</v>
          </cell>
          <cell r="F328">
            <v>0.15895153313550939</v>
          </cell>
          <cell r="G328">
            <v>0.2</v>
          </cell>
          <cell r="H328">
            <v>8.5000000000000006E-2</v>
          </cell>
          <cell r="I328">
            <v>0.20695489614243323</v>
          </cell>
          <cell r="J328">
            <v>1</v>
          </cell>
        </row>
        <row r="329">
          <cell r="A329" t="str">
            <v>T445</v>
          </cell>
          <cell r="B329">
            <v>660</v>
          </cell>
          <cell r="C329" t="str">
            <v>T445 TRANSPARENT MAGENTA 500ML</v>
          </cell>
          <cell r="D329">
            <v>87.34</v>
          </cell>
          <cell r="E329">
            <v>503.5</v>
          </cell>
          <cell r="F329">
            <v>0.17346573982125124</v>
          </cell>
          <cell r="G329">
            <v>0.2</v>
          </cell>
          <cell r="H329">
            <v>8.5000000000000006E-2</v>
          </cell>
          <cell r="I329">
            <v>0.22585239324726911</v>
          </cell>
          <cell r="J329">
            <v>0.5</v>
          </cell>
        </row>
        <row r="330">
          <cell r="A330" t="str">
            <v>T447</v>
          </cell>
          <cell r="B330">
            <v>224</v>
          </cell>
          <cell r="C330" t="str">
            <v>T447 BRIGHT RED 1LT</v>
          </cell>
          <cell r="D330">
            <v>167.2</v>
          </cell>
          <cell r="E330">
            <v>1050</v>
          </cell>
          <cell r="F330">
            <v>0.15923809523809523</v>
          </cell>
          <cell r="G330">
            <v>0.2</v>
          </cell>
          <cell r="H330">
            <v>8.5000000000000006E-2</v>
          </cell>
          <cell r="I330">
            <v>0.20732799999999998</v>
          </cell>
          <cell r="J330">
            <v>1</v>
          </cell>
        </row>
        <row r="331">
          <cell r="A331" t="str">
            <v>T448</v>
          </cell>
          <cell r="B331">
            <v>546</v>
          </cell>
          <cell r="C331" t="str">
            <v>T448 RUSSET 1LT</v>
          </cell>
          <cell r="D331">
            <v>174.68</v>
          </cell>
          <cell r="E331">
            <v>1050</v>
          </cell>
          <cell r="F331">
            <v>0.16636190476190477</v>
          </cell>
          <cell r="G331">
            <v>0.2</v>
          </cell>
          <cell r="H331">
            <v>8.5000000000000006E-2</v>
          </cell>
          <cell r="I331">
            <v>0.2166032</v>
          </cell>
          <cell r="J331">
            <v>1</v>
          </cell>
        </row>
        <row r="332">
          <cell r="A332" t="str">
            <v>T451</v>
          </cell>
          <cell r="B332">
            <v>506</v>
          </cell>
          <cell r="C332" t="str">
            <v>T451 EXTRA FINE WHITE PEARL 500ML</v>
          </cell>
          <cell r="D332">
            <v>115.56</v>
          </cell>
          <cell r="E332">
            <v>512.5</v>
          </cell>
          <cell r="F332">
            <v>0.22548292682926829</v>
          </cell>
          <cell r="G332">
            <v>0.2</v>
          </cell>
          <cell r="H332">
            <v>8.5000000000000006E-2</v>
          </cell>
          <cell r="I332">
            <v>0.29357877073170729</v>
          </cell>
          <cell r="J332">
            <v>0.5</v>
          </cell>
        </row>
        <row r="333">
          <cell r="A333" t="str">
            <v>T452</v>
          </cell>
          <cell r="B333">
            <v>493</v>
          </cell>
          <cell r="C333" t="str">
            <v>T452 FINE WHITE PEARL 500ML</v>
          </cell>
          <cell r="D333">
            <v>115.56</v>
          </cell>
          <cell r="E333">
            <v>512.5</v>
          </cell>
          <cell r="F333">
            <v>0.22548292682926829</v>
          </cell>
          <cell r="G333">
            <v>0.2</v>
          </cell>
          <cell r="H333">
            <v>8.5000000000000006E-2</v>
          </cell>
          <cell r="I333">
            <v>0.29357877073170729</v>
          </cell>
          <cell r="J333">
            <v>0.5</v>
          </cell>
        </row>
        <row r="334">
          <cell r="A334" t="str">
            <v>T453</v>
          </cell>
          <cell r="B334">
            <v>509</v>
          </cell>
          <cell r="C334" t="str">
            <v>T453 WHITE PEARL 1LT</v>
          </cell>
          <cell r="D334">
            <v>231.09</v>
          </cell>
          <cell r="E334">
            <v>1024</v>
          </cell>
          <cell r="F334">
            <v>0.225673828125</v>
          </cell>
          <cell r="G334">
            <v>0.2</v>
          </cell>
          <cell r="H334">
            <v>8.5000000000000006E-2</v>
          </cell>
          <cell r="I334">
            <v>0.29382732421875002</v>
          </cell>
          <cell r="J334">
            <v>1</v>
          </cell>
        </row>
        <row r="335">
          <cell r="A335" t="str">
            <v>T454</v>
          </cell>
          <cell r="B335">
            <v>137</v>
          </cell>
          <cell r="C335" t="str">
            <v>T454 BRIGHT RED PEARL 1LT</v>
          </cell>
          <cell r="D335">
            <v>174.68</v>
          </cell>
          <cell r="E335">
            <v>1089</v>
          </cell>
          <cell r="F335">
            <v>0.16040404040404041</v>
          </cell>
          <cell r="G335">
            <v>0.2</v>
          </cell>
          <cell r="H335">
            <v>8.5000000000000006E-2</v>
          </cell>
          <cell r="I335">
            <v>0.20884606060606059</v>
          </cell>
          <cell r="J335">
            <v>1</v>
          </cell>
        </row>
        <row r="336">
          <cell r="A336" t="str">
            <v>T455</v>
          </cell>
          <cell r="B336">
            <v>545</v>
          </cell>
          <cell r="C336" t="str">
            <v>T455 FINE BLUE PEARL 500ML</v>
          </cell>
          <cell r="D336">
            <v>115.56</v>
          </cell>
          <cell r="E336">
            <v>513</v>
          </cell>
          <cell r="F336">
            <v>0.22526315789473686</v>
          </cell>
          <cell r="G336">
            <v>0.2</v>
          </cell>
          <cell r="H336">
            <v>8.5000000000000006E-2</v>
          </cell>
          <cell r="I336">
            <v>0.29329263157894742</v>
          </cell>
          <cell r="J336">
            <v>0.5</v>
          </cell>
        </row>
        <row r="337">
          <cell r="A337" t="str">
            <v>T456</v>
          </cell>
          <cell r="B337">
            <v>309</v>
          </cell>
          <cell r="C337" t="str">
            <v>T456 BLUE PEARL 1LT</v>
          </cell>
          <cell r="D337">
            <v>231.09</v>
          </cell>
          <cell r="E337">
            <v>1025</v>
          </cell>
          <cell r="F337">
            <v>0.22545365853658536</v>
          </cell>
          <cell r="G337">
            <v>0.2</v>
          </cell>
          <cell r="H337">
            <v>8.5000000000000006E-2</v>
          </cell>
          <cell r="I337">
            <v>0.29354066341463414</v>
          </cell>
          <cell r="J337">
            <v>1</v>
          </cell>
        </row>
        <row r="338">
          <cell r="A338" t="str">
            <v>T457</v>
          </cell>
          <cell r="B338">
            <v>254</v>
          </cell>
          <cell r="C338" t="str">
            <v>T457 GREEN PEARL 500ML</v>
          </cell>
          <cell r="D338">
            <v>115.56</v>
          </cell>
          <cell r="E338">
            <v>512.5</v>
          </cell>
          <cell r="F338">
            <v>0.22548292682926829</v>
          </cell>
          <cell r="G338">
            <v>0.2</v>
          </cell>
          <cell r="H338">
            <v>8.5000000000000006E-2</v>
          </cell>
          <cell r="I338">
            <v>0.29357877073170729</v>
          </cell>
          <cell r="J338">
            <v>0.5</v>
          </cell>
        </row>
        <row r="339">
          <cell r="A339" t="str">
            <v>T458</v>
          </cell>
          <cell r="B339">
            <v>518</v>
          </cell>
          <cell r="C339" t="str">
            <v>T458 BLUE GREEN PEARL 500ML</v>
          </cell>
          <cell r="D339">
            <v>120.03</v>
          </cell>
          <cell r="E339">
            <v>512.5</v>
          </cell>
          <cell r="F339">
            <v>0.23420487804878048</v>
          </cell>
          <cell r="G339">
            <v>0.2</v>
          </cell>
          <cell r="H339">
            <v>8.5000000000000006E-2</v>
          </cell>
          <cell r="I339">
            <v>0.30493475121951219</v>
          </cell>
          <cell r="J339">
            <v>0.5</v>
          </cell>
        </row>
        <row r="340">
          <cell r="A340" t="str">
            <v>T459</v>
          </cell>
          <cell r="B340">
            <v>557</v>
          </cell>
          <cell r="C340" t="str">
            <v>T459 COPPER PEARL 1LT</v>
          </cell>
          <cell r="D340">
            <v>174.68</v>
          </cell>
          <cell r="E340">
            <v>1089</v>
          </cell>
          <cell r="F340">
            <v>0.16040404040404041</v>
          </cell>
          <cell r="G340">
            <v>0.2</v>
          </cell>
          <cell r="H340">
            <v>8.5000000000000006E-2</v>
          </cell>
          <cell r="I340">
            <v>0.20884606060606059</v>
          </cell>
          <cell r="J340">
            <v>1</v>
          </cell>
        </row>
        <row r="341">
          <cell r="A341" t="str">
            <v>T460</v>
          </cell>
          <cell r="B341">
            <v>609</v>
          </cell>
          <cell r="C341" t="str">
            <v>T460 YELLOW PEARL 500ML</v>
          </cell>
          <cell r="D341">
            <v>115.56</v>
          </cell>
          <cell r="E341">
            <v>512.5</v>
          </cell>
          <cell r="F341">
            <v>0.22548292682926829</v>
          </cell>
          <cell r="G341">
            <v>0.2</v>
          </cell>
          <cell r="H341">
            <v>8.5000000000000006E-2</v>
          </cell>
          <cell r="I341">
            <v>0.29357877073170729</v>
          </cell>
          <cell r="J341">
            <v>0.5</v>
          </cell>
        </row>
        <row r="342">
          <cell r="A342" t="str">
            <v>T461</v>
          </cell>
          <cell r="B342">
            <v>374</v>
          </cell>
          <cell r="C342" t="str">
            <v>T461 GOLDEN YELLOW PEARL 500ML</v>
          </cell>
          <cell r="D342">
            <v>115.56</v>
          </cell>
          <cell r="E342">
            <v>512.5</v>
          </cell>
          <cell r="F342">
            <v>0.22548292682926829</v>
          </cell>
          <cell r="G342">
            <v>0.2</v>
          </cell>
          <cell r="H342">
            <v>8.5000000000000006E-2</v>
          </cell>
          <cell r="I342">
            <v>0.29357877073170729</v>
          </cell>
          <cell r="J342">
            <v>0.5</v>
          </cell>
        </row>
        <row r="343">
          <cell r="A343" t="str">
            <v>T462</v>
          </cell>
          <cell r="B343">
            <v>1319</v>
          </cell>
          <cell r="C343" t="str">
            <v>T462 FINE RED PEARL 1LT</v>
          </cell>
          <cell r="D343">
            <v>174.68</v>
          </cell>
          <cell r="E343">
            <v>1089</v>
          </cell>
          <cell r="F343">
            <v>0.16040404040404041</v>
          </cell>
          <cell r="G343">
            <v>0.2</v>
          </cell>
          <cell r="H343">
            <v>8.5000000000000006E-2</v>
          </cell>
          <cell r="I343">
            <v>0.20884606060606059</v>
          </cell>
          <cell r="J343">
            <v>1</v>
          </cell>
        </row>
        <row r="344">
          <cell r="A344" t="str">
            <v>T465</v>
          </cell>
          <cell r="B344">
            <v>1320</v>
          </cell>
          <cell r="C344" t="str">
            <v>T465 RED PEARL 500ML</v>
          </cell>
          <cell r="D344">
            <v>115.56</v>
          </cell>
          <cell r="E344">
            <v>512.5</v>
          </cell>
          <cell r="F344">
            <v>0.22548292682926829</v>
          </cell>
          <cell r="G344">
            <v>0.2</v>
          </cell>
          <cell r="H344">
            <v>8.5000000000000006E-2</v>
          </cell>
          <cell r="I344">
            <v>0.29357877073170729</v>
          </cell>
          <cell r="J344">
            <v>0.5</v>
          </cell>
        </row>
        <row r="345">
          <cell r="A345" t="str">
            <v>T466</v>
          </cell>
          <cell r="B345">
            <v>1321</v>
          </cell>
          <cell r="C345" t="str">
            <v>T466 ORANGE PEARL 500ML</v>
          </cell>
          <cell r="D345">
            <v>115.56</v>
          </cell>
          <cell r="E345">
            <v>515.5</v>
          </cell>
          <cell r="F345">
            <v>0.22417070805043648</v>
          </cell>
          <cell r="G345">
            <v>0.2</v>
          </cell>
          <cell r="H345">
            <v>8.5000000000000006E-2</v>
          </cell>
          <cell r="I345">
            <v>0.29187026188166831</v>
          </cell>
          <cell r="J345">
            <v>0.5</v>
          </cell>
        </row>
        <row r="346">
          <cell r="A346" t="str">
            <v>T468</v>
          </cell>
          <cell r="B346">
            <v>1322</v>
          </cell>
          <cell r="C346" t="str">
            <v>T468 VIOLET PEARL 500ML</v>
          </cell>
          <cell r="D346">
            <v>115.56</v>
          </cell>
          <cell r="E346">
            <v>512.5</v>
          </cell>
          <cell r="F346">
            <v>0.22548292682926829</v>
          </cell>
          <cell r="G346">
            <v>0.2</v>
          </cell>
          <cell r="H346">
            <v>8.5000000000000006E-2</v>
          </cell>
          <cell r="I346">
            <v>0.29357877073170729</v>
          </cell>
          <cell r="J346">
            <v>0.5</v>
          </cell>
        </row>
        <row r="347">
          <cell r="A347" t="str">
            <v>T471</v>
          </cell>
          <cell r="B347">
            <v>1323</v>
          </cell>
          <cell r="C347" t="str">
            <v>T471 EXTRA FINE METALLIC 2LT</v>
          </cell>
          <cell r="D347">
            <v>240.31</v>
          </cell>
          <cell r="E347">
            <v>2000</v>
          </cell>
          <cell r="F347">
            <v>0.120155</v>
          </cell>
          <cell r="G347">
            <v>0.2</v>
          </cell>
          <cell r="H347">
            <v>8.5000000000000006E-2</v>
          </cell>
          <cell r="I347">
            <v>0.15644181000000001</v>
          </cell>
          <cell r="J347">
            <v>2</v>
          </cell>
        </row>
        <row r="348">
          <cell r="A348" t="str">
            <v>T472</v>
          </cell>
          <cell r="B348">
            <v>1324</v>
          </cell>
          <cell r="C348" t="str">
            <v>T472 FINE LENTICULAR METALLIC 2LT</v>
          </cell>
          <cell r="D348">
            <v>250.96</v>
          </cell>
          <cell r="E348">
            <v>2020</v>
          </cell>
          <cell r="F348">
            <v>0.12423762376237624</v>
          </cell>
          <cell r="G348">
            <v>0.2</v>
          </cell>
          <cell r="H348">
            <v>8.5000000000000006E-2</v>
          </cell>
          <cell r="I348">
            <v>0.16175738613861387</v>
          </cell>
          <cell r="J348">
            <v>2</v>
          </cell>
        </row>
        <row r="349">
          <cell r="A349" t="str">
            <v>T473</v>
          </cell>
          <cell r="B349">
            <v>1325</v>
          </cell>
          <cell r="C349" t="str">
            <v>T473 MEDIUM METALLIC 2LT</v>
          </cell>
          <cell r="D349">
            <v>250.99</v>
          </cell>
          <cell r="E349">
            <v>2020</v>
          </cell>
          <cell r="F349">
            <v>0.12425247524752475</v>
          </cell>
          <cell r="G349">
            <v>0.2</v>
          </cell>
          <cell r="H349">
            <v>8.5000000000000006E-2</v>
          </cell>
          <cell r="I349">
            <v>0.16177672277227723</v>
          </cell>
          <cell r="J349">
            <v>2</v>
          </cell>
        </row>
        <row r="350">
          <cell r="A350" t="str">
            <v>T474</v>
          </cell>
          <cell r="B350">
            <v>1326</v>
          </cell>
          <cell r="C350" t="str">
            <v>T474 FINE METALLIC 1LT</v>
          </cell>
          <cell r="D350">
            <v>125.68</v>
          </cell>
          <cell r="E350">
            <v>1020</v>
          </cell>
          <cell r="F350">
            <v>0.12321568627450981</v>
          </cell>
          <cell r="G350">
            <v>0.2</v>
          </cell>
          <cell r="H350">
            <v>8.5000000000000006E-2</v>
          </cell>
          <cell r="I350">
            <v>0.16042682352941176</v>
          </cell>
          <cell r="J350">
            <v>1</v>
          </cell>
        </row>
        <row r="351">
          <cell r="A351" t="str">
            <v>T475</v>
          </cell>
          <cell r="B351">
            <v>1327</v>
          </cell>
          <cell r="C351" t="str">
            <v>T475 MEDIUM LENTICULAR METALLIC 2LT</v>
          </cell>
          <cell r="D351">
            <v>250.99</v>
          </cell>
          <cell r="E351">
            <v>2040</v>
          </cell>
          <cell r="F351">
            <v>0.1230343137254902</v>
          </cell>
          <cell r="G351">
            <v>0.2</v>
          </cell>
          <cell r="H351">
            <v>8.5000000000000006E-2</v>
          </cell>
          <cell r="I351">
            <v>0.16019067647058824</v>
          </cell>
          <cell r="J351">
            <v>2</v>
          </cell>
        </row>
        <row r="352">
          <cell r="A352" t="str">
            <v>T476</v>
          </cell>
          <cell r="B352">
            <v>1328</v>
          </cell>
          <cell r="C352" t="str">
            <v>T476 COARSE LENTICULAR METALLIC 2LT</v>
          </cell>
          <cell r="D352">
            <v>250.99</v>
          </cell>
          <cell r="E352">
            <v>2020</v>
          </cell>
          <cell r="F352">
            <v>0.12425247524752475</v>
          </cell>
          <cell r="G352">
            <v>0.2</v>
          </cell>
          <cell r="H352">
            <v>8.5000000000000006E-2</v>
          </cell>
          <cell r="I352">
            <v>0.16177672277227723</v>
          </cell>
          <cell r="J352">
            <v>2</v>
          </cell>
        </row>
        <row r="353">
          <cell r="A353" t="str">
            <v>T477</v>
          </cell>
          <cell r="B353">
            <v>1337</v>
          </cell>
          <cell r="C353" t="str">
            <v>T477 EXTRA COARSE METALLIC 1LT</v>
          </cell>
          <cell r="D353">
            <v>125.61</v>
          </cell>
          <cell r="E353">
            <v>1030</v>
          </cell>
          <cell r="F353">
            <v>0.12195145631067961</v>
          </cell>
          <cell r="G353">
            <v>0.2</v>
          </cell>
          <cell r="H353">
            <v>8.5000000000000006E-2</v>
          </cell>
          <cell r="I353">
            <v>0.15878079611650486</v>
          </cell>
          <cell r="J353">
            <v>1</v>
          </cell>
        </row>
        <row r="354">
          <cell r="A354" t="str">
            <v>T479</v>
          </cell>
          <cell r="B354">
            <v>1338</v>
          </cell>
          <cell r="C354" t="str">
            <v>T479 ENVIROBASE HP COARSE SILVER DOLLAR ALUMIN 1LT</v>
          </cell>
          <cell r="D354">
            <v>118.56</v>
          </cell>
          <cell r="E354">
            <v>1024</v>
          </cell>
          <cell r="F354">
            <v>0.11578125</v>
          </cell>
          <cell r="G354">
            <v>0.2</v>
          </cell>
          <cell r="H354">
            <v>8.5000000000000006E-2</v>
          </cell>
          <cell r="I354">
            <v>0.15074718749999999</v>
          </cell>
          <cell r="J354">
            <v>1</v>
          </cell>
        </row>
        <row r="355">
          <cell r="A355" t="str">
            <v>T489</v>
          </cell>
          <cell r="B355">
            <v>1339</v>
          </cell>
          <cell r="C355" t="str">
            <v>T489 MEDIUM ALUMINIUM GOLD 500ML</v>
          </cell>
          <cell r="D355">
            <v>63.32</v>
          </cell>
          <cell r="E355">
            <v>498.5</v>
          </cell>
          <cell r="F355">
            <v>0.12702106318956871</v>
          </cell>
          <cell r="G355">
            <v>0.2</v>
          </cell>
          <cell r="H355">
            <v>8.5000000000000006E-2</v>
          </cell>
          <cell r="I355">
            <v>0.16538142427281846</v>
          </cell>
          <cell r="J355">
            <v>0.5</v>
          </cell>
        </row>
        <row r="356">
          <cell r="A356" t="str">
            <v>T490</v>
          </cell>
          <cell r="B356">
            <v>539</v>
          </cell>
          <cell r="C356" t="str">
            <v>T490 TINTED CLEAR ADITIVE 1LT</v>
          </cell>
          <cell r="D356">
            <v>115.45</v>
          </cell>
          <cell r="E356">
            <v>989</v>
          </cell>
          <cell r="F356">
            <v>0.11673407482305359</v>
          </cell>
          <cell r="G356">
            <v>0.2</v>
          </cell>
          <cell r="H356">
            <v>8.5000000000000006E-2</v>
          </cell>
          <cell r="I356">
            <v>0.15198776541961578</v>
          </cell>
          <cell r="J356">
            <v>1</v>
          </cell>
        </row>
        <row r="357">
          <cell r="A357" t="str">
            <v>T491</v>
          </cell>
          <cell r="B357">
            <v>1343</v>
          </cell>
          <cell r="C357" t="str">
            <v>T491 MATTING BASE 1LT</v>
          </cell>
          <cell r="D357">
            <v>120.03</v>
          </cell>
          <cell r="E357">
            <v>1042</v>
          </cell>
          <cell r="F357">
            <v>0.11519193857965451</v>
          </cell>
          <cell r="G357">
            <v>0.2</v>
          </cell>
          <cell r="H357">
            <v>8.5000000000000006E-2</v>
          </cell>
          <cell r="I357">
            <v>0.14997990403071015</v>
          </cell>
          <cell r="J357">
            <v>1</v>
          </cell>
        </row>
        <row r="358">
          <cell r="A358" t="str">
            <v>T494</v>
          </cell>
          <cell r="B358">
            <v>1340</v>
          </cell>
          <cell r="C358" t="str">
            <v>T494 REDUTOR BASE AGUA 2LT</v>
          </cell>
          <cell r="D358">
            <v>18.38</v>
          </cell>
          <cell r="E358">
            <v>1996</v>
          </cell>
          <cell r="F358">
            <v>9.2084168336673336E-3</v>
          </cell>
          <cell r="G358">
            <v>0.2</v>
          </cell>
          <cell r="H358">
            <v>8.5000000000000006E-2</v>
          </cell>
          <cell r="I358">
            <v>1.1989358717434869E-2</v>
          </cell>
          <cell r="J358">
            <v>2</v>
          </cell>
        </row>
        <row r="359">
          <cell r="A359" t="str">
            <v>T497</v>
          </cell>
          <cell r="B359">
            <v>1341</v>
          </cell>
          <cell r="C359" t="str">
            <v>T497 GUN WASH THINNER 5LT</v>
          </cell>
          <cell r="D359">
            <v>48.38</v>
          </cell>
          <cell r="E359">
            <v>860</v>
          </cell>
          <cell r="F359">
            <v>5.6255813953488373E-2</v>
          </cell>
          <cell r="G359">
            <v>0.2</v>
          </cell>
          <cell r="H359">
            <v>8.5000000000000006E-2</v>
          </cell>
          <cell r="I359">
            <v>7.3245069767441856E-2</v>
          </cell>
          <cell r="J359">
            <v>5</v>
          </cell>
        </row>
        <row r="360">
          <cell r="A360" t="str">
            <v>T499</v>
          </cell>
          <cell r="B360">
            <v>494</v>
          </cell>
          <cell r="C360" t="str">
            <v>T499 ENVIROBASE COAGULANT AGENT 2LT</v>
          </cell>
          <cell r="D360">
            <v>138.72999999999999</v>
          </cell>
          <cell r="E360">
            <v>2000</v>
          </cell>
          <cell r="F360">
            <v>6.9364999999999996E-2</v>
          </cell>
          <cell r="G360">
            <v>0.2</v>
          </cell>
          <cell r="H360">
            <v>8.5000000000000006E-2</v>
          </cell>
          <cell r="I360">
            <v>9.0313229999999994E-2</v>
          </cell>
          <cell r="J360">
            <v>2</v>
          </cell>
        </row>
        <row r="361">
          <cell r="A361" t="str">
            <v>T510</v>
          </cell>
          <cell r="B361">
            <v>1342</v>
          </cell>
          <cell r="C361" t="str">
            <v>T510 ENVIROBASE HP WB ENGINE BAY CONVERT 1LT</v>
          </cell>
          <cell r="D361">
            <v>84.08</v>
          </cell>
          <cell r="E361">
            <v>1013</v>
          </cell>
          <cell r="F361">
            <v>8.3000987166831186E-2</v>
          </cell>
          <cell r="G361">
            <v>0.2</v>
          </cell>
          <cell r="H361">
            <v>8.5000000000000006E-2</v>
          </cell>
          <cell r="I361">
            <v>0.1080672852912142</v>
          </cell>
          <cell r="J361">
            <v>1</v>
          </cell>
        </row>
        <row r="362">
          <cell r="A362" t="str">
            <v>CPP-501</v>
          </cell>
          <cell r="B362">
            <v>1197</v>
          </cell>
          <cell r="C362" t="str">
            <v>BASECOAT POL. AZUL BUZIOS FIAT 00</v>
          </cell>
          <cell r="D362">
            <v>20.96</v>
          </cell>
          <cell r="E362">
            <v>900</v>
          </cell>
          <cell r="F362">
            <v>2.328888888888889E-2</v>
          </cell>
          <cell r="G362">
            <v>0.2</v>
          </cell>
          <cell r="H362">
            <v>8.5000000000000006E-2</v>
          </cell>
          <cell r="I362">
            <v>3.0322133333333334E-2</v>
          </cell>
          <cell r="J362">
            <v>1</v>
          </cell>
        </row>
        <row r="363">
          <cell r="A363" t="str">
            <v>CPP-102</v>
          </cell>
          <cell r="B363">
            <v>1202</v>
          </cell>
          <cell r="C363" t="str">
            <v>BASECOAT POL. BRANCO CRISTAL VW 00 PPG</v>
          </cell>
          <cell r="D363">
            <v>16.77</v>
          </cell>
          <cell r="E363">
            <v>900</v>
          </cell>
          <cell r="F363">
            <v>1.8633333333333332E-2</v>
          </cell>
          <cell r="G363">
            <v>0.2</v>
          </cell>
          <cell r="H363">
            <v>8.5000000000000006E-2</v>
          </cell>
          <cell r="I363">
            <v>2.4260599999999997E-2</v>
          </cell>
          <cell r="J363">
            <v>1</v>
          </cell>
        </row>
        <row r="364">
          <cell r="A364" t="str">
            <v>CPP-104</v>
          </cell>
          <cell r="B364">
            <v>1206</v>
          </cell>
          <cell r="C364" t="str">
            <v>BASECOAT POL. BRANCO MAHLER GM 94</v>
          </cell>
          <cell r="D364">
            <v>21.78</v>
          </cell>
          <cell r="E364">
            <v>900</v>
          </cell>
          <cell r="F364">
            <v>2.4200000000000003E-2</v>
          </cell>
          <cell r="G364">
            <v>0.2</v>
          </cell>
          <cell r="H364">
            <v>8.5000000000000006E-2</v>
          </cell>
          <cell r="I364">
            <v>3.1508400000000006E-2</v>
          </cell>
          <cell r="J364">
            <v>1</v>
          </cell>
        </row>
        <row r="365">
          <cell r="A365" t="str">
            <v>CPP-318</v>
          </cell>
          <cell r="B365">
            <v>403</v>
          </cell>
          <cell r="C365" t="str">
            <v>BASECOAT POL. PRATA ESCUNA GM 900ML</v>
          </cell>
          <cell r="D365">
            <v>21.84</v>
          </cell>
          <cell r="E365">
            <v>900</v>
          </cell>
          <cell r="F365">
            <v>2.4266666666666666E-2</v>
          </cell>
          <cell r="G365">
            <v>0.2</v>
          </cell>
          <cell r="H365">
            <v>8.5000000000000006E-2</v>
          </cell>
          <cell r="I365">
            <v>3.1595200000000004E-2</v>
          </cell>
          <cell r="J365">
            <v>1</v>
          </cell>
        </row>
        <row r="366">
          <cell r="A366" t="str">
            <v>CPP-326</v>
          </cell>
          <cell r="B366">
            <v>391</v>
          </cell>
          <cell r="C366" t="str">
            <v>BASECOAT POL. PRATA POLARIS GM 900ML</v>
          </cell>
          <cell r="D366">
            <v>21.59</v>
          </cell>
          <cell r="E366">
            <v>900</v>
          </cell>
          <cell r="F366">
            <v>2.3988888888888889E-2</v>
          </cell>
          <cell r="G366">
            <v>0.2</v>
          </cell>
          <cell r="H366">
            <v>8.5000000000000006E-2</v>
          </cell>
          <cell r="I366">
            <v>3.1233533333333334E-2</v>
          </cell>
          <cell r="J366">
            <v>1</v>
          </cell>
        </row>
        <row r="367">
          <cell r="A367" t="str">
            <v>CPP-327</v>
          </cell>
          <cell r="B367">
            <v>1209</v>
          </cell>
          <cell r="C367" t="str">
            <v>BASECOAT POL. PRATA REFLEX VW 01</v>
          </cell>
          <cell r="D367">
            <v>22.6</v>
          </cell>
          <cell r="E367">
            <v>900</v>
          </cell>
          <cell r="F367">
            <v>2.5111111111111112E-2</v>
          </cell>
          <cell r="G367">
            <v>0.2</v>
          </cell>
          <cell r="H367">
            <v>8.5000000000000006E-2</v>
          </cell>
          <cell r="I367">
            <v>3.269466666666667E-2</v>
          </cell>
          <cell r="J367">
            <v>1</v>
          </cell>
        </row>
        <row r="368">
          <cell r="A368" t="str">
            <v>CPP-203</v>
          </cell>
          <cell r="B368">
            <v>1196</v>
          </cell>
          <cell r="C368" t="str">
            <v>BASECOAT POL. PRETO NINJA VW 95 PPG</v>
          </cell>
          <cell r="D368">
            <v>24.97</v>
          </cell>
          <cell r="E368">
            <v>900</v>
          </cell>
          <cell r="F368">
            <v>2.7744444444444443E-2</v>
          </cell>
          <cell r="G368">
            <v>0.2</v>
          </cell>
          <cell r="H368">
            <v>8.5000000000000006E-2</v>
          </cell>
          <cell r="I368">
            <v>3.6123266666666667E-2</v>
          </cell>
          <cell r="J368">
            <v>1</v>
          </cell>
        </row>
        <row r="369">
          <cell r="A369" t="str">
            <v>CPP-701</v>
          </cell>
          <cell r="B369">
            <v>1198</v>
          </cell>
          <cell r="C369" t="str">
            <v>BASECOAT POL. VERMELHO ALPINE FIAT 96</v>
          </cell>
          <cell r="D369">
            <v>47.67</v>
          </cell>
          <cell r="E369">
            <v>900</v>
          </cell>
          <cell r="F369">
            <v>5.2966666666666669E-2</v>
          </cell>
          <cell r="G369">
            <v>0.2</v>
          </cell>
          <cell r="H369">
            <v>8.5000000000000006E-2</v>
          </cell>
          <cell r="I369">
            <v>6.8962600000000013E-2</v>
          </cell>
          <cell r="J369">
            <v>1</v>
          </cell>
        </row>
        <row r="370">
          <cell r="A370" t="str">
            <v>CPP-703</v>
          </cell>
          <cell r="B370">
            <v>1553</v>
          </cell>
          <cell r="C370" t="str">
            <v>BASECOAT POL. VERMELHO FLASH VW 97 900ML</v>
          </cell>
          <cell r="D370">
            <v>38.15</v>
          </cell>
          <cell r="E370">
            <v>900</v>
          </cell>
          <cell r="F370">
            <v>4.2388888888888886E-2</v>
          </cell>
          <cell r="G370">
            <v>0.2</v>
          </cell>
          <cell r="H370">
            <v>8.5000000000000006E-2</v>
          </cell>
          <cell r="I370">
            <v>5.5190333333333327E-2</v>
          </cell>
          <cell r="J370">
            <v>1</v>
          </cell>
        </row>
        <row r="371">
          <cell r="A371" t="str">
            <v>CPP-705</v>
          </cell>
          <cell r="B371">
            <v>1260</v>
          </cell>
          <cell r="C371" t="str">
            <v>BASECOAT POL. VERMELHO LUCIFER PER PEUG 95</v>
          </cell>
          <cell r="D371">
            <v>59.47</v>
          </cell>
          <cell r="E371">
            <v>900</v>
          </cell>
          <cell r="F371">
            <v>6.6077777777777777E-2</v>
          </cell>
          <cell r="G371">
            <v>0.2</v>
          </cell>
          <cell r="H371">
            <v>8.5000000000000006E-2</v>
          </cell>
          <cell r="I371">
            <v>8.6033266666666663E-2</v>
          </cell>
          <cell r="J371">
            <v>1</v>
          </cell>
        </row>
        <row r="372">
          <cell r="A372" t="str">
            <v>CPP-708</v>
          </cell>
          <cell r="B372">
            <v>1261</v>
          </cell>
          <cell r="C372" t="str">
            <v>BASECOAT POL. VERMELHO LYRA GM 04</v>
          </cell>
          <cell r="D372">
            <v>37.76</v>
          </cell>
          <cell r="E372">
            <v>900</v>
          </cell>
          <cell r="F372">
            <v>4.1955555555555551E-2</v>
          </cell>
          <cell r="G372">
            <v>0.2</v>
          </cell>
          <cell r="H372">
            <v>8.5000000000000006E-2</v>
          </cell>
          <cell r="I372">
            <v>5.4626133333333333E-2</v>
          </cell>
          <cell r="J372">
            <v>1</v>
          </cell>
        </row>
        <row r="373">
          <cell r="A373" t="str">
            <v>CPP-330</v>
          </cell>
          <cell r="B373">
            <v>1552</v>
          </cell>
          <cell r="C373" t="str">
            <v>BASECOAT POL. PRATA ETOILLE MET. RENAULT 07 900ML</v>
          </cell>
          <cell r="D373">
            <v>28.25</v>
          </cell>
          <cell r="E373">
            <v>900</v>
          </cell>
          <cell r="F373">
            <v>3.138888888888889E-2</v>
          </cell>
          <cell r="G373">
            <v>0.2</v>
          </cell>
          <cell r="H373">
            <v>8.5000000000000006E-2</v>
          </cell>
          <cell r="I373">
            <v>4.0868333333333333E-2</v>
          </cell>
          <cell r="J373">
            <v>1</v>
          </cell>
        </row>
        <row r="374">
          <cell r="A374" t="str">
            <v>560</v>
          </cell>
          <cell r="B374">
            <v>1427</v>
          </cell>
          <cell r="C374" t="str">
            <v>CL560 BASE FOSQUEANTE 1LT - ACS</v>
          </cell>
          <cell r="D374">
            <v>48.94</v>
          </cell>
          <cell r="E374">
            <v>1030</v>
          </cell>
          <cell r="F374">
            <v>4.7514563106796116E-2</v>
          </cell>
          <cell r="G374">
            <v>0.2</v>
          </cell>
          <cell r="H374">
            <v>8.5000000000000006E-2</v>
          </cell>
          <cell r="I374">
            <v>6.1863961165048546E-2</v>
          </cell>
          <cell r="J374">
            <v>1</v>
          </cell>
        </row>
        <row r="375">
          <cell r="A375">
            <v>0</v>
          </cell>
          <cell r="C375" t="str">
            <v/>
          </cell>
          <cell r="D375" t="str">
            <v/>
          </cell>
          <cell r="F375" t="str">
            <v/>
          </cell>
          <cell r="G375">
            <v>0.2</v>
          </cell>
          <cell r="H375">
            <v>8.5000000000000006E-2</v>
          </cell>
          <cell r="I375" t="str">
            <v/>
          </cell>
        </row>
        <row r="376">
          <cell r="A376">
            <v>0</v>
          </cell>
          <cell r="C376" t="str">
            <v/>
          </cell>
          <cell r="D376" t="str">
            <v/>
          </cell>
          <cell r="F376" t="str">
            <v/>
          </cell>
          <cell r="G376">
            <v>0.2</v>
          </cell>
          <cell r="H376">
            <v>8.5000000000000006E-2</v>
          </cell>
          <cell r="I376" t="str">
            <v/>
          </cell>
        </row>
        <row r="377">
          <cell r="A377">
            <v>0</v>
          </cell>
          <cell r="C377" t="str">
            <v/>
          </cell>
          <cell r="D377" t="str">
            <v/>
          </cell>
          <cell r="E377">
            <v>0</v>
          </cell>
          <cell r="F377" t="str">
            <v/>
          </cell>
          <cell r="G377">
            <v>0.2</v>
          </cell>
          <cell r="H377">
            <v>8.5000000000000006E-2</v>
          </cell>
          <cell r="I377" t="str">
            <v/>
          </cell>
        </row>
        <row r="378">
          <cell r="A378">
            <v>0</v>
          </cell>
          <cell r="C378" t="str">
            <v/>
          </cell>
          <cell r="D378" t="str">
            <v/>
          </cell>
          <cell r="F378" t="str">
            <v/>
          </cell>
          <cell r="G378">
            <v>0.2</v>
          </cell>
          <cell r="H378">
            <v>8.5000000000000006E-2</v>
          </cell>
          <cell r="I378" t="str">
            <v/>
          </cell>
        </row>
        <row r="379">
          <cell r="A379">
            <v>0</v>
          </cell>
          <cell r="C379" t="str">
            <v/>
          </cell>
          <cell r="D379" t="str">
            <v/>
          </cell>
          <cell r="F379" t="str">
            <v/>
          </cell>
          <cell r="G379">
            <v>0.2</v>
          </cell>
          <cell r="H379">
            <v>8.5000000000000006E-2</v>
          </cell>
          <cell r="I379" t="str">
            <v/>
          </cell>
        </row>
        <row r="380">
          <cell r="A380" t="str">
            <v>POTE 700</v>
          </cell>
          <cell r="C380" t="str">
            <v/>
          </cell>
          <cell r="D380" t="str">
            <v/>
          </cell>
          <cell r="E380">
            <v>1.1100000000000001</v>
          </cell>
          <cell r="F380">
            <v>1.1100000000000001</v>
          </cell>
          <cell r="G380">
            <v>0.2</v>
          </cell>
          <cell r="H380">
            <v>8.5000000000000006E-2</v>
          </cell>
          <cell r="I380">
            <v>1.4452200000000002</v>
          </cell>
        </row>
        <row r="381">
          <cell r="A381" t="str">
            <v>POTE 2200</v>
          </cell>
          <cell r="C381" t="str">
            <v/>
          </cell>
          <cell r="D381" t="str">
            <v/>
          </cell>
          <cell r="E381">
            <v>2.34</v>
          </cell>
          <cell r="F381">
            <v>2.34</v>
          </cell>
          <cell r="G381">
            <v>0.2</v>
          </cell>
          <cell r="H381">
            <v>8.5000000000000006E-2</v>
          </cell>
          <cell r="I381">
            <v>3.0466799999999998</v>
          </cell>
        </row>
        <row r="382">
          <cell r="A382" t="str">
            <v>POTE 3600</v>
          </cell>
          <cell r="C382" t="str">
            <v/>
          </cell>
          <cell r="D382" t="str">
            <v/>
          </cell>
          <cell r="E382">
            <v>2.97</v>
          </cell>
          <cell r="F382">
            <v>2.97</v>
          </cell>
          <cell r="G382">
            <v>0.2</v>
          </cell>
          <cell r="H382">
            <v>8.5000000000000006E-2</v>
          </cell>
          <cell r="I382">
            <v>3.86694</v>
          </cell>
        </row>
        <row r="383">
          <cell r="A383" t="str">
            <v>LATA 01LT</v>
          </cell>
          <cell r="B383">
            <v>136</v>
          </cell>
          <cell r="C383" t="str">
            <v/>
          </cell>
          <cell r="D383" t="str">
            <v/>
          </cell>
          <cell r="E383">
            <v>3.6</v>
          </cell>
          <cell r="F383">
            <v>3.6</v>
          </cell>
          <cell r="G383">
            <v>0.2</v>
          </cell>
          <cell r="H383">
            <v>8.5000000000000006E-2</v>
          </cell>
          <cell r="I383">
            <v>4.6872000000000007</v>
          </cell>
        </row>
        <row r="384">
          <cell r="A384" t="str">
            <v>LATA 3,6LT</v>
          </cell>
          <cell r="B384">
            <v>742</v>
          </cell>
          <cell r="C384" t="str">
            <v/>
          </cell>
          <cell r="D384" t="str">
            <v/>
          </cell>
          <cell r="E384">
            <v>8.8000000000000007</v>
          </cell>
          <cell r="F384">
            <v>8.8000000000000007</v>
          </cell>
          <cell r="G384">
            <v>0.2</v>
          </cell>
          <cell r="H384">
            <v>8.5000000000000006E-2</v>
          </cell>
          <cell r="I384">
            <v>11.457600000000001</v>
          </cell>
        </row>
        <row r="385">
          <cell r="A385" t="str">
            <v>REUTILIZADA</v>
          </cell>
          <cell r="C385" t="str">
            <v/>
          </cell>
          <cell r="D385" t="str">
            <v/>
          </cell>
          <cell r="E385">
            <v>0</v>
          </cell>
          <cell r="F385">
            <v>0</v>
          </cell>
          <cell r="G385">
            <v>0.2</v>
          </cell>
          <cell r="H385">
            <v>8.5000000000000006E-2</v>
          </cell>
          <cell r="I385">
            <v>0</v>
          </cell>
        </row>
      </sheetData>
      <sheetData sheetId="4">
        <row r="1">
          <cell r="A1">
            <v>607</v>
          </cell>
        </row>
        <row r="2">
          <cell r="A2">
            <v>606</v>
          </cell>
        </row>
        <row r="3">
          <cell r="A3">
            <v>608</v>
          </cell>
        </row>
        <row r="4">
          <cell r="A4">
            <v>609</v>
          </cell>
        </row>
        <row r="5">
          <cell r="A5">
            <v>707</v>
          </cell>
        </row>
        <row r="6">
          <cell r="A6">
            <v>720</v>
          </cell>
        </row>
        <row r="7">
          <cell r="A7">
            <v>722</v>
          </cell>
        </row>
        <row r="8">
          <cell r="A8">
            <v>341</v>
          </cell>
        </row>
        <row r="9">
          <cell r="A9">
            <v>342</v>
          </cell>
        </row>
        <row r="10">
          <cell r="A10">
            <v>343</v>
          </cell>
        </row>
        <row r="11">
          <cell r="A11">
            <v>351</v>
          </cell>
        </row>
        <row r="12">
          <cell r="A12">
            <v>420</v>
          </cell>
        </row>
        <row r="13">
          <cell r="A13">
            <v>421</v>
          </cell>
        </row>
        <row r="14">
          <cell r="A14" t="str">
            <v>CPP-501</v>
          </cell>
        </row>
        <row r="15">
          <cell r="A15" t="str">
            <v>CPP-102</v>
          </cell>
        </row>
        <row r="16">
          <cell r="A16" t="str">
            <v>CPP-104</v>
          </cell>
        </row>
        <row r="17">
          <cell r="A17" t="str">
            <v>CPP-318</v>
          </cell>
        </row>
        <row r="18">
          <cell r="A18" t="str">
            <v>CPP-326</v>
          </cell>
        </row>
        <row r="19">
          <cell r="A19" t="str">
            <v>CPP-327</v>
          </cell>
        </row>
        <row r="20">
          <cell r="A20" t="str">
            <v>CPP-203</v>
          </cell>
        </row>
        <row r="21">
          <cell r="A21" t="str">
            <v>CPP-701</v>
          </cell>
        </row>
        <row r="22">
          <cell r="A22" t="str">
            <v>CPP-703</v>
          </cell>
        </row>
        <row r="23">
          <cell r="A23" t="str">
            <v>CPP-705</v>
          </cell>
        </row>
        <row r="24">
          <cell r="A24" t="str">
            <v>CPP-708</v>
          </cell>
        </row>
        <row r="25">
          <cell r="A25" t="str">
            <v>CPP-330</v>
          </cell>
        </row>
        <row r="26">
          <cell r="A26" t="str">
            <v>SM100</v>
          </cell>
        </row>
        <row r="27">
          <cell r="A27">
            <v>511</v>
          </cell>
        </row>
        <row r="28">
          <cell r="A28">
            <v>512</v>
          </cell>
        </row>
        <row r="29">
          <cell r="A29">
            <v>517</v>
          </cell>
        </row>
        <row r="30">
          <cell r="A30">
            <v>639</v>
          </cell>
        </row>
        <row r="31">
          <cell r="A31">
            <v>759</v>
          </cell>
        </row>
        <row r="32">
          <cell r="A32" t="str">
            <v>207</v>
          </cell>
        </row>
        <row r="33">
          <cell r="A33" t="str">
            <v>BN01</v>
          </cell>
        </row>
        <row r="34">
          <cell r="A34" t="str">
            <v>BP06</v>
          </cell>
        </row>
        <row r="35">
          <cell r="A35" t="str">
            <v>BP01</v>
          </cell>
        </row>
        <row r="36">
          <cell r="A36">
            <v>600</v>
          </cell>
        </row>
        <row r="37">
          <cell r="A37" t="str">
            <v>T494</v>
          </cell>
        </row>
        <row r="38">
          <cell r="A38">
            <v>807</v>
          </cell>
        </row>
      </sheetData>
      <sheetData sheetId="5">
        <row r="5">
          <cell r="A5" t="str">
            <v>ENDEREÇE BANCO DE DADOS</v>
          </cell>
          <cell r="B5" t="str">
            <v>\\LABORATORIO\Users\Public\Documents\Modelo\Database\Database_OS.mdb</v>
          </cell>
        </row>
        <row r="6">
          <cell r="A6" t="str">
            <v>CARGA</v>
          </cell>
          <cell r="B6" t="str">
            <v>Visivel</v>
          </cell>
        </row>
        <row r="7">
          <cell r="A7" t="str">
            <v>MENSAGEM CARGA</v>
          </cell>
          <cell r="B7" t="str">
            <v>Visivel</v>
          </cell>
        </row>
        <row r="8">
          <cell r="A8" t="str">
            <v>GRAMAS FALTANDO</v>
          </cell>
          <cell r="B8" t="str">
            <v>Visivel</v>
          </cell>
        </row>
        <row r="9">
          <cell r="A9" t="str">
            <v>VALOR SUGERIDO</v>
          </cell>
          <cell r="B9" t="str">
            <v>Visivel</v>
          </cell>
        </row>
        <row r="10">
          <cell r="A10" t="str">
            <v>CONTADOR DE CHAPINHAS</v>
          </cell>
          <cell r="B10" t="str">
            <v>Visivel</v>
          </cell>
        </row>
        <row r="11">
          <cell r="A11" t="str">
            <v>TEMPO</v>
          </cell>
          <cell r="B11" t="str">
            <v>Visivel</v>
          </cell>
        </row>
        <row r="12">
          <cell r="A12" t="str">
            <v>VALOR MÃO DE OBRA</v>
          </cell>
          <cell r="B12" t="str">
            <v>Visivel</v>
          </cell>
        </row>
        <row r="13">
          <cell r="A13" t="str">
            <v>CUSTOS</v>
          </cell>
          <cell r="B13" t="str">
            <v>Visivel</v>
          </cell>
        </row>
        <row r="14">
          <cell r="A14" t="str">
            <v>VOLUME REAL</v>
          </cell>
          <cell r="B14" t="str">
            <v>Visivel</v>
          </cell>
        </row>
        <row r="15">
          <cell r="A15" t="str">
            <v>REPESAGEM</v>
          </cell>
          <cell r="B15" t="str">
            <v>Visivel</v>
          </cell>
        </row>
        <row r="16">
          <cell r="A16" t="str">
            <v>CONSUMO DE TINTAS</v>
          </cell>
          <cell r="B16" t="str">
            <v>Visivel</v>
          </cell>
        </row>
        <row r="17">
          <cell r="A17" t="str">
            <v>CONSUMO DE VERNIZ</v>
          </cell>
          <cell r="B17" t="str">
            <v>Visivel</v>
          </cell>
        </row>
        <row r="18">
          <cell r="A18" t="str">
            <v>REPOSIÇÃO DO DESPERDICIO</v>
          </cell>
          <cell r="B18" t="str">
            <v>Visivel</v>
          </cell>
        </row>
        <row r="19">
          <cell r="A19" t="str">
            <v>CONSUMO TINTA P/  CHAPINHA</v>
          </cell>
          <cell r="B19">
            <v>10</v>
          </cell>
        </row>
        <row r="20">
          <cell r="A20" t="str">
            <v>CONSUMO VERNIZ P/CHAPINHA</v>
          </cell>
          <cell r="B20">
            <v>5</v>
          </cell>
        </row>
        <row r="21">
          <cell r="A21" t="str">
            <v>BOTÕES DO CABEÇALHO</v>
          </cell>
          <cell r="B21" t="str">
            <v>Habilitado</v>
          </cell>
        </row>
        <row r="22">
          <cell r="A22" t="str">
            <v>EXIBIR BOTÃOS Limpar OS</v>
          </cell>
          <cell r="B22" t="str">
            <v>Visivel</v>
          </cell>
        </row>
        <row r="23">
          <cell r="A23" t="str">
            <v>EXIBIR BOTÃOS Os Antiga</v>
          </cell>
          <cell r="B23" t="str">
            <v>Visivel</v>
          </cell>
        </row>
        <row r="24">
          <cell r="A24" t="str">
            <v>EXIBIR BOTÃOS Fórmula</v>
          </cell>
          <cell r="B24" t="str">
            <v>Visivel</v>
          </cell>
        </row>
        <row r="25">
          <cell r="A25" t="str">
            <v>EXIBIR BOTÃOS Exibir Logs</v>
          </cell>
          <cell r="B25" t="str">
            <v>Visivel</v>
          </cell>
        </row>
        <row r="26">
          <cell r="A26" t="str">
            <v>EXIBIR BOTÃOS Observações</v>
          </cell>
          <cell r="B26" t="str">
            <v>Visivel</v>
          </cell>
        </row>
        <row r="27">
          <cell r="A27" t="str">
            <v>EXIBIR BOTÃOS Auditoria</v>
          </cell>
          <cell r="B27" t="str">
            <v>Visivel</v>
          </cell>
        </row>
        <row r="28">
          <cell r="A28" t="str">
            <v>EXIBIR BOTÃOS Colorista</v>
          </cell>
          <cell r="B28" t="str">
            <v>Visivel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47"/>
  <sheetViews>
    <sheetView showGridLines="0" tabSelected="1" topLeftCell="A16" zoomScale="90" zoomScaleNormal="90" workbookViewId="0">
      <selection activeCell="C10" sqref="C10:G10"/>
    </sheetView>
  </sheetViews>
  <sheetFormatPr defaultRowHeight="15"/>
  <cols>
    <col min="1" max="1" width="9.5703125" style="73" customWidth="1"/>
    <col min="2" max="2" width="9.140625" style="73"/>
    <col min="3" max="3" width="9" style="73" customWidth="1"/>
    <col min="4" max="4" width="8.140625" style="73" customWidth="1"/>
    <col min="5" max="5" width="10" style="73" customWidth="1"/>
    <col min="6" max="6" width="9.140625" style="73"/>
    <col min="7" max="7" width="9.140625" style="73" customWidth="1"/>
    <col min="8" max="8" width="17.7109375" style="73" bestFit="1" customWidth="1"/>
    <col min="9" max="9" width="14.140625" style="73" customWidth="1"/>
    <col min="10" max="10" width="9.140625" style="90" customWidth="1"/>
    <col min="11" max="16384" width="9.140625" style="73"/>
  </cols>
  <sheetData>
    <row r="1" spans="1:15" ht="67.5" customHeight="1">
      <c r="A1" s="65"/>
      <c r="B1" s="65"/>
      <c r="C1" s="213"/>
      <c r="D1" s="214"/>
      <c r="E1" s="214"/>
      <c r="F1" s="214"/>
      <c r="G1" s="214"/>
      <c r="H1" s="131" t="s">
        <v>51</v>
      </c>
      <c r="I1" s="132" t="s">
        <v>52</v>
      </c>
      <c r="J1" s="126" t="s">
        <v>131</v>
      </c>
      <c r="K1" s="127"/>
      <c r="L1" s="1"/>
    </row>
    <row r="2" spans="1:15" ht="17.25" customHeight="1" thickBot="1">
      <c r="A2" s="66"/>
      <c r="B2" s="66"/>
      <c r="C2" s="215"/>
      <c r="D2" s="216"/>
      <c r="E2" s="216"/>
      <c r="F2" s="216"/>
      <c r="G2" s="216"/>
      <c r="H2" s="125"/>
      <c r="I2" s="136" t="str">
        <f>IF(Config!B9="Visivel",IF(ISERROR(SUM(I3/I4)-1),"",SUM(I3/I4)-1),"")</f>
        <v/>
      </c>
      <c r="J2" s="128" t="str">
        <f>IF(Config!B9="Visivel","Markup","")</f>
        <v>Markup</v>
      </c>
      <c r="K2" s="129"/>
    </row>
    <row r="3" spans="1:15" ht="18" customHeight="1" thickBot="1">
      <c r="A3" s="111" t="s">
        <v>38</v>
      </c>
      <c r="B3" s="112" t="s">
        <v>37</v>
      </c>
      <c r="C3" s="215"/>
      <c r="D3" s="216"/>
      <c r="E3" s="216"/>
      <c r="F3" s="216"/>
      <c r="G3" s="216"/>
      <c r="H3" s="137"/>
      <c r="I3" s="133">
        <f>IF(Config!B9="Visivel",IF(ISERROR(SUM(H3*C14)/1000),"",SUM(H3*C14)/1000),"")</f>
        <v>0</v>
      </c>
      <c r="J3" s="130" t="str">
        <f>IF(Config!B9="Visivel","Preço de Venda","")</f>
        <v>Preço de Venda</v>
      </c>
      <c r="K3" s="127"/>
    </row>
    <row r="4" spans="1:15" ht="19.5" customHeight="1" thickBot="1">
      <c r="A4" s="217"/>
      <c r="B4" s="218"/>
      <c r="C4" s="219"/>
      <c r="D4" s="220"/>
      <c r="E4" s="221"/>
      <c r="F4" s="229">
        <v>1129</v>
      </c>
      <c r="G4" s="230"/>
      <c r="H4" s="134" t="str">
        <f>IF(Config!B9="Visivel",IF(ISERROR(SUM(I4/C14)*1000),"",SUM(I4/C14)*1000),"")</f>
        <v/>
      </c>
      <c r="I4" s="135">
        <f>IF(Config!B9="Visivel",Dados!C37,"")</f>
        <v>0</v>
      </c>
      <c r="J4" s="130" t="str">
        <f>IF(Config!B9="Visivel","Preco de custo","")</f>
        <v>Preco de custo</v>
      </c>
      <c r="K4" s="127"/>
      <c r="O4" s="67"/>
    </row>
    <row r="5" spans="1:15" ht="17.25" customHeight="1" thickBot="1">
      <c r="A5" s="196" t="s">
        <v>20</v>
      </c>
      <c r="B5" s="224"/>
      <c r="C5" s="225" t="s">
        <v>130</v>
      </c>
      <c r="D5" s="226"/>
      <c r="E5" s="54" t="s">
        <v>98</v>
      </c>
      <c r="F5" s="222" t="s">
        <v>349</v>
      </c>
      <c r="G5" s="222"/>
      <c r="H5" s="110" t="str">
        <f>IF(Config!B6="Visivel","CHAPINHAS PINTADAS","")</f>
        <v>CHAPINHAS PINTADAS</v>
      </c>
      <c r="I5" s="113">
        <f>IF(Config!B6="Visivel",Dados!F6,"")</f>
        <v>10</v>
      </c>
      <c r="J5" s="104"/>
      <c r="K5" s="106"/>
      <c r="L5" s="1"/>
    </row>
    <row r="6" spans="1:15" ht="15" customHeight="1" thickBot="1">
      <c r="A6" s="227" t="s">
        <v>0</v>
      </c>
      <c r="B6" s="228"/>
      <c r="C6" s="151"/>
      <c r="D6" s="152"/>
      <c r="E6" s="152"/>
      <c r="F6" s="152"/>
      <c r="G6" s="153"/>
      <c r="H6" s="109" t="str">
        <f>IF(Config!B12="Visivel","CONSUMO DE TINTA","")</f>
        <v>CONSUMO DE TINTA</v>
      </c>
      <c r="I6" s="120" t="str">
        <f>IF(Config!B12="Visivel",CONCATENATE(Dados!F9," ","ml"),"")</f>
        <v>100 ml</v>
      </c>
      <c r="J6" s="104"/>
      <c r="K6" s="106"/>
      <c r="L6" s="1"/>
    </row>
    <row r="7" spans="1:15" ht="15.75" thickBot="1">
      <c r="A7" s="196" t="s">
        <v>1</v>
      </c>
      <c r="B7" s="197"/>
      <c r="C7" s="148"/>
      <c r="D7" s="149"/>
      <c r="E7" s="149"/>
      <c r="F7" s="149"/>
      <c r="G7" s="150"/>
      <c r="H7" s="109" t="str">
        <f>IF(Config!B13="Visivel","CONSUMO DE VERNIZ","")</f>
        <v>CONSUMO DE VERNIZ</v>
      </c>
      <c r="I7" s="120" t="str">
        <f>IF(Config!B13="Visivel",CONCATENATE(Dados!F12," ","ml"),"")</f>
        <v>50 ml</v>
      </c>
      <c r="J7" s="104"/>
      <c r="K7" s="106"/>
      <c r="L7" s="1"/>
      <c r="N7" s="21"/>
    </row>
    <row r="8" spans="1:15" ht="16.5" thickBot="1">
      <c r="A8" s="196" t="s">
        <v>2</v>
      </c>
      <c r="B8" s="197"/>
      <c r="C8" s="172"/>
      <c r="D8" s="173"/>
      <c r="E8" s="173"/>
      <c r="F8" s="173"/>
      <c r="G8" s="174"/>
      <c r="H8" s="109" t="str">
        <f>IF(Config!B14="Visivel","RESINA REPOSIÇÃO","")</f>
        <v>RESINA REPOSIÇÃO</v>
      </c>
      <c r="I8" s="121" t="str">
        <f>IF(Config!B14="Visivel",CONCATENATE(Dados!F15," ","gr"),"")</f>
        <v>90 gr</v>
      </c>
      <c r="J8" s="104" t="s">
        <v>48</v>
      </c>
      <c r="K8" s="106"/>
      <c r="L8" s="1"/>
      <c r="N8" s="21"/>
    </row>
    <row r="9" spans="1:15" ht="16.5" thickBot="1">
      <c r="A9" s="227" t="s">
        <v>56</v>
      </c>
      <c r="B9" s="228"/>
      <c r="C9" s="154"/>
      <c r="D9" s="155"/>
      <c r="E9" s="155"/>
      <c r="F9" s="155"/>
      <c r="G9" s="156"/>
      <c r="H9" s="170" t="str">
        <f>IF(Config!B2="Visivel",IF(C13="Deltron® BC","DILUIÇÃO",IF(C13="Deltron® DG","DILUIÇÃO",IF(C13="Deltron® Tricoat (Base)","DILUIÇÃO",IF(C13="Deltron® Tricoat (Efeito)","DILUIÇÃO",IF(C13="Envirobase® Solido","DILUIÇÃO",IF(C13="Envirobase® Metalico","DILUIÇÃO","CARGA")))))),"")</f>
        <v>CARGA</v>
      </c>
      <c r="I9" s="171"/>
      <c r="J9" s="103"/>
      <c r="K9" s="106"/>
      <c r="L9" s="1"/>
      <c r="N9" s="21"/>
    </row>
    <row r="10" spans="1:15" s="74" customFormat="1" ht="24.95" customHeight="1" thickBot="1">
      <c r="A10" s="211" t="s">
        <v>3</v>
      </c>
      <c r="B10" s="223"/>
      <c r="C10" s="231"/>
      <c r="D10" s="232"/>
      <c r="E10" s="232"/>
      <c r="F10" s="232"/>
      <c r="G10" s="233"/>
      <c r="H10" s="71" t="str">
        <f ca="1">IF(Config!B2="Visivel",IF(ISERROR(IF(C13="Deltron® BC",Dados!L81,IF(C13="Deltron® DG",Dados!L81,IF(C13="Deltron® Tricoat (Base)",Dados!L81,IF(C13="Deltron® Tricoat (Efeito)",Dados!L81,IF(C13="Envirobase® Solido",Dados!L83,IF(C13="Envirobase® Metalico",Dados!L84,Dados!L82))))))),"",IF(C13="Deltron® BC",Dados!L81,IF(C13="Deltron® DG",Dados!L81,IF(C13="Deltron® Tricoat (Base)",Dados!L81,IF(C13="Deltron® Tricoat (Efeito)",Dados!L81,IF(C13="Envirobase® Solido",Dados!L83,IF(C13="Envirobase® Metalico",Dados!L84,Dados!L82))))))),"")</f>
        <v/>
      </c>
      <c r="I10" s="114" t="str">
        <f>IF(Config!B2="Visivel",(IF(C13="Deltron® BC","Gramas",IF(C13="Deltron® DG","Gramas",IF(C13="Deltron® Tricoat (Base)","Gramas",IF(C13="Deltron® Tricoat (Efeito)","Gramas",IF(C13="Envirobase® Solido","Gramas",IF(C13="Envirobase® Metalico","Gramas","Gramas /LT"))))))),"")</f>
        <v>Gramas /LT</v>
      </c>
      <c r="J10" s="105"/>
      <c r="K10" s="107"/>
      <c r="L10" s="2"/>
      <c r="N10" s="21"/>
    </row>
    <row r="11" spans="1:15" s="74" customFormat="1" ht="15.75" customHeight="1" thickBot="1">
      <c r="A11" s="211" t="s">
        <v>14</v>
      </c>
      <c r="B11" s="223"/>
      <c r="C11" s="175"/>
      <c r="D11" s="176"/>
      <c r="E11" s="176"/>
      <c r="F11" s="176"/>
      <c r="G11" s="177"/>
      <c r="H11" s="178" t="b">
        <f>IF(Config!B3="Visivel",IF(ISERROR(IF(Dados!F3=0,VLOOKUP(J11,Dados!J68:K72,2,0),IF(Dados!F3=1,VLOOKUP(J11,Dados!J74:K78,2,0))))," ",IF(Dados!F3=0,VLOOKUP(J11,Dados!J68:K72,2,0),IF(Dados!F3=1,VLOOKUP(J11,Dados!J74:K78,2,0)))),"")</f>
        <v>0</v>
      </c>
      <c r="I11" s="179"/>
      <c r="J11" s="105" t="str">
        <f>IF(ISERROR(IF(C13="Envirobase® Solido",2,IF(C13="Envirobase® Metalico",2,VLOOKUP(C9,Dados!A68:H84,8,FALSE)))),"",IF(C13="Envirobase® Solido",2,IF(C13="Envirobase® Metalico",2,VLOOKUP(C9,Dados!A68:H84,8,FALSE))))</f>
        <v/>
      </c>
      <c r="K11" s="108"/>
      <c r="L11" s="2"/>
      <c r="N11" s="21"/>
    </row>
    <row r="12" spans="1:15" s="74" customFormat="1" ht="15.75" customHeight="1" thickBot="1">
      <c r="A12" s="211" t="s">
        <v>87</v>
      </c>
      <c r="B12" s="212"/>
      <c r="C12" s="175"/>
      <c r="D12" s="176"/>
      <c r="E12" s="176"/>
      <c r="F12" s="176"/>
      <c r="G12" s="177"/>
      <c r="H12" s="180"/>
      <c r="I12" s="181"/>
      <c r="J12" s="105"/>
      <c r="K12" s="108"/>
      <c r="L12" s="2"/>
      <c r="N12" s="21"/>
    </row>
    <row r="13" spans="1:15" ht="15.75" customHeight="1" thickBot="1">
      <c r="A13" s="196" t="s">
        <v>15</v>
      </c>
      <c r="B13" s="197"/>
      <c r="C13" s="208"/>
      <c r="D13" s="209"/>
      <c r="E13" s="209"/>
      <c r="F13" s="209"/>
      <c r="G13" s="210"/>
      <c r="H13" s="92" t="str">
        <f>IF(Config!B4="Visivel",IF(J11=0,"Faltam",IF(J11=1,"Faltam",IF(J11=2," ",IF(J11=3,"Excedeu",IF(J11=4,"Excedeu",""))))),"")</f>
        <v/>
      </c>
      <c r="I13" s="115" t="str">
        <f>IF(Config!B4="Visivel",IF(H13=" "," ",CONCATENATE(ROUND(SUM(Dados!K65/1000)*'Ordem de Serviço'!C14,1)," ","Gramas")),"")</f>
        <v>0 Gramas</v>
      </c>
      <c r="J13" s="104"/>
      <c r="K13" s="106"/>
      <c r="L13" s="1"/>
      <c r="N13" s="21"/>
    </row>
    <row r="14" spans="1:15" ht="15.75" customHeight="1" thickBot="1">
      <c r="A14" s="196" t="s">
        <v>4</v>
      </c>
      <c r="B14" s="197"/>
      <c r="C14" s="207"/>
      <c r="D14" s="207"/>
      <c r="E14" s="122" t="s">
        <v>48</v>
      </c>
      <c r="F14" s="123">
        <f>IF(Config!B10="Visivel",SUM(Dados!G4:G29),"")</f>
        <v>0</v>
      </c>
      <c r="G14" s="124" t="str">
        <f>IF(Config!B10="Visivel","MLS","")</f>
        <v>MLS</v>
      </c>
      <c r="H14" s="160" t="str">
        <f>IF(Config!B5="Visivel","VALOR SUGERIDO LT","")</f>
        <v>VALOR SUGERIDO LT</v>
      </c>
      <c r="I14" s="161"/>
      <c r="J14" s="104"/>
      <c r="K14" s="106"/>
      <c r="L14" s="1"/>
      <c r="N14" s="21"/>
    </row>
    <row r="15" spans="1:15" ht="15.75" customHeight="1" thickBot="1">
      <c r="A15" s="196" t="s">
        <v>108</v>
      </c>
      <c r="B15" s="197"/>
      <c r="C15" s="201"/>
      <c r="D15" s="201"/>
      <c r="E15" s="201"/>
      <c r="F15" s="201"/>
      <c r="G15" s="202"/>
      <c r="H15" s="162" t="str">
        <f>IF(Config!B5="Visivel",IF(ISERROR(SUM(Dados!D4/C14)*1000),"",SUM(Dados!D4/C14)*1000),"")</f>
        <v/>
      </c>
      <c r="I15" s="163"/>
      <c r="J15" s="104"/>
      <c r="K15" s="106"/>
      <c r="L15" s="1"/>
      <c r="N15" s="21"/>
    </row>
    <row r="16" spans="1:15" ht="15.75" customHeight="1" thickBot="1">
      <c r="A16" s="203" t="s">
        <v>9</v>
      </c>
      <c r="B16" s="204"/>
      <c r="C16" s="141" t="str">
        <f>Emb_Qnt1</f>
        <v/>
      </c>
      <c r="D16" s="157" t="str">
        <f>Emb_Emb1</f>
        <v/>
      </c>
      <c r="E16" s="158"/>
      <c r="F16" s="158"/>
      <c r="G16" s="159"/>
      <c r="H16" s="166" t="s">
        <v>5</v>
      </c>
      <c r="I16" s="167"/>
      <c r="J16" s="188"/>
      <c r="K16" s="106" t="str">
        <f>IF($C$8="","",IF(Dados!$J$3="Plástico",IF(AND('Ordem de Serviço'!$C$14&gt;0,'Ordem de Serviço'!$C$14&lt;=700),"",IF(AND('Ordem de Serviço'!$C$14&gt;700,'Ordem de Serviço'!$C$14&lt;=2200),"",IF(AND('Ordem de Serviço'!$C$14&gt;2200,'Ordem de Serviço'!$C$14&lt;=3600),"",IF(AND('Ordem de Serviço'!$C$14&gt;3600,'Ordem de Serviço'!$C$14&lt;=4400),"",IF(AND('Ordem de Serviço'!$C$14&gt;4400,'Ordem de Serviço'!$C$14&lt;=7200),"",IF(AND('Ordem de Serviço'!$C$14&gt;7200,'Ordem de Serviço'!$C$14&lt;=9400),"1",IF(AND('Ordem de Serviço'!$C$14&gt;9400,'Ordem de Serviço'!$C$14&lt;=10800),"",""))))))),IF(Dados!$J$3="Metal",IF(AND('Ordem de Serviço'!$C$14&gt;0,'Ordem de Serviço'!$C$14&lt;=1000),"",IF(AND('Ordem de Serviço'!$C$14&gt;1000,'Ordem de Serviço'!$C$14&lt;=3600),"",IF(AND('Ordem de Serviço'!$C$14&gt;3600,'Ordem de Serviço'!$C$14&lt;=4600),"1",IF(AND('Ordem de Serviço'!$C$14&gt;4600,'Ordem de Serviço'!$C$14&lt;=7200),"",IF(AND('Ordem de Serviço'!$C$14&gt;7200,'Ordem de Serviço'!$C$14&lt;=8200),"1",IF(AND('Ordem de Serviço'!$C$14&gt;8200,'Ordem de Serviço'!$C$14&lt;=10800),"","")))))))))</f>
        <v/>
      </c>
      <c r="L16" s="1"/>
    </row>
    <row r="17" spans="1:15" ht="15.75" customHeight="1" thickBot="1">
      <c r="A17" s="205" t="s">
        <v>120</v>
      </c>
      <c r="B17" s="206"/>
      <c r="C17" s="142" t="str">
        <f>Emb_Qnt2</f>
        <v/>
      </c>
      <c r="D17" s="157" t="str">
        <f>Emb_Emb2</f>
        <v/>
      </c>
      <c r="E17" s="158"/>
      <c r="F17" s="158"/>
      <c r="G17" s="159"/>
      <c r="H17" s="168"/>
      <c r="I17" s="169"/>
      <c r="J17" s="189"/>
      <c r="K17" s="106"/>
      <c r="L17" s="1"/>
    </row>
    <row r="18" spans="1:15" ht="19.5" thickBot="1">
      <c r="A18" s="198" t="str">
        <f>IF(Config!B7="Visivel","Tempo","")</f>
        <v>Tempo</v>
      </c>
      <c r="B18" s="199"/>
      <c r="C18" s="199"/>
      <c r="D18" s="193">
        <f>IF(Config!B7="Visivel",Tempo!D2,"")</f>
        <v>8.0636574071832001E-2</v>
      </c>
      <c r="E18" s="193"/>
      <c r="F18" s="195">
        <f>IF(Config!B8="Visivel",Tempo!D3,"")</f>
        <v>60.961249998304993</v>
      </c>
      <c r="G18" s="195"/>
      <c r="H18" s="164"/>
      <c r="I18" s="165"/>
      <c r="J18" s="91"/>
      <c r="K18" s="106"/>
      <c r="L18" s="1"/>
    </row>
    <row r="19" spans="1:15" ht="36.75" customHeight="1" thickBot="1">
      <c r="A19" s="200" t="s">
        <v>6</v>
      </c>
      <c r="B19" s="194"/>
      <c r="C19" s="194" t="s">
        <v>50</v>
      </c>
      <c r="D19" s="194"/>
      <c r="E19" s="194"/>
      <c r="F19" s="194"/>
      <c r="G19" s="194"/>
      <c r="H19" s="146" t="s">
        <v>7</v>
      </c>
      <c r="I19" s="147"/>
      <c r="J19" s="104"/>
      <c r="K19" s="106"/>
      <c r="L19" s="1"/>
      <c r="N19" s="75"/>
      <c r="O19" s="75"/>
    </row>
    <row r="20" spans="1:15">
      <c r="A20" s="185"/>
      <c r="B20" s="185"/>
      <c r="C20" s="143"/>
      <c r="D20" s="143"/>
      <c r="E20" s="143"/>
      <c r="F20" s="143"/>
      <c r="G20" s="143"/>
      <c r="H20" s="118" t="str">
        <f>IF(Config!B11="Visivel",IF(OR($H$18="",$H$18=0),"",IF(A20=0,"",A20)),"")</f>
        <v/>
      </c>
      <c r="I20" s="88" t="str">
        <f>IF(Config!B11="Visivel",IF(ISERROR(SUM(SUM(C20:G20)/$C$14)*$H$18),"",SUM(SUM(C20:G20)/$C$14)*$H$18),"")</f>
        <v/>
      </c>
      <c r="J20" s="104">
        <f t="shared" ref="J20:J45" si="0">SUM(C20:F20)</f>
        <v>0</v>
      </c>
      <c r="K20" s="106">
        <f>IF(Dados!C4="",0,1)</f>
        <v>0</v>
      </c>
      <c r="L20" s="9"/>
    </row>
    <row r="21" spans="1:15">
      <c r="A21" s="185"/>
      <c r="B21" s="185"/>
      <c r="C21" s="143"/>
      <c r="D21" s="143"/>
      <c r="E21" s="143"/>
      <c r="F21" s="143"/>
      <c r="G21" s="143"/>
      <c r="H21" s="119" t="str">
        <f>IF(Config!B11="Visivel",IF(OR($H$18="",$H$18=0),"",IF(A21=0,"",A21)),"")</f>
        <v/>
      </c>
      <c r="I21" s="86" t="str">
        <f>IF(Config!B11="Visivel",IF(ISERROR(SUM(SUM(C21:G21)/$C$14)*$H$18),"",SUM(SUM(C21:G21)/$C$14)*$H$18),"")</f>
        <v/>
      </c>
      <c r="J21" s="104">
        <f t="shared" si="0"/>
        <v>0</v>
      </c>
      <c r="K21" s="106">
        <f>IF(Dados!C5="",0,1)</f>
        <v>0</v>
      </c>
      <c r="L21" s="9"/>
    </row>
    <row r="22" spans="1:15">
      <c r="A22" s="186"/>
      <c r="B22" s="187"/>
      <c r="C22" s="143"/>
      <c r="D22" s="143"/>
      <c r="E22" s="143"/>
      <c r="F22" s="143"/>
      <c r="G22" s="143"/>
      <c r="H22" s="119" t="str">
        <f>IF(Config!B11="Visivel",IF(OR($H$18="",$H$18=0),"",IF(A22=0,"",A22)),"")</f>
        <v/>
      </c>
      <c r="I22" s="86" t="str">
        <f>IF(Config!B11="Visivel",IF(ISERROR(SUM(SUM(C22:G22)/$C$14)*$H$18),"",SUM(SUM(C22:G22)/$C$14)*$H$18),"")</f>
        <v/>
      </c>
      <c r="J22" s="104">
        <f t="shared" si="0"/>
        <v>0</v>
      </c>
      <c r="K22" s="106">
        <f>IF(Dados!C6="",0,1)</f>
        <v>0</v>
      </c>
      <c r="L22" s="9"/>
    </row>
    <row r="23" spans="1:15">
      <c r="A23" s="186"/>
      <c r="B23" s="187"/>
      <c r="C23" s="143"/>
      <c r="D23" s="143"/>
      <c r="E23" s="143"/>
      <c r="F23" s="143"/>
      <c r="G23" s="143"/>
      <c r="H23" s="119" t="str">
        <f>IF(Config!B11="Visivel",IF(OR($H$18="",$H$18=0),"",IF(A23=0,"",A23)),"")</f>
        <v/>
      </c>
      <c r="I23" s="86" t="str">
        <f>IF(Config!B11="Visivel",IF(ISERROR(SUM(SUM(C23:G23)/$C$14)*$H$18),"",SUM(SUM(C23:G23)/$C$14)*$H$18),"")</f>
        <v/>
      </c>
      <c r="J23" s="104">
        <f t="shared" si="0"/>
        <v>0</v>
      </c>
      <c r="K23" s="106">
        <f>IF(Dados!C7="",0,1)</f>
        <v>0</v>
      </c>
      <c r="L23" s="9"/>
    </row>
    <row r="24" spans="1:15">
      <c r="A24" s="186"/>
      <c r="B24" s="187"/>
      <c r="C24" s="143"/>
      <c r="D24" s="143"/>
      <c r="E24" s="143"/>
      <c r="F24" s="143"/>
      <c r="G24" s="143"/>
      <c r="H24" s="119" t="str">
        <f>IF(Config!B11="Visivel",IF(OR($H$18="",$H$18=0),"",IF(A24=0,"",A24)),"")</f>
        <v/>
      </c>
      <c r="I24" s="86" t="str">
        <f>IF(Config!B11="Visivel",IF(ISERROR(SUM(SUM(C24:G24)/$C$14)*$H$18),"",SUM(SUM(C24:G24)/$C$14)*$H$18),"")</f>
        <v/>
      </c>
      <c r="J24" s="104">
        <f t="shared" si="0"/>
        <v>0</v>
      </c>
      <c r="K24" s="106">
        <f>IF(Dados!C8="",0,1)</f>
        <v>0</v>
      </c>
      <c r="L24" s="9"/>
    </row>
    <row r="25" spans="1:15">
      <c r="A25" s="186"/>
      <c r="B25" s="187"/>
      <c r="C25" s="143"/>
      <c r="D25" s="143"/>
      <c r="E25" s="143"/>
      <c r="F25" s="143"/>
      <c r="G25" s="143"/>
      <c r="H25" s="119" t="str">
        <f>IF(Config!B11="Visivel",IF(OR($H$18="",$H$18=0),"",IF(A25=0,"",A25)),"")</f>
        <v/>
      </c>
      <c r="I25" s="86" t="str">
        <f>IF(Config!B11="Visivel",IF(ISERROR(SUM(SUM(C25:G25)/$C$14)*$H$18),"",SUM(SUM(C25:G25)/$C$14)*$H$18),"")</f>
        <v/>
      </c>
      <c r="J25" s="104">
        <f t="shared" si="0"/>
        <v>0</v>
      </c>
      <c r="K25" s="106">
        <f>IF(Dados!C9="",0,1)</f>
        <v>0</v>
      </c>
      <c r="L25" s="9"/>
    </row>
    <row r="26" spans="1:15">
      <c r="A26" s="186"/>
      <c r="B26" s="187"/>
      <c r="C26" s="143"/>
      <c r="D26" s="143"/>
      <c r="E26" s="143"/>
      <c r="F26" s="143"/>
      <c r="G26" s="143"/>
      <c r="H26" s="119" t="str">
        <f>IF(Config!B11="Visivel",IF(OR($H$18="",$H$18=0),"",IF(A26=0,"",A26)),"")</f>
        <v/>
      </c>
      <c r="I26" s="86" t="str">
        <f>IF(Config!B11="Visivel",IF(ISERROR(SUM(SUM(C26:G26)/$C$14)*$H$18),"",SUM(SUM(C26:G26)/$C$14)*$H$18),"")</f>
        <v/>
      </c>
      <c r="J26" s="104">
        <f t="shared" si="0"/>
        <v>0</v>
      </c>
      <c r="K26" s="106">
        <f>IF(Dados!C10="",0,1)</f>
        <v>0</v>
      </c>
      <c r="L26" s="9"/>
    </row>
    <row r="27" spans="1:15">
      <c r="A27" s="186"/>
      <c r="B27" s="187"/>
      <c r="C27" s="143"/>
      <c r="D27" s="143"/>
      <c r="E27" s="143"/>
      <c r="F27" s="143"/>
      <c r="G27" s="143"/>
      <c r="H27" s="119" t="str">
        <f>IF(Config!B11="Visivel",IF(OR($H$18="",$H$18=0),"",IF(A27=0,"",A27)),"")</f>
        <v/>
      </c>
      <c r="I27" s="86" t="str">
        <f>IF(Config!B11="Visivel",IF(ISERROR(SUM(SUM(C27:G27)/$C$14)*$H$18),"",SUM(SUM(C27:G27)/$C$14)*$H$18),"")</f>
        <v/>
      </c>
      <c r="J27" s="104">
        <f t="shared" si="0"/>
        <v>0</v>
      </c>
      <c r="K27" s="106">
        <f>IF(Dados!C11="",0,1)</f>
        <v>0</v>
      </c>
      <c r="L27" s="9"/>
    </row>
    <row r="28" spans="1:15">
      <c r="A28" s="186"/>
      <c r="B28" s="187"/>
      <c r="C28" s="143"/>
      <c r="D28" s="143"/>
      <c r="E28" s="143"/>
      <c r="F28" s="143"/>
      <c r="G28" s="143"/>
      <c r="H28" s="119" t="str">
        <f>IF(Config!B11="Visivel",IF(OR($H$18="",$H$18=0),"",IF(A28=0,"",A28)),"")</f>
        <v/>
      </c>
      <c r="I28" s="86" t="str">
        <f>IF(Config!B11="Visivel",IF(ISERROR(SUM(SUM(C28:G28)/$C$14)*$H$18),"",SUM(SUM(C28:G28)/$C$14)*$H$18),"")</f>
        <v/>
      </c>
      <c r="J28" s="104">
        <f t="shared" si="0"/>
        <v>0</v>
      </c>
      <c r="K28" s="106">
        <f>IF(Dados!C12="",0,1)</f>
        <v>0</v>
      </c>
      <c r="L28" s="9"/>
    </row>
    <row r="29" spans="1:15">
      <c r="A29" s="186"/>
      <c r="B29" s="187"/>
      <c r="C29" s="143"/>
      <c r="D29" s="143"/>
      <c r="E29" s="143"/>
      <c r="F29" s="143"/>
      <c r="G29" s="143"/>
      <c r="H29" s="119" t="str">
        <f>IF(Config!B11="Visivel",IF(OR($H$18="",$H$18=0),"",IF(A29=0,"",A29)),"")</f>
        <v/>
      </c>
      <c r="I29" s="86" t="str">
        <f>IF(Config!B11="Visivel",IF(ISERROR(SUM(SUM(C29:G29)/$C$14)*$H$18),"",SUM(SUM(C29:G29)/$C$14)*$H$18),"")</f>
        <v/>
      </c>
      <c r="J29" s="104">
        <f t="shared" si="0"/>
        <v>0</v>
      </c>
      <c r="K29" s="106">
        <f>IF(Dados!C13="",0,1)</f>
        <v>0</v>
      </c>
      <c r="L29" s="9"/>
    </row>
    <row r="30" spans="1:15">
      <c r="A30" s="186"/>
      <c r="B30" s="187"/>
      <c r="C30" s="143"/>
      <c r="D30" s="143"/>
      <c r="E30" s="143"/>
      <c r="F30" s="143"/>
      <c r="G30" s="143"/>
      <c r="H30" s="119" t="str">
        <f>IF(Config!B11="Visivel",IF(OR($H$18="",$H$18=0),"",IF(A30=0,"",A30)),"")</f>
        <v/>
      </c>
      <c r="I30" s="86" t="str">
        <f>IF(Config!B11="Visivel",IF(ISERROR(SUM(SUM(C30:G30)/$C$14)*$H$18),"",SUM(SUM(C30:G30)/$C$14)*$H$18),"")</f>
        <v/>
      </c>
      <c r="J30" s="104">
        <f t="shared" si="0"/>
        <v>0</v>
      </c>
      <c r="K30" s="106">
        <f>IF(Dados!C14="",0,1)</f>
        <v>0</v>
      </c>
      <c r="L30" s="9"/>
    </row>
    <row r="31" spans="1:15">
      <c r="A31" s="186"/>
      <c r="B31" s="187"/>
      <c r="C31" s="143"/>
      <c r="D31" s="143"/>
      <c r="E31" s="143"/>
      <c r="F31" s="143"/>
      <c r="G31" s="143"/>
      <c r="H31" s="119" t="str">
        <f>IF(Config!B11="Visivel",IF(OR($H$18="",$H$18=0),"",IF(A31=0,"",A31)),"")</f>
        <v/>
      </c>
      <c r="I31" s="86" t="str">
        <f>IF(Config!B11="Visivel",IF(ISERROR(SUM(SUM(C31:G31)/$C$14)*$H$18),"",SUM(SUM(C31:G31)/$C$14)*$H$18),"")</f>
        <v/>
      </c>
      <c r="J31" s="104">
        <f t="shared" si="0"/>
        <v>0</v>
      </c>
      <c r="K31" s="106">
        <f>IF(Dados!C15="",0,1)</f>
        <v>0</v>
      </c>
      <c r="L31" s="9"/>
    </row>
    <row r="32" spans="1:15">
      <c r="A32" s="186"/>
      <c r="B32" s="187"/>
      <c r="C32" s="143"/>
      <c r="D32" s="143"/>
      <c r="E32" s="143"/>
      <c r="F32" s="143"/>
      <c r="G32" s="143"/>
      <c r="H32" s="119" t="str">
        <f>IF(Config!B11="Visivel",IF(OR($H$18="",$H$18=0),"",IF(A32=0,"",A32)),"")</f>
        <v/>
      </c>
      <c r="I32" s="86" t="str">
        <f>IF(Config!B11="Visivel",IF(ISERROR(SUM(SUM(C32:G32)/$C$14)*$H$18),"",SUM(SUM(C32:G32)/$C$14)*$H$18),"")</f>
        <v/>
      </c>
      <c r="J32" s="104">
        <f t="shared" si="0"/>
        <v>0</v>
      </c>
      <c r="K32" s="106">
        <f>IF(Dados!C16="",0,1)</f>
        <v>0</v>
      </c>
      <c r="L32" s="9"/>
    </row>
    <row r="33" spans="1:12">
      <c r="A33" s="186"/>
      <c r="B33" s="187"/>
      <c r="C33" s="143"/>
      <c r="D33" s="143"/>
      <c r="E33" s="143"/>
      <c r="F33" s="143"/>
      <c r="G33" s="143"/>
      <c r="H33" s="119" t="str">
        <f>IF(Config!B11="Visivel",IF(OR($H$18="",$H$18=0),"",IF(A33=0,"",A33)),"")</f>
        <v/>
      </c>
      <c r="I33" s="86" t="str">
        <f>IF(Config!B11="Visivel",IF(ISERROR(SUM(SUM(C33:G33)/$C$14)*$H$18),"",SUM(SUM(C33:G33)/$C$14)*$H$18),"")</f>
        <v/>
      </c>
      <c r="J33" s="104">
        <f t="shared" si="0"/>
        <v>0</v>
      </c>
      <c r="K33" s="106">
        <f>IF(Dados!C17="",0,1)</f>
        <v>0</v>
      </c>
      <c r="L33" s="9"/>
    </row>
    <row r="34" spans="1:12">
      <c r="A34" s="186"/>
      <c r="B34" s="187"/>
      <c r="C34" s="143"/>
      <c r="D34" s="143"/>
      <c r="E34" s="143"/>
      <c r="F34" s="143"/>
      <c r="G34" s="143"/>
      <c r="H34" s="119" t="str">
        <f>IF(Config!B11="Visivel",IF(OR($H$18="",$H$18=0),"",IF(A34=0,"",A34)),"")</f>
        <v/>
      </c>
      <c r="I34" s="86" t="str">
        <f>IF(Config!B11="Visivel",IF(ISERROR(SUM(SUM(C34:G34)/$C$14)*$H$18),"",SUM(SUM(C34:G34)/$C$14)*$H$18),"")</f>
        <v/>
      </c>
      <c r="J34" s="104">
        <f t="shared" si="0"/>
        <v>0</v>
      </c>
      <c r="K34" s="106">
        <f>IF(Dados!C18="",0,1)</f>
        <v>0</v>
      </c>
      <c r="L34" s="9"/>
    </row>
    <row r="35" spans="1:12">
      <c r="A35" s="190"/>
      <c r="B35" s="191"/>
      <c r="C35" s="190" t="s">
        <v>8</v>
      </c>
      <c r="D35" s="192"/>
      <c r="E35" s="192"/>
      <c r="F35" s="192"/>
      <c r="G35" s="191"/>
      <c r="H35" s="144"/>
      <c r="I35" s="145"/>
      <c r="J35" s="104"/>
      <c r="K35" s="106"/>
      <c r="L35" s="1"/>
    </row>
    <row r="36" spans="1:12">
      <c r="A36" s="185"/>
      <c r="B36" s="185"/>
      <c r="C36" s="143"/>
      <c r="D36" s="143"/>
      <c r="E36" s="143"/>
      <c r="F36" s="143"/>
      <c r="G36" s="143"/>
      <c r="H36" s="87" t="str">
        <f>IF(Config!B11="Visivel",IF(OR($H$18="",$H$18=0),"",IF(A36=0,"",A36)),"")</f>
        <v/>
      </c>
      <c r="I36" s="86" t="str">
        <f>IF(Config!B11="Visivel",IF(ISERROR(SUM(SUM(C36:H36)/$C$14)*$H$18),"",SUM(SUM(C36:H36)/$C$14)*$H$18),"")</f>
        <v/>
      </c>
      <c r="J36" s="104">
        <f t="shared" si="0"/>
        <v>0</v>
      </c>
      <c r="K36" s="106">
        <f>IF(Dados!C20="",0,1)</f>
        <v>0</v>
      </c>
      <c r="L36" s="9"/>
    </row>
    <row r="37" spans="1:12">
      <c r="A37" s="185"/>
      <c r="B37" s="185"/>
      <c r="C37" s="143"/>
      <c r="D37" s="143"/>
      <c r="E37" s="143"/>
      <c r="F37" s="143"/>
      <c r="G37" s="143"/>
      <c r="H37" s="87" t="str">
        <f>IF(Config!B11="Visivel",IF(OR($H$18="",$H$18=0),"",IF(A37=0,"",A37)),"")</f>
        <v/>
      </c>
      <c r="I37" s="86" t="str">
        <f>IF(Config!B11="Visivel",IF(ISERROR(SUM(SUM(C37:H37)/$C$14)*$H$18),"",SUM(SUM(C37:H37)/$C$14)*$H$18),"")</f>
        <v/>
      </c>
      <c r="J37" s="104">
        <f t="shared" si="0"/>
        <v>0</v>
      </c>
      <c r="K37" s="106">
        <f>IF(Dados!C21="",0,1)</f>
        <v>0</v>
      </c>
      <c r="L37" s="9"/>
    </row>
    <row r="38" spans="1:12">
      <c r="A38" s="185"/>
      <c r="B38" s="185"/>
      <c r="C38" s="143"/>
      <c r="D38" s="143"/>
      <c r="E38" s="143"/>
      <c r="F38" s="143"/>
      <c r="G38" s="143"/>
      <c r="H38" s="87" t="str">
        <f>IF(Config!B11="Visivel",IF(OR($H$18="",$H$18=0),"",IF(A38=0,"",A38)),"")</f>
        <v/>
      </c>
      <c r="I38" s="86" t="str">
        <f>IF(Config!B11="Visivel",IF(ISERROR(SUM(SUM(C38:H38)/$C$14)*$H$18),"",SUM(SUM(C38:H38)/$C$14)*$H$18),"")</f>
        <v/>
      </c>
      <c r="J38" s="104">
        <f t="shared" si="0"/>
        <v>0</v>
      </c>
      <c r="K38" s="106">
        <f>IF(Dados!C22="",0,1)</f>
        <v>0</v>
      </c>
      <c r="L38" s="9"/>
    </row>
    <row r="39" spans="1:12">
      <c r="A39" s="185"/>
      <c r="B39" s="185"/>
      <c r="C39" s="143"/>
      <c r="D39" s="143"/>
      <c r="E39" s="143"/>
      <c r="F39" s="143"/>
      <c r="G39" s="143"/>
      <c r="H39" s="87" t="str">
        <f>IF(Config!B11="Visivel",IF(OR($H$18="",$H$18=0),"",IF(A39=0,"",A39)),"")</f>
        <v/>
      </c>
      <c r="I39" s="86" t="str">
        <f>IF(Config!B11="Visivel",IF(ISERROR(SUM(SUM(C39:H39)/$C$14)*$H$18),"",SUM(SUM(C39:H39)/$C$14)*$H$18),"")</f>
        <v/>
      </c>
      <c r="J39" s="104">
        <f t="shared" si="0"/>
        <v>0</v>
      </c>
      <c r="K39" s="106">
        <f>IF(Dados!C23="",0,1)</f>
        <v>0</v>
      </c>
      <c r="L39" s="9"/>
    </row>
    <row r="40" spans="1:12">
      <c r="A40" s="185"/>
      <c r="B40" s="185"/>
      <c r="C40" s="143"/>
      <c r="D40" s="143"/>
      <c r="E40" s="143"/>
      <c r="F40" s="143"/>
      <c r="G40" s="143"/>
      <c r="H40" s="87" t="str">
        <f>IF(Config!B11="Visivel",IF(OR($H$18="",$H$18=0),"",IF(A40=0,"",A40)),"")</f>
        <v/>
      </c>
      <c r="I40" s="86" t="str">
        <f>IF(Config!B11="Visivel",IF(ISERROR(SUM(SUM(C40:H40)/$C$14)*$H$18),"",SUM(SUM(C40:H40)/$C$14)*$H$18),"")</f>
        <v/>
      </c>
      <c r="J40" s="104">
        <f t="shared" si="0"/>
        <v>0</v>
      </c>
      <c r="K40" s="106">
        <f>IF(Dados!C24="",0,1)</f>
        <v>0</v>
      </c>
      <c r="L40" s="9"/>
    </row>
    <row r="41" spans="1:12">
      <c r="A41" s="185"/>
      <c r="B41" s="185"/>
      <c r="C41" s="143"/>
      <c r="D41" s="143"/>
      <c r="E41" s="143"/>
      <c r="F41" s="143"/>
      <c r="G41" s="143"/>
      <c r="H41" s="87" t="str">
        <f>IF(Config!B11="Visivel",IF(OR($H$18="",$H$18=0),"",IF(A41=0,"",A41)),"")</f>
        <v/>
      </c>
      <c r="I41" s="86" t="str">
        <f>IF(Config!B11="Visivel",IF(ISERROR(SUM(SUM(C41:H41)/$C$14)*$H$18),"",SUM(SUM(C41:H41)/$C$14)*$H$18),"")</f>
        <v/>
      </c>
      <c r="J41" s="104">
        <f t="shared" si="0"/>
        <v>0</v>
      </c>
      <c r="K41" s="106">
        <f>IF(Dados!C25="",0,1)</f>
        <v>0</v>
      </c>
      <c r="L41" s="9"/>
    </row>
    <row r="42" spans="1:12">
      <c r="A42" s="185"/>
      <c r="B42" s="185"/>
      <c r="C42" s="143"/>
      <c r="D42" s="143"/>
      <c r="E42" s="143"/>
      <c r="F42" s="143"/>
      <c r="G42" s="143"/>
      <c r="H42" s="87" t="str">
        <f>IF(Config!B11="Visivel",IF(OR($H$18="",$H$18=0),"",IF(A42=0,"",A42)),"")</f>
        <v/>
      </c>
      <c r="I42" s="86" t="str">
        <f>IF(Config!B11="Visivel",IF(ISERROR(SUM(SUM(C42:H42)/$C$14)*$H$18),"",SUM(SUM(C42:H42)/$C$14)*$H$18),"")</f>
        <v/>
      </c>
      <c r="J42" s="104">
        <f t="shared" si="0"/>
        <v>0</v>
      </c>
      <c r="K42" s="106">
        <f>IF(Dados!C26="",0,1)</f>
        <v>0</v>
      </c>
      <c r="L42" s="9"/>
    </row>
    <row r="43" spans="1:12">
      <c r="A43" s="185"/>
      <c r="B43" s="185"/>
      <c r="C43" s="143"/>
      <c r="D43" s="143"/>
      <c r="E43" s="143"/>
      <c r="F43" s="143"/>
      <c r="G43" s="143"/>
      <c r="H43" s="87" t="str">
        <f>IF(Config!B11="Visivel",IF(OR($H$18="",$H$18=0),"",IF(A43=0,"",A43)),"")</f>
        <v/>
      </c>
      <c r="I43" s="86" t="str">
        <f>IF(Config!B11="Visivel",IF(ISERROR(SUM(SUM(C43:H43)/$C$14)*$H$18),"",SUM(SUM(C43:H43)/$C$14)*$H$18),"")</f>
        <v/>
      </c>
      <c r="J43" s="104">
        <f t="shared" si="0"/>
        <v>0</v>
      </c>
      <c r="K43" s="106">
        <f>IF(Dados!C27="",0,1)</f>
        <v>0</v>
      </c>
      <c r="L43" s="9"/>
    </row>
    <row r="44" spans="1:12">
      <c r="A44" s="185"/>
      <c r="B44" s="185"/>
      <c r="C44" s="143"/>
      <c r="D44" s="143"/>
      <c r="E44" s="143"/>
      <c r="F44" s="143"/>
      <c r="G44" s="143"/>
      <c r="H44" s="87" t="str">
        <f>IF(Config!B11="Visivel",IF(OR($H$18="",$H$18=0),"",IF(A44=0,"",A44)),"")</f>
        <v/>
      </c>
      <c r="I44" s="86" t="str">
        <f>IF(Config!B11="Visivel",IF(ISERROR(SUM(SUM(C44:H44)/$C$14)*$H$18),"",SUM(SUM(C44:H44)/$C$14)*$H$18),"")</f>
        <v/>
      </c>
      <c r="J44" s="104">
        <f t="shared" si="0"/>
        <v>0</v>
      </c>
      <c r="K44" s="106">
        <f>IF(Dados!C28="",0,1)</f>
        <v>0</v>
      </c>
      <c r="L44" s="9"/>
    </row>
    <row r="45" spans="1:12">
      <c r="A45" s="185"/>
      <c r="B45" s="185"/>
      <c r="C45" s="143"/>
      <c r="D45" s="143"/>
      <c r="E45" s="143"/>
      <c r="F45" s="143"/>
      <c r="G45" s="143"/>
      <c r="H45" s="87" t="str">
        <f>IF(Config!B11="Visivel",IF(OR($H$18="",$H$18=0),"",IF(A45=0,"",A45)),"")</f>
        <v/>
      </c>
      <c r="I45" s="86" t="str">
        <f>IF(Config!B11="Visivel",IF(ISERROR(SUM(SUM(C45:H45)/$C$14)*$H$18),"",SUM(SUM(C45:H45)/$C$14)*$H$18),"")</f>
        <v/>
      </c>
      <c r="J45" s="104">
        <f t="shared" si="0"/>
        <v>0</v>
      </c>
      <c r="K45" s="106">
        <f>IF(Dados!C29="",0,1)</f>
        <v>0</v>
      </c>
      <c r="L45" s="9"/>
    </row>
    <row r="46" spans="1:12" ht="15.75" thickBot="1">
      <c r="A46" s="182"/>
      <c r="B46" s="183"/>
      <c r="C46" s="182"/>
      <c r="D46" s="184"/>
      <c r="E46" s="184"/>
      <c r="F46" s="184"/>
      <c r="G46" s="183"/>
      <c r="H46" s="184"/>
      <c r="I46" s="183"/>
      <c r="J46" s="104"/>
      <c r="K46" s="106"/>
      <c r="L46" s="1"/>
    </row>
    <row r="47" spans="1:12">
      <c r="A47" s="9"/>
      <c r="B47" s="9"/>
      <c r="C47" s="9"/>
      <c r="D47" s="9"/>
      <c r="E47" s="9"/>
      <c r="F47" s="9"/>
      <c r="G47" s="9"/>
      <c r="H47" s="9"/>
      <c r="I47" s="9"/>
      <c r="J47" s="89"/>
      <c r="K47" s="9"/>
      <c r="L47" s="1"/>
    </row>
  </sheetData>
  <sheetProtection algorithmName="SHA-512" hashValue="+zkEs8MLRlksvpXGKZPj/o+yd+uPbmiwX9qxpmHtwJaBXuA+S6IgixPGdcxucPTglezSKbQk78S8x3y2+29n+A==" saltValue="OyqpazWk2Vnx3GoDoqTO6A==" spinCount="100000" sheet="1" objects="1" scenarios="1" selectLockedCells="1"/>
  <dataConsolidate/>
  <customSheetViews>
    <customSheetView guid="{D55CE6E8-65B5-4F63-A4E5-57C33F897D62}">
      <selection activeCell="E25" sqref="E25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75">
    <mergeCell ref="A12:B12"/>
    <mergeCell ref="C1:G3"/>
    <mergeCell ref="A4:B4"/>
    <mergeCell ref="C4:E4"/>
    <mergeCell ref="F5:G5"/>
    <mergeCell ref="A11:B11"/>
    <mergeCell ref="A5:B5"/>
    <mergeCell ref="C5:D5"/>
    <mergeCell ref="A6:B6"/>
    <mergeCell ref="A7:B7"/>
    <mergeCell ref="A10:B10"/>
    <mergeCell ref="A8:B8"/>
    <mergeCell ref="A9:B9"/>
    <mergeCell ref="F4:G4"/>
    <mergeCell ref="C10:G10"/>
    <mergeCell ref="A14:B14"/>
    <mergeCell ref="A13:B13"/>
    <mergeCell ref="A15:B15"/>
    <mergeCell ref="A18:C18"/>
    <mergeCell ref="A19:B19"/>
    <mergeCell ref="C15:G15"/>
    <mergeCell ref="A16:B16"/>
    <mergeCell ref="A17:B17"/>
    <mergeCell ref="C14:D14"/>
    <mergeCell ref="C13:G13"/>
    <mergeCell ref="A35:B35"/>
    <mergeCell ref="C35:G35"/>
    <mergeCell ref="D18:E18"/>
    <mergeCell ref="C19:G19"/>
    <mergeCell ref="A26:B26"/>
    <mergeCell ref="A27:B27"/>
    <mergeCell ref="A23:B23"/>
    <mergeCell ref="A34:B34"/>
    <mergeCell ref="A24:B24"/>
    <mergeCell ref="A25:B25"/>
    <mergeCell ref="A21:B21"/>
    <mergeCell ref="A20:B20"/>
    <mergeCell ref="A22:B22"/>
    <mergeCell ref="F18:G18"/>
    <mergeCell ref="A28:B28"/>
    <mergeCell ref="A29:B29"/>
    <mergeCell ref="A30:B30"/>
    <mergeCell ref="A33:B33"/>
    <mergeCell ref="A32:B32"/>
    <mergeCell ref="A31:B31"/>
    <mergeCell ref="J16:J17"/>
    <mergeCell ref="A46:B46"/>
    <mergeCell ref="C46:G46"/>
    <mergeCell ref="H46:I46"/>
    <mergeCell ref="A43:B43"/>
    <mergeCell ref="A36:B36"/>
    <mergeCell ref="A42:B42"/>
    <mergeCell ref="A45:B45"/>
    <mergeCell ref="A37:B37"/>
    <mergeCell ref="A38:B38"/>
    <mergeCell ref="A39:B39"/>
    <mergeCell ref="A40:B40"/>
    <mergeCell ref="A41:B41"/>
    <mergeCell ref="A44:B44"/>
    <mergeCell ref="H35:I35"/>
    <mergeCell ref="H19:I19"/>
    <mergeCell ref="C7:G7"/>
    <mergeCell ref="C6:G6"/>
    <mergeCell ref="C9:G9"/>
    <mergeCell ref="D17:G17"/>
    <mergeCell ref="H14:I14"/>
    <mergeCell ref="H15:I15"/>
    <mergeCell ref="H18:I18"/>
    <mergeCell ref="H16:I17"/>
    <mergeCell ref="H9:I9"/>
    <mergeCell ref="C8:G8"/>
    <mergeCell ref="C11:G11"/>
    <mergeCell ref="C12:G12"/>
    <mergeCell ref="H11:I12"/>
    <mergeCell ref="D16:G16"/>
  </mergeCells>
  <conditionalFormatting sqref="H10:H11 I10">
    <cfRule type="expression" dxfId="37" priority="56">
      <formula>$J$11=4</formula>
    </cfRule>
    <cfRule type="expression" dxfId="36" priority="57">
      <formula>$J$11=3</formula>
    </cfRule>
    <cfRule type="expression" dxfId="35" priority="58">
      <formula>$J$11=2</formula>
    </cfRule>
    <cfRule type="expression" dxfId="34" priority="59">
      <formula>$J$11=1</formula>
    </cfRule>
    <cfRule type="expression" dxfId="33" priority="60">
      <formula>$J$11=0</formula>
    </cfRule>
  </conditionalFormatting>
  <conditionalFormatting sqref="F5:G5">
    <cfRule type="cellIs" dxfId="32" priority="47" operator="equal">
      <formula>"Repesagem"</formula>
    </cfRule>
    <cfRule type="cellIs" dxfId="31" priority="48" operator="equal">
      <formula>"Ajuste"</formula>
    </cfRule>
  </conditionalFormatting>
  <conditionalFormatting sqref="H13:I13">
    <cfRule type="expression" dxfId="30" priority="39">
      <formula>$H$13="Excedeu"</formula>
    </cfRule>
    <cfRule type="expression" dxfId="29" priority="40">
      <formula>$H$13="Faltam"</formula>
    </cfRule>
  </conditionalFormatting>
  <conditionalFormatting sqref="I20:I34 I36:I45">
    <cfRule type="cellIs" dxfId="28" priority="31" operator="greaterThan">
      <formula>0</formula>
    </cfRule>
  </conditionalFormatting>
  <conditionalFormatting sqref="I20:I34">
    <cfRule type="cellIs" dxfId="27" priority="30" operator="greaterThan">
      <formula>0</formula>
    </cfRule>
  </conditionalFormatting>
  <conditionalFormatting sqref="A20:B20">
    <cfRule type="expression" dxfId="26" priority="29">
      <formula>$K$20=0</formula>
    </cfRule>
  </conditionalFormatting>
  <conditionalFormatting sqref="A21:B21">
    <cfRule type="expression" dxfId="25" priority="28">
      <formula>$K$21=0</formula>
    </cfRule>
  </conditionalFormatting>
  <conditionalFormatting sqref="A22:B22">
    <cfRule type="expression" dxfId="24" priority="27">
      <formula>$K$22=0</formula>
    </cfRule>
  </conditionalFormatting>
  <conditionalFormatting sqref="A23:B23">
    <cfRule type="expression" dxfId="23" priority="26">
      <formula>$K$23=0</formula>
    </cfRule>
  </conditionalFormatting>
  <conditionalFormatting sqref="A25:B25">
    <cfRule type="expression" dxfId="22" priority="24">
      <formula>$K$25=0</formula>
    </cfRule>
  </conditionalFormatting>
  <conditionalFormatting sqref="A26:B26">
    <cfRule type="expression" dxfId="21" priority="23">
      <formula>$K$26=0</formula>
    </cfRule>
  </conditionalFormatting>
  <conditionalFormatting sqref="A27:B27">
    <cfRule type="expression" dxfId="20" priority="22">
      <formula>$K$27=0</formula>
    </cfRule>
  </conditionalFormatting>
  <conditionalFormatting sqref="A28:B28">
    <cfRule type="expression" dxfId="19" priority="21">
      <formula>$K$28=0</formula>
    </cfRule>
  </conditionalFormatting>
  <conditionalFormatting sqref="A29:B29">
    <cfRule type="expression" dxfId="18" priority="20">
      <formula>$K$29=0</formula>
    </cfRule>
  </conditionalFormatting>
  <conditionalFormatting sqref="A30:B30">
    <cfRule type="expression" dxfId="17" priority="19">
      <formula>$K$30=0</formula>
    </cfRule>
  </conditionalFormatting>
  <conditionalFormatting sqref="A31:B31">
    <cfRule type="expression" dxfId="16" priority="18">
      <formula>$K$31=0</formula>
    </cfRule>
  </conditionalFormatting>
  <conditionalFormatting sqref="A32:B32">
    <cfRule type="expression" dxfId="15" priority="17">
      <formula>$K$32=0</formula>
    </cfRule>
  </conditionalFormatting>
  <conditionalFormatting sqref="A33:B33">
    <cfRule type="expression" dxfId="14" priority="16">
      <formula>$K$33=0</formula>
    </cfRule>
  </conditionalFormatting>
  <conditionalFormatting sqref="A34:B34">
    <cfRule type="expression" dxfId="13" priority="15">
      <formula>$K$34=0</formula>
    </cfRule>
  </conditionalFormatting>
  <conditionalFormatting sqref="A36">
    <cfRule type="expression" dxfId="12" priority="14">
      <formula>$K$36=0</formula>
    </cfRule>
  </conditionalFormatting>
  <conditionalFormatting sqref="A37">
    <cfRule type="expression" dxfId="11" priority="13">
      <formula>$K$37=0</formula>
    </cfRule>
  </conditionalFormatting>
  <conditionalFormatting sqref="A38">
    <cfRule type="expression" dxfId="10" priority="12">
      <formula>$K$38=0</formula>
    </cfRule>
  </conditionalFormatting>
  <conditionalFormatting sqref="A39">
    <cfRule type="expression" dxfId="9" priority="11">
      <formula>$K$39=0</formula>
    </cfRule>
  </conditionalFormatting>
  <conditionalFormatting sqref="A40">
    <cfRule type="expression" dxfId="8" priority="10">
      <formula>$K$40=0</formula>
    </cfRule>
  </conditionalFormatting>
  <conditionalFormatting sqref="A41">
    <cfRule type="expression" dxfId="7" priority="9">
      <formula>$K$41=0</formula>
    </cfRule>
  </conditionalFormatting>
  <conditionalFormatting sqref="A42">
    <cfRule type="expression" dxfId="6" priority="7">
      <formula>$K$42=0</formula>
    </cfRule>
    <cfRule type="expression" priority="8">
      <formula>$K$42=0</formula>
    </cfRule>
  </conditionalFormatting>
  <conditionalFormatting sqref="A43">
    <cfRule type="expression" dxfId="5" priority="6">
      <formula>$K$43=0</formula>
    </cfRule>
  </conditionalFormatting>
  <conditionalFormatting sqref="A44">
    <cfRule type="expression" dxfId="4" priority="5">
      <formula>$K$44=0</formula>
    </cfRule>
  </conditionalFormatting>
  <conditionalFormatting sqref="A45">
    <cfRule type="expression" dxfId="3" priority="4">
      <formula>$K$45=0</formula>
    </cfRule>
  </conditionalFormatting>
  <conditionalFormatting sqref="A24:B24">
    <cfRule type="expression" dxfId="2" priority="3">
      <formula>$K$24=0</formula>
    </cfRule>
  </conditionalFormatting>
  <conditionalFormatting sqref="A21:B34">
    <cfRule type="expression" dxfId="1" priority="2">
      <formula>$K$20=0</formula>
    </cfRule>
  </conditionalFormatting>
  <conditionalFormatting sqref="A36:B45">
    <cfRule type="expression" dxfId="0" priority="1">
      <formula>$K$20=0</formula>
    </cfRule>
  </conditionalFormatting>
  <dataValidations count="6">
    <dataValidation type="list" allowBlank="1" showErrorMessage="1" promptTitle="COLORISTA" prompt="Colorista reponsável por esta cor_x000a__x000a_" sqref="C9:G9">
      <formula1>TipoDeCor</formula1>
    </dataValidation>
    <dataValidation type="list" allowBlank="1" showInputMessage="1" sqref="C8:G8">
      <formula1>CLIENTES</formula1>
    </dataValidation>
    <dataValidation type="list" allowBlank="1" showInputMessage="1" showErrorMessage="1" sqref="C13:G13">
      <formula1>SP</formula1>
    </dataValidation>
    <dataValidation type="list" allowBlank="1" showInputMessage="1" showErrorMessage="1" sqref="F5:G5">
      <formula1>"AJUSTE,REPESAGEM,ERRADA"</formula1>
    </dataValidation>
    <dataValidation type="list" allowBlank="1" showInputMessage="1" showErrorMessage="1" sqref="A17:B17">
      <formula1>"Automático,Manual"</formula1>
    </dataValidation>
    <dataValidation allowBlank="1" showInputMessage="1" showErrorMessage="1" sqref="C16:G17"/>
  </dataValidations>
  <pageMargins left="0.511811024" right="0.511811024" top="0.78740157499999996" bottom="0.78740157499999996" header="0.31496062000000002" footer="0.31496062000000002"/>
  <pageSetup paperSize="9" orientation="portrait" r:id="rId2"/>
  <headerFooter>
    <oddHeader xml:space="preserve">&amp;C
TESTE
</oddHeader>
  </headerFooter>
  <drawing r:id="rId3"/>
  <legacyDrawing r:id="rId4"/>
  <controls>
    <mc:AlternateContent xmlns:mc="http://schemas.openxmlformats.org/markup-compatibility/2006">
      <mc:Choice Requires="x14">
        <control shapeId="1055" r:id="rId5" name="cmdColorista">
          <controlPr autoLine="0" r:id="rId6">
            <anchor moveWithCells="1">
              <from>
                <xdr:col>0</xdr:col>
                <xdr:colOff>9525</xdr:colOff>
                <xdr:row>2</xdr:row>
                <xdr:rowOff>200025</xdr:rowOff>
              </from>
              <to>
                <xdr:col>1</xdr:col>
                <xdr:colOff>581025</xdr:colOff>
                <xdr:row>3</xdr:row>
                <xdr:rowOff>238125</xdr:rowOff>
              </to>
            </anchor>
          </controlPr>
        </control>
      </mc:Choice>
      <mc:Fallback>
        <control shapeId="1055" r:id="rId5" name="cmdColorista"/>
      </mc:Fallback>
    </mc:AlternateContent>
    <mc:AlternateContent xmlns:mc="http://schemas.openxmlformats.org/markup-compatibility/2006">
      <mc:Choice Requires="x14">
        <control shapeId="1042" r:id="rId7" name="cmdAuditoria">
          <controlPr autoLine="0" r:id="rId8">
            <anchor moveWithCells="1">
              <from>
                <xdr:col>7</xdr:col>
                <xdr:colOff>1047750</xdr:colOff>
                <xdr:row>0</xdr:row>
                <xdr:rowOff>0</xdr:rowOff>
              </from>
              <to>
                <xdr:col>9</xdr:col>
                <xdr:colOff>0</xdr:colOff>
                <xdr:row>0</xdr:row>
                <xdr:rowOff>381000</xdr:rowOff>
              </to>
            </anchor>
          </controlPr>
        </control>
      </mc:Choice>
      <mc:Fallback>
        <control shapeId="1042" r:id="rId7" name="cmdAuditoria"/>
      </mc:Fallback>
    </mc:AlternateContent>
    <mc:AlternateContent xmlns:mc="http://schemas.openxmlformats.org/markup-compatibility/2006">
      <mc:Choice Requires="x14">
        <control shapeId="1043" r:id="rId9" name="cmdObservacoes">
          <controlPr autoLine="0" r:id="rId10">
            <anchor moveWithCells="1">
              <from>
                <xdr:col>6</xdr:col>
                <xdr:colOff>590550</xdr:colOff>
                <xdr:row>0</xdr:row>
                <xdr:rowOff>0</xdr:rowOff>
              </from>
              <to>
                <xdr:col>7</xdr:col>
                <xdr:colOff>1057275</xdr:colOff>
                <xdr:row>0</xdr:row>
                <xdr:rowOff>381000</xdr:rowOff>
              </to>
            </anchor>
          </controlPr>
        </control>
      </mc:Choice>
      <mc:Fallback>
        <control shapeId="1043" r:id="rId9" name="cmdObservacoes"/>
      </mc:Fallback>
    </mc:AlternateContent>
    <mc:AlternateContent xmlns:mc="http://schemas.openxmlformats.org/markup-compatibility/2006">
      <mc:Choice Requires="x14">
        <control shapeId="1044" r:id="rId11" name="cmdLogs">
          <controlPr autoLine="0" r:id="rId12">
            <anchor moveWithCells="1">
              <from>
                <xdr:col>5</xdr:col>
                <xdr:colOff>133350</xdr:colOff>
                <xdr:row>0</xdr:row>
                <xdr:rowOff>0</xdr:rowOff>
              </from>
              <to>
                <xdr:col>6</xdr:col>
                <xdr:colOff>600075</xdr:colOff>
                <xdr:row>0</xdr:row>
                <xdr:rowOff>381000</xdr:rowOff>
              </to>
            </anchor>
          </controlPr>
        </control>
      </mc:Choice>
      <mc:Fallback>
        <control shapeId="1044" r:id="rId11" name="cmdLogs"/>
      </mc:Fallback>
    </mc:AlternateContent>
    <mc:AlternateContent xmlns:mc="http://schemas.openxmlformats.org/markup-compatibility/2006">
      <mc:Choice Requires="x14">
        <control shapeId="1045" r:id="rId13" name="cmdformula">
          <controlPr autoLine="0" r:id="rId14">
            <anchor moveWithCells="1">
              <from>
                <xdr:col>3</xdr:col>
                <xdr:colOff>276225</xdr:colOff>
                <xdr:row>0</xdr:row>
                <xdr:rowOff>0</xdr:rowOff>
              </from>
              <to>
                <xdr:col>5</xdr:col>
                <xdr:colOff>142875</xdr:colOff>
                <xdr:row>0</xdr:row>
                <xdr:rowOff>381000</xdr:rowOff>
              </to>
            </anchor>
          </controlPr>
        </control>
      </mc:Choice>
      <mc:Fallback>
        <control shapeId="1045" r:id="rId13" name="cmdformula"/>
      </mc:Fallback>
    </mc:AlternateContent>
    <mc:AlternateContent xmlns:mc="http://schemas.openxmlformats.org/markup-compatibility/2006">
      <mc:Choice Requires="x14">
        <control shapeId="1046" r:id="rId15" name="cmdOsantiga">
          <controlPr autoLine="0" r:id="rId16">
            <anchor moveWithCells="1">
              <from>
                <xdr:col>1</xdr:col>
                <xdr:colOff>438150</xdr:colOff>
                <xdr:row>0</xdr:row>
                <xdr:rowOff>0</xdr:rowOff>
              </from>
              <to>
                <xdr:col>3</xdr:col>
                <xdr:colOff>304800</xdr:colOff>
                <xdr:row>0</xdr:row>
                <xdr:rowOff>381000</xdr:rowOff>
              </to>
            </anchor>
          </controlPr>
        </control>
      </mc:Choice>
      <mc:Fallback>
        <control shapeId="1046" r:id="rId15" name="cmdOsantiga"/>
      </mc:Fallback>
    </mc:AlternateContent>
    <mc:AlternateContent xmlns:mc="http://schemas.openxmlformats.org/markup-compatibility/2006">
      <mc:Choice Requires="x14">
        <control shapeId="1047" r:id="rId17" name="cmdLimpaOS">
          <controlPr autoLine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1047" r:id="rId17" name="cmdLimpa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92"/>
  <sheetViews>
    <sheetView topLeftCell="A7" workbookViewId="0">
      <selection sqref="A1:XFD1048576"/>
    </sheetView>
  </sheetViews>
  <sheetFormatPr defaultRowHeight="15"/>
  <cols>
    <col min="1" max="1" width="31.7109375" style="21" customWidth="1"/>
    <col min="2" max="2" width="14.5703125" style="22" customWidth="1"/>
    <col min="3" max="3" width="15.42578125" style="33" customWidth="1"/>
    <col min="4" max="4" width="14.85546875" style="14" customWidth="1"/>
    <col min="5" max="5" width="14.5703125" style="14" customWidth="1"/>
    <col min="6" max="6" width="18.42578125" style="15" customWidth="1"/>
    <col min="7" max="7" width="14.5703125" style="15" customWidth="1"/>
    <col min="8" max="8" width="21.5703125" style="15" customWidth="1"/>
    <col min="9" max="10" width="15.7109375" style="15" customWidth="1"/>
    <col min="11" max="11" width="14.42578125" style="15" customWidth="1"/>
    <col min="12" max="13" width="15.7109375" style="15" customWidth="1"/>
    <col min="14" max="15" width="9.140625" style="15"/>
    <col min="16" max="16" width="14" style="15" customWidth="1"/>
    <col min="17" max="19" width="9.140625" style="15"/>
    <col min="20" max="20" width="12.140625" style="15" customWidth="1"/>
    <col min="21" max="21" width="33.7109375" style="15" customWidth="1"/>
    <col min="22" max="16384" width="9.140625" style="15"/>
  </cols>
  <sheetData>
    <row r="1" spans="1:12">
      <c r="A1" s="11"/>
      <c r="B1" s="12"/>
      <c r="C1" s="13"/>
    </row>
    <row r="2" spans="1:12" s="20" customFormat="1" ht="25.5" customHeight="1">
      <c r="A2" s="16" t="s">
        <v>10</v>
      </c>
      <c r="B2" s="17" t="s">
        <v>11</v>
      </c>
      <c r="C2" s="18" t="s">
        <v>53</v>
      </c>
      <c r="D2" s="19" t="s">
        <v>55</v>
      </c>
      <c r="E2" s="18"/>
      <c r="F2" s="98" t="s">
        <v>85</v>
      </c>
      <c r="G2" s="69" t="s">
        <v>111</v>
      </c>
      <c r="I2" s="79" t="s">
        <v>117</v>
      </c>
      <c r="J2" s="80" t="s">
        <v>119</v>
      </c>
      <c r="K2" s="80" t="s">
        <v>121</v>
      </c>
      <c r="L2" s="80"/>
    </row>
    <row r="3" spans="1:12">
      <c r="C3" s="15"/>
      <c r="D3" s="23">
        <f>[1]Preço!$H$2</f>
        <v>0.3</v>
      </c>
      <c r="E3" s="15"/>
      <c r="F3" s="93" t="str">
        <f>IF(ISERROR(VLOOKUP('Ordem de Serviço'!C13,Dados!A41:B61,2,0)),"",VLOOKUP('Ordem de Serviço'!C13,Dados!A41:B61,2,0))</f>
        <v/>
      </c>
      <c r="G3" s="25"/>
      <c r="I3" s="44">
        <f>[1]Preço!$J$2</f>
        <v>6.9444444444444441E-3</v>
      </c>
      <c r="J3" s="15" t="str">
        <f>IF(ISERROR(VLOOKUP('Ordem de Serviço'!C8,[1]Cliente!$A:$B,2,0)),"Plástico",VLOOKUP('Ordem de Serviço'!C8,[1]Cliente!$A:$B,2,0))</f>
        <v/>
      </c>
      <c r="K3" s="15">
        <f>[1]Preço!$K$2</f>
        <v>3.472222222222222E-3</v>
      </c>
    </row>
    <row r="4" spans="1:12">
      <c r="A4" s="21">
        <f>'Ordem de Serviço'!A20:B20</f>
        <v>0</v>
      </c>
      <c r="B4" s="26">
        <f>IF(0,"",'Ordem de Serviço'!J20)</f>
        <v>0</v>
      </c>
      <c r="C4" s="27" t="str">
        <f t="shared" ref="C4:C18" si="0">IF(ISERROR(SUM(B4*VLOOKUP(A4,Pigmentos,9,0))),"",SUM(B4*VLOOKUP(A4,Pigmentos,9,0)))</f>
        <v/>
      </c>
      <c r="D4" s="28">
        <f>SUM(C37*D3)+C37</f>
        <v>0</v>
      </c>
      <c r="E4" s="15"/>
      <c r="F4" s="24"/>
      <c r="G4" s="78" t="str">
        <f t="shared" ref="G4:G29" si="1">IF(A4=0,"",IF(ISERR(SUM(B4/SUM(VLOOKUP(A4,Pigmentos,5,0)/VLOOKUP(A4,Pigmentos,10,0)))*1000),"",SUM(B4/SUM(VLOOKUP(A4,Pigmentos,5,0)/VLOOKUP(A4,Pigmentos,10,0)))*1000))</f>
        <v/>
      </c>
      <c r="J4" s="29"/>
    </row>
    <row r="5" spans="1:12">
      <c r="A5" s="21">
        <f>'Ordem de Serviço'!A21:B21</f>
        <v>0</v>
      </c>
      <c r="B5" s="26">
        <f>IF(0,"",'Ordem de Serviço'!J21)</f>
        <v>0</v>
      </c>
      <c r="C5" s="27" t="str">
        <f t="shared" si="0"/>
        <v/>
      </c>
      <c r="D5" s="15"/>
      <c r="E5" s="15"/>
      <c r="F5" s="99" t="s">
        <v>122</v>
      </c>
      <c r="G5" s="78" t="str">
        <f t="shared" si="1"/>
        <v/>
      </c>
    </row>
    <row r="6" spans="1:12">
      <c r="A6" s="21">
        <f>'Ordem de Serviço'!A22:B22</f>
        <v>0</v>
      </c>
      <c r="B6" s="26">
        <f>IF(0,"",'Ordem de Serviço'!J22)</f>
        <v>0</v>
      </c>
      <c r="C6" s="27" t="str">
        <f t="shared" si="0"/>
        <v/>
      </c>
      <c r="D6" s="15"/>
      <c r="E6" s="15"/>
      <c r="F6" s="94">
        <f>SUM(Teste!G:G)</f>
        <v>10</v>
      </c>
      <c r="G6" s="78" t="str">
        <f t="shared" si="1"/>
        <v/>
      </c>
    </row>
    <row r="7" spans="1:12">
      <c r="A7" s="21">
        <f>'Ordem de Serviço'!A23:B23</f>
        <v>0</v>
      </c>
      <c r="B7" s="26">
        <f>IF(0,"",'Ordem de Serviço'!J23)</f>
        <v>0</v>
      </c>
      <c r="C7" s="27" t="str">
        <f t="shared" si="0"/>
        <v/>
      </c>
      <c r="D7" s="15"/>
      <c r="E7" s="15"/>
      <c r="F7" s="24"/>
      <c r="G7" s="78" t="str">
        <f t="shared" si="1"/>
        <v/>
      </c>
    </row>
    <row r="8" spans="1:12" ht="23.25">
      <c r="A8" s="21">
        <f>'Ordem de Serviço'!A24:B24</f>
        <v>0</v>
      </c>
      <c r="B8" s="26">
        <f>IF(0,"",'Ordem de Serviço'!J24)</f>
        <v>0</v>
      </c>
      <c r="C8" s="27" t="str">
        <f t="shared" si="0"/>
        <v/>
      </c>
      <c r="D8" s="15"/>
      <c r="E8" s="15"/>
      <c r="F8" s="100" t="s">
        <v>125</v>
      </c>
      <c r="G8" s="78" t="str">
        <f t="shared" si="1"/>
        <v/>
      </c>
    </row>
    <row r="9" spans="1:12">
      <c r="A9" s="21">
        <f>'Ordem de Serviço'!A25:B25</f>
        <v>0</v>
      </c>
      <c r="B9" s="26">
        <f>IF(0,"",'Ordem de Serviço'!J25)</f>
        <v>0</v>
      </c>
      <c r="C9" s="27" t="str">
        <f t="shared" si="0"/>
        <v/>
      </c>
      <c r="D9" s="15"/>
      <c r="E9" s="15"/>
      <c r="F9" s="95">
        <f>SUM(Config!B15*Dados!F6)</f>
        <v>100</v>
      </c>
      <c r="G9" s="78" t="str">
        <f t="shared" si="1"/>
        <v/>
      </c>
    </row>
    <row r="10" spans="1:12">
      <c r="A10" s="21">
        <f>'Ordem de Serviço'!A26:B26</f>
        <v>0</v>
      </c>
      <c r="B10" s="26">
        <f>IF(0,"",'Ordem de Serviço'!J26)</f>
        <v>0</v>
      </c>
      <c r="C10" s="27" t="str">
        <f t="shared" si="0"/>
        <v/>
      </c>
      <c r="D10" s="15"/>
      <c r="E10" s="15"/>
      <c r="G10" s="78" t="str">
        <f t="shared" si="1"/>
        <v/>
      </c>
    </row>
    <row r="11" spans="1:12" ht="23.25">
      <c r="A11" s="21">
        <f>'Ordem de Serviço'!A27:B27</f>
        <v>0</v>
      </c>
      <c r="B11" s="26">
        <f>IF(0,"",'Ordem de Serviço'!J27)</f>
        <v>0</v>
      </c>
      <c r="C11" s="27" t="str">
        <f t="shared" si="0"/>
        <v/>
      </c>
      <c r="D11" s="15"/>
      <c r="E11" s="15"/>
      <c r="F11" s="101" t="s">
        <v>126</v>
      </c>
      <c r="G11" s="78" t="str">
        <f t="shared" si="1"/>
        <v/>
      </c>
    </row>
    <row r="12" spans="1:12">
      <c r="A12" s="21">
        <f>'Ordem de Serviço'!A28:B28</f>
        <v>0</v>
      </c>
      <c r="B12" s="26">
        <f>IF(0,"",'Ordem de Serviço'!J28)</f>
        <v>0</v>
      </c>
      <c r="C12" s="27" t="str">
        <f t="shared" si="0"/>
        <v/>
      </c>
      <c r="D12" s="15"/>
      <c r="E12" s="15"/>
      <c r="F12" s="96">
        <f>SUM(Config!B16*Dados!F6)</f>
        <v>50</v>
      </c>
      <c r="G12" s="78" t="str">
        <f t="shared" si="1"/>
        <v/>
      </c>
    </row>
    <row r="13" spans="1:12">
      <c r="A13" s="21">
        <f>'Ordem de Serviço'!A29:B29</f>
        <v>0</v>
      </c>
      <c r="B13" s="26">
        <f>IF(0,"",'Ordem de Serviço'!J29)</f>
        <v>0</v>
      </c>
      <c r="C13" s="27" t="str">
        <f t="shared" si="0"/>
        <v/>
      </c>
      <c r="D13" s="15"/>
      <c r="E13" s="15"/>
      <c r="G13" s="78" t="str">
        <f t="shared" si="1"/>
        <v/>
      </c>
    </row>
    <row r="14" spans="1:12" ht="23.25">
      <c r="A14" s="21">
        <f>'Ordem de Serviço'!A30:B30</f>
        <v>0</v>
      </c>
      <c r="B14" s="26">
        <f>IF(0,"",'Ordem de Serviço'!J30)</f>
        <v>0</v>
      </c>
      <c r="C14" s="27" t="str">
        <f t="shared" si="0"/>
        <v/>
      </c>
      <c r="D14" s="15"/>
      <c r="E14" s="15"/>
      <c r="F14" s="102" t="s">
        <v>127</v>
      </c>
      <c r="G14" s="78" t="str">
        <f t="shared" si="1"/>
        <v/>
      </c>
    </row>
    <row r="15" spans="1:12">
      <c r="A15" s="21">
        <f>'Ordem de Serviço'!A31:B31</f>
        <v>0</v>
      </c>
      <c r="B15" s="26">
        <f>IF(0,"",'Ordem de Serviço'!J31)</f>
        <v>0</v>
      </c>
      <c r="C15" s="27" t="str">
        <f t="shared" si="0"/>
        <v/>
      </c>
      <c r="D15" s="15"/>
      <c r="E15" s="15"/>
      <c r="F15" s="97">
        <f>F9*0.9</f>
        <v>90</v>
      </c>
      <c r="G15" s="78" t="str">
        <f t="shared" si="1"/>
        <v/>
      </c>
    </row>
    <row r="16" spans="1:12">
      <c r="A16" s="21">
        <f>'Ordem de Serviço'!A32:B32</f>
        <v>0</v>
      </c>
      <c r="B16" s="26">
        <f>IF(0,"",'Ordem de Serviço'!J32)</f>
        <v>0</v>
      </c>
      <c r="C16" s="27" t="str">
        <f t="shared" si="0"/>
        <v/>
      </c>
      <c r="D16" s="15"/>
      <c r="E16" s="15"/>
      <c r="G16" s="78" t="str">
        <f t="shared" si="1"/>
        <v/>
      </c>
    </row>
    <row r="17" spans="1:7">
      <c r="A17" s="21">
        <f>'Ordem de Serviço'!A33:B33</f>
        <v>0</v>
      </c>
      <c r="B17" s="26">
        <f>IF(0,"",'Ordem de Serviço'!J33)</f>
        <v>0</v>
      </c>
      <c r="C17" s="27" t="str">
        <f t="shared" si="0"/>
        <v/>
      </c>
      <c r="D17" s="15"/>
      <c r="E17" s="15"/>
      <c r="F17" s="117" t="s">
        <v>128</v>
      </c>
      <c r="G17" s="78" t="str">
        <f t="shared" si="1"/>
        <v/>
      </c>
    </row>
    <row r="18" spans="1:7">
      <c r="A18" s="21">
        <f>'Ordem de Serviço'!A34:B34</f>
        <v>0</v>
      </c>
      <c r="B18" s="26">
        <f>IF(0,"",'Ordem de Serviço'!J34)</f>
        <v>0</v>
      </c>
      <c r="C18" s="27" t="str">
        <f t="shared" si="0"/>
        <v/>
      </c>
      <c r="D18" s="15"/>
      <c r="E18" s="15"/>
      <c r="F18" s="116">
        <f>SUM(F15*IF('Ordem de Serviço'!C13="Dulon® Poliéster",VLOOKUP("BP01",Pigmentos,9,0),IF('Ordem de Serviço'!C13="ACS Evolution® Poliéster",VLOOKUP("BP01",Pigmentos,9,0),IF('Ordem de Serviço'!C13="CPP Basecoat® Poliéster",VLOOKUP("BP01",Pigmentos,9,0),0))))</f>
        <v>0</v>
      </c>
      <c r="G18" s="78" t="str">
        <f t="shared" si="1"/>
        <v/>
      </c>
    </row>
    <row r="19" spans="1:7" ht="15.75">
      <c r="A19" s="30"/>
      <c r="B19" s="26"/>
      <c r="C19" s="27"/>
      <c r="D19" s="15"/>
      <c r="E19" s="15"/>
      <c r="G19" s="78" t="str">
        <f t="shared" si="1"/>
        <v/>
      </c>
    </row>
    <row r="20" spans="1:7">
      <c r="A20" s="21">
        <f>'Ordem de Serviço'!A36:B36</f>
        <v>0</v>
      </c>
      <c r="B20" s="26">
        <f>IF(0,"",'Ordem de Serviço'!J36)</f>
        <v>0</v>
      </c>
      <c r="C20" s="27" t="str">
        <f t="shared" ref="C20:C29" si="2">IF(ISERROR(SUM(B20*VLOOKUP(A20,Pigmentos,9,0))),"",SUM(B20*VLOOKUP(A20,Pigmentos,9,0)))</f>
        <v/>
      </c>
      <c r="D20" s="15"/>
      <c r="E20" s="15"/>
      <c r="G20" s="78" t="str">
        <f t="shared" si="1"/>
        <v/>
      </c>
    </row>
    <row r="21" spans="1:7">
      <c r="A21" s="21">
        <f>'Ordem de Serviço'!A37:B37</f>
        <v>0</v>
      </c>
      <c r="B21" s="26">
        <f>IF(0,"",'Ordem de Serviço'!J37)</f>
        <v>0</v>
      </c>
      <c r="C21" s="27" t="str">
        <f t="shared" si="2"/>
        <v/>
      </c>
      <c r="D21" s="15"/>
      <c r="E21" s="15"/>
      <c r="G21" s="78" t="str">
        <f t="shared" si="1"/>
        <v/>
      </c>
    </row>
    <row r="22" spans="1:7">
      <c r="A22" s="21">
        <f>'Ordem de Serviço'!A38:B38</f>
        <v>0</v>
      </c>
      <c r="B22" s="26">
        <f>IF(0,"",'Ordem de Serviço'!J38)</f>
        <v>0</v>
      </c>
      <c r="C22" s="27" t="str">
        <f t="shared" si="2"/>
        <v/>
      </c>
      <c r="D22" s="15"/>
      <c r="E22" s="15"/>
      <c r="G22" s="78" t="str">
        <f t="shared" si="1"/>
        <v/>
      </c>
    </row>
    <row r="23" spans="1:7">
      <c r="A23" s="21">
        <f>'Ordem de Serviço'!A39:B39</f>
        <v>0</v>
      </c>
      <c r="B23" s="26">
        <f>IF(0,"",'Ordem de Serviço'!J39)</f>
        <v>0</v>
      </c>
      <c r="C23" s="27" t="str">
        <f t="shared" si="2"/>
        <v/>
      </c>
      <c r="D23" s="15"/>
      <c r="E23" s="15"/>
      <c r="G23" s="78" t="str">
        <f t="shared" si="1"/>
        <v/>
      </c>
    </row>
    <row r="24" spans="1:7">
      <c r="A24" s="21">
        <f>'Ordem de Serviço'!A40:B40</f>
        <v>0</v>
      </c>
      <c r="B24" s="26">
        <f>IF(0,"",'Ordem de Serviço'!J40)</f>
        <v>0</v>
      </c>
      <c r="C24" s="27" t="str">
        <f t="shared" si="2"/>
        <v/>
      </c>
      <c r="D24" s="15"/>
      <c r="E24" s="15"/>
      <c r="G24" s="78" t="str">
        <f t="shared" si="1"/>
        <v/>
      </c>
    </row>
    <row r="25" spans="1:7">
      <c r="A25" s="21">
        <f>'Ordem de Serviço'!A41:B41</f>
        <v>0</v>
      </c>
      <c r="B25" s="26">
        <f>IF(0,"",'Ordem de Serviço'!J41)</f>
        <v>0</v>
      </c>
      <c r="C25" s="27" t="str">
        <f t="shared" si="2"/>
        <v/>
      </c>
      <c r="D25" s="15"/>
      <c r="E25" s="15"/>
      <c r="G25" s="78" t="str">
        <f t="shared" si="1"/>
        <v/>
      </c>
    </row>
    <row r="26" spans="1:7">
      <c r="A26" s="21">
        <f>'Ordem de Serviço'!A42:B42</f>
        <v>0</v>
      </c>
      <c r="B26" s="26">
        <f>IF(0,"",'Ordem de Serviço'!J42)</f>
        <v>0</v>
      </c>
      <c r="C26" s="27" t="str">
        <f t="shared" si="2"/>
        <v/>
      </c>
      <c r="D26" s="15"/>
      <c r="E26" s="15"/>
      <c r="G26" s="78" t="str">
        <f t="shared" si="1"/>
        <v/>
      </c>
    </row>
    <row r="27" spans="1:7">
      <c r="A27" s="21">
        <f>'Ordem de Serviço'!A43:B43</f>
        <v>0</v>
      </c>
      <c r="B27" s="26">
        <f>IF(0,"",'Ordem de Serviço'!J43)</f>
        <v>0</v>
      </c>
      <c r="C27" s="27" t="str">
        <f t="shared" si="2"/>
        <v/>
      </c>
      <c r="D27" s="15"/>
      <c r="E27" s="15"/>
      <c r="G27" s="78" t="str">
        <f t="shared" si="1"/>
        <v/>
      </c>
    </row>
    <row r="28" spans="1:7">
      <c r="A28" s="21">
        <f>'Ordem de Serviço'!A44:B44</f>
        <v>0</v>
      </c>
      <c r="B28" s="26">
        <f>IF(0,"",'Ordem de Serviço'!J44)</f>
        <v>0</v>
      </c>
      <c r="C28" s="27" t="str">
        <f t="shared" si="2"/>
        <v/>
      </c>
      <c r="D28" s="15"/>
      <c r="E28" s="15"/>
      <c r="G28" s="78" t="str">
        <f t="shared" si="1"/>
        <v/>
      </c>
    </row>
    <row r="29" spans="1:7">
      <c r="A29" s="21">
        <f>'Ordem de Serviço'!A45:B45</f>
        <v>0</v>
      </c>
      <c r="B29" s="26">
        <f>IF(0,"",'Ordem de Serviço'!J45)</f>
        <v>0</v>
      </c>
      <c r="C29" s="27" t="str">
        <f t="shared" si="2"/>
        <v/>
      </c>
      <c r="D29" s="15"/>
      <c r="E29" s="15"/>
      <c r="G29" s="78" t="str">
        <f t="shared" si="1"/>
        <v/>
      </c>
    </row>
    <row r="30" spans="1:7">
      <c r="B30" s="31"/>
      <c r="C30" s="14"/>
      <c r="G30" s="70"/>
    </row>
    <row r="31" spans="1:7">
      <c r="A31" s="21" t="s">
        <v>9</v>
      </c>
      <c r="B31" s="26"/>
      <c r="C31" s="14"/>
      <c r="G31" s="14"/>
    </row>
    <row r="32" spans="1:7">
      <c r="A32" s="21" t="str">
        <f>'Ordem de Serviço'!D16</f>
        <v/>
      </c>
      <c r="B32" s="32" t="str">
        <f>'Ordem de Serviço'!C16</f>
        <v/>
      </c>
      <c r="C32" s="27" t="str">
        <f>IF(ISERROR(SUM(B32*VLOOKUP(A32,[1]Valores!A380:I385,9,0))),"",SUM(B32*VLOOKUP(A32,[1]Valores!A380:I385,9,0)))</f>
        <v/>
      </c>
      <c r="D32" s="15"/>
    </row>
    <row r="33" spans="1:20">
      <c r="A33" s="21" t="str">
        <f>'Ordem de Serviço'!D17</f>
        <v/>
      </c>
      <c r="B33" s="32" t="str">
        <f>'Ordem de Serviço'!C17</f>
        <v/>
      </c>
      <c r="C33" s="27" t="str">
        <f>IF(ISERROR(SUM(B33*VLOOKUP(A33,[1]Valores!A371:I376,9,0))),"",SUM(B33*VLOOKUP(A33,[1]Valores!A371:I376,9,0)))</f>
        <v/>
      </c>
      <c r="D33" s="15"/>
    </row>
    <row r="34" spans="1:20">
      <c r="B34" s="32"/>
    </row>
    <row r="35" spans="1:20">
      <c r="A35" s="21" t="s">
        <v>45</v>
      </c>
      <c r="D35" s="14" t="s">
        <v>46</v>
      </c>
      <c r="E35" s="33" t="s">
        <v>47</v>
      </c>
    </row>
    <row r="36" spans="1:20">
      <c r="A36" s="21" t="s">
        <v>129</v>
      </c>
      <c r="C36" s="33">
        <f>IF(ISERROR(SUM(E36/1000)/D36),"",SUM(E36/1000)/D36)</f>
        <v>0</v>
      </c>
      <c r="D36" s="14">
        <v>1</v>
      </c>
      <c r="E36" s="34">
        <f>'Ordem de Serviço'!C14</f>
        <v>0</v>
      </c>
    </row>
    <row r="37" spans="1:20" ht="15.75">
      <c r="A37" s="30" t="s">
        <v>54</v>
      </c>
      <c r="C37" s="33">
        <f>SUM(C4:C36)+F18</f>
        <v>0</v>
      </c>
      <c r="G37" s="14"/>
    </row>
    <row r="39" spans="1:20">
      <c r="A39" s="21" t="s">
        <v>24</v>
      </c>
      <c r="B39" s="35"/>
      <c r="C39" s="35"/>
      <c r="D39" s="35"/>
      <c r="E39" s="36"/>
      <c r="F39" s="36"/>
      <c r="G39" s="36"/>
      <c r="H39" s="36"/>
      <c r="I39" s="36"/>
      <c r="J39" s="36"/>
      <c r="K39" s="36"/>
      <c r="L39" s="36"/>
      <c r="M39" s="35"/>
      <c r="N39" s="35"/>
      <c r="O39" s="35"/>
      <c r="P39" s="35"/>
      <c r="Q39" s="35"/>
      <c r="R39" s="35"/>
      <c r="S39" s="35"/>
    </row>
    <row r="40" spans="1:20">
      <c r="C40" s="15" t="s">
        <v>59</v>
      </c>
      <c r="D40" s="234" t="s">
        <v>60</v>
      </c>
      <c r="E40" s="234"/>
      <c r="F40" s="234" t="s">
        <v>61</v>
      </c>
      <c r="G40" s="234"/>
      <c r="H40" s="234" t="s">
        <v>64</v>
      </c>
      <c r="I40" s="234"/>
      <c r="J40" s="15" t="s">
        <v>63</v>
      </c>
    </row>
    <row r="41" spans="1:20">
      <c r="A41" s="21" t="s">
        <v>99</v>
      </c>
      <c r="B41" s="55">
        <v>0</v>
      </c>
      <c r="C41" s="37">
        <v>90</v>
      </c>
      <c r="D41" s="38">
        <v>90</v>
      </c>
      <c r="E41" s="38">
        <v>95</v>
      </c>
      <c r="F41" s="39">
        <v>95</v>
      </c>
      <c r="G41" s="39">
        <v>105</v>
      </c>
      <c r="H41" s="39">
        <v>105</v>
      </c>
      <c r="I41" s="39">
        <v>110</v>
      </c>
      <c r="J41" s="39">
        <v>110</v>
      </c>
    </row>
    <row r="42" spans="1:20">
      <c r="A42" s="21" t="s">
        <v>86</v>
      </c>
      <c r="B42" s="22">
        <v>0</v>
      </c>
      <c r="C42" s="37">
        <v>180</v>
      </c>
      <c r="D42" s="38">
        <v>180</v>
      </c>
      <c r="E42" s="38">
        <v>195</v>
      </c>
      <c r="F42" s="39">
        <v>195</v>
      </c>
      <c r="G42" s="39">
        <v>205</v>
      </c>
      <c r="H42" s="39">
        <v>205</v>
      </c>
      <c r="I42" s="39">
        <v>215</v>
      </c>
      <c r="J42" s="39">
        <v>215</v>
      </c>
      <c r="K42" s="38"/>
      <c r="N42" s="38"/>
      <c r="T42" s="38"/>
    </row>
    <row r="43" spans="1:20">
      <c r="A43" s="21" t="s">
        <v>65</v>
      </c>
      <c r="B43" s="22">
        <v>0</v>
      </c>
      <c r="C43" s="37">
        <v>180</v>
      </c>
      <c r="D43" s="38">
        <v>180</v>
      </c>
      <c r="E43" s="38">
        <v>195</v>
      </c>
      <c r="F43" s="39">
        <v>195</v>
      </c>
      <c r="G43" s="39">
        <v>205</v>
      </c>
      <c r="H43" s="39">
        <v>205</v>
      </c>
      <c r="I43" s="39">
        <v>215</v>
      </c>
      <c r="J43" s="39">
        <v>215</v>
      </c>
      <c r="K43" s="38"/>
      <c r="N43" s="38"/>
      <c r="T43" s="38"/>
    </row>
    <row r="44" spans="1:20">
      <c r="A44" s="21" t="s">
        <v>34</v>
      </c>
      <c r="B44" s="22">
        <v>0</v>
      </c>
      <c r="C44" s="38">
        <v>290</v>
      </c>
      <c r="D44" s="38">
        <v>290</v>
      </c>
      <c r="E44" s="38">
        <v>300</v>
      </c>
      <c r="F44" s="38">
        <v>300</v>
      </c>
      <c r="G44" s="38">
        <v>315</v>
      </c>
      <c r="H44" s="38">
        <v>315</v>
      </c>
      <c r="I44" s="38">
        <v>330</v>
      </c>
      <c r="J44" s="38">
        <v>330</v>
      </c>
      <c r="K44" s="38"/>
      <c r="N44" s="38"/>
      <c r="T44" s="38"/>
    </row>
    <row r="45" spans="1:20">
      <c r="A45" s="21" t="s">
        <v>33</v>
      </c>
      <c r="B45" s="22">
        <v>0</v>
      </c>
      <c r="C45" s="38">
        <v>180</v>
      </c>
      <c r="D45" s="38">
        <v>180</v>
      </c>
      <c r="E45" s="38">
        <v>190</v>
      </c>
      <c r="F45" s="38">
        <v>190</v>
      </c>
      <c r="G45" s="38">
        <v>205</v>
      </c>
      <c r="H45" s="38">
        <v>205</v>
      </c>
      <c r="I45" s="38">
        <v>215</v>
      </c>
      <c r="J45" s="38">
        <v>215</v>
      </c>
      <c r="K45" s="38"/>
      <c r="N45" s="38"/>
      <c r="T45" s="38"/>
    </row>
    <row r="46" spans="1:20">
      <c r="A46" s="21" t="s">
        <v>35</v>
      </c>
      <c r="B46" s="22">
        <v>0</v>
      </c>
      <c r="C46" s="38">
        <v>180</v>
      </c>
      <c r="D46" s="38">
        <v>180</v>
      </c>
      <c r="E46" s="38">
        <v>190</v>
      </c>
      <c r="F46" s="38">
        <v>190</v>
      </c>
      <c r="G46" s="38">
        <v>205</v>
      </c>
      <c r="H46" s="38">
        <v>205</v>
      </c>
      <c r="I46" s="38">
        <v>215</v>
      </c>
      <c r="J46" s="38">
        <v>215</v>
      </c>
      <c r="K46" s="38"/>
      <c r="N46" s="38"/>
      <c r="T46" s="38"/>
    </row>
    <row r="47" spans="1:20">
      <c r="A47" s="21" t="s">
        <v>94</v>
      </c>
      <c r="B47" s="51">
        <v>1</v>
      </c>
      <c r="C47" s="38">
        <v>-5</v>
      </c>
      <c r="D47" s="38">
        <v>-5</v>
      </c>
      <c r="E47" s="38">
        <v>-2.5</v>
      </c>
      <c r="F47" s="38">
        <v>-2.5</v>
      </c>
      <c r="G47" s="38">
        <v>2.5</v>
      </c>
      <c r="H47" s="38">
        <v>2.5</v>
      </c>
      <c r="I47" s="38">
        <v>5</v>
      </c>
      <c r="J47" s="38">
        <v>5</v>
      </c>
      <c r="K47" s="38"/>
      <c r="N47" s="38"/>
      <c r="T47" s="38"/>
    </row>
    <row r="48" spans="1:20">
      <c r="A48" s="21" t="s">
        <v>95</v>
      </c>
      <c r="B48" s="51">
        <v>1</v>
      </c>
      <c r="C48" s="38">
        <v>-5</v>
      </c>
      <c r="D48" s="38">
        <v>-5</v>
      </c>
      <c r="E48" s="38">
        <v>-2.5</v>
      </c>
      <c r="F48" s="38">
        <v>-2.5</v>
      </c>
      <c r="G48" s="38">
        <v>2.5</v>
      </c>
      <c r="H48" s="38">
        <v>2.5</v>
      </c>
      <c r="I48" s="38">
        <v>5</v>
      </c>
      <c r="J48" s="38">
        <v>5</v>
      </c>
      <c r="K48" s="38"/>
      <c r="N48" s="38"/>
      <c r="T48" s="38"/>
    </row>
    <row r="49" spans="1:20">
      <c r="A49" s="21" t="s">
        <v>25</v>
      </c>
      <c r="B49" s="22">
        <v>1</v>
      </c>
      <c r="C49" s="38">
        <v>-5</v>
      </c>
      <c r="D49" s="38">
        <v>-5</v>
      </c>
      <c r="E49" s="38">
        <v>-2.5</v>
      </c>
      <c r="F49" s="38">
        <v>-2.5</v>
      </c>
      <c r="G49" s="38">
        <v>2.5</v>
      </c>
      <c r="H49" s="38">
        <v>2.5</v>
      </c>
      <c r="I49" s="38">
        <v>5</v>
      </c>
      <c r="J49" s="38">
        <v>5</v>
      </c>
      <c r="K49" s="38"/>
      <c r="N49" s="38"/>
      <c r="T49" s="38"/>
    </row>
    <row r="50" spans="1:20">
      <c r="A50" s="21" t="s">
        <v>26</v>
      </c>
      <c r="B50" s="22">
        <v>1</v>
      </c>
      <c r="C50" s="38">
        <v>-5</v>
      </c>
      <c r="D50" s="38">
        <v>-5</v>
      </c>
      <c r="E50" s="38">
        <v>-2.5</v>
      </c>
      <c r="F50" s="38">
        <v>-2.5</v>
      </c>
      <c r="G50" s="38">
        <v>2.5</v>
      </c>
      <c r="H50" s="38">
        <v>2.5</v>
      </c>
      <c r="I50" s="38">
        <v>5</v>
      </c>
      <c r="J50" s="38">
        <v>5</v>
      </c>
      <c r="K50" s="38"/>
      <c r="N50" s="38"/>
      <c r="T50" s="38"/>
    </row>
    <row r="51" spans="1:20">
      <c r="A51" s="21" t="s">
        <v>43</v>
      </c>
      <c r="B51" s="22">
        <v>1</v>
      </c>
      <c r="C51" s="38">
        <v>-5</v>
      </c>
      <c r="D51" s="38">
        <v>-5</v>
      </c>
      <c r="E51" s="38">
        <v>-2.5</v>
      </c>
      <c r="F51" s="38">
        <v>-2.5</v>
      </c>
      <c r="G51" s="38">
        <v>2.5</v>
      </c>
      <c r="H51" s="38">
        <v>2.5</v>
      </c>
      <c r="I51" s="38">
        <v>5</v>
      </c>
      <c r="J51" s="38">
        <v>5</v>
      </c>
      <c r="K51" s="38"/>
      <c r="N51" s="38"/>
      <c r="T51" s="38"/>
    </row>
    <row r="52" spans="1:20">
      <c r="A52" s="21" t="s">
        <v>44</v>
      </c>
      <c r="B52" s="22">
        <v>1</v>
      </c>
      <c r="C52" s="38">
        <v>-5</v>
      </c>
      <c r="D52" s="38">
        <v>-5</v>
      </c>
      <c r="E52" s="38">
        <v>-2.5</v>
      </c>
      <c r="F52" s="38">
        <v>-2.5</v>
      </c>
      <c r="G52" s="38">
        <v>2.5</v>
      </c>
      <c r="H52" s="38">
        <v>2.5</v>
      </c>
      <c r="I52" s="38">
        <v>5</v>
      </c>
      <c r="J52" s="38">
        <v>5</v>
      </c>
      <c r="K52" s="38"/>
      <c r="N52" s="38"/>
      <c r="T52" s="38"/>
    </row>
    <row r="53" spans="1:20">
      <c r="A53" s="21" t="s">
        <v>27</v>
      </c>
      <c r="B53" s="22">
        <v>0</v>
      </c>
      <c r="C53" s="38">
        <v>330</v>
      </c>
      <c r="D53" s="38">
        <v>330</v>
      </c>
      <c r="E53" s="38">
        <v>340</v>
      </c>
      <c r="F53" s="38">
        <v>340</v>
      </c>
      <c r="G53" s="38">
        <v>360</v>
      </c>
      <c r="H53" s="38">
        <v>360</v>
      </c>
      <c r="I53" s="38">
        <v>365</v>
      </c>
      <c r="J53" s="38">
        <v>365</v>
      </c>
      <c r="K53" s="38"/>
      <c r="N53" s="38"/>
      <c r="T53" s="38"/>
    </row>
    <row r="54" spans="1:20">
      <c r="A54" s="21" t="s">
        <v>28</v>
      </c>
      <c r="B54" s="22">
        <v>0</v>
      </c>
      <c r="C54" s="38">
        <v>330</v>
      </c>
      <c r="D54" s="38">
        <v>330</v>
      </c>
      <c r="E54" s="38">
        <v>340</v>
      </c>
      <c r="F54" s="38">
        <v>340</v>
      </c>
      <c r="G54" s="38">
        <v>360</v>
      </c>
      <c r="H54" s="38">
        <v>360</v>
      </c>
      <c r="I54" s="38">
        <v>365</v>
      </c>
      <c r="J54" s="38">
        <v>365</v>
      </c>
      <c r="K54" s="38"/>
      <c r="N54" s="38"/>
      <c r="T54" s="38"/>
    </row>
    <row r="55" spans="1:20">
      <c r="A55" s="21" t="s">
        <v>29</v>
      </c>
      <c r="B55" s="22">
        <v>0</v>
      </c>
      <c r="C55" s="38">
        <v>330</v>
      </c>
      <c r="D55" s="38">
        <v>330</v>
      </c>
      <c r="E55" s="38">
        <v>340</v>
      </c>
      <c r="F55" s="38">
        <v>340</v>
      </c>
      <c r="G55" s="38">
        <v>360</v>
      </c>
      <c r="H55" s="38">
        <v>360</v>
      </c>
      <c r="I55" s="38">
        <v>365</v>
      </c>
      <c r="J55" s="38">
        <v>365</v>
      </c>
      <c r="K55" s="38"/>
      <c r="N55" s="38"/>
      <c r="T55" s="38"/>
    </row>
    <row r="56" spans="1:20">
      <c r="A56" s="21" t="s">
        <v>42</v>
      </c>
      <c r="B56" s="22">
        <v>0</v>
      </c>
      <c r="C56" s="38">
        <v>330</v>
      </c>
      <c r="D56" s="38">
        <v>330</v>
      </c>
      <c r="E56" s="38">
        <v>340</v>
      </c>
      <c r="F56" s="38">
        <v>340</v>
      </c>
      <c r="G56" s="38">
        <v>360</v>
      </c>
      <c r="H56" s="38">
        <v>360</v>
      </c>
      <c r="I56" s="38">
        <v>365</v>
      </c>
      <c r="J56" s="38">
        <v>365</v>
      </c>
      <c r="K56" s="38"/>
      <c r="N56" s="38"/>
      <c r="T56" s="38"/>
    </row>
    <row r="57" spans="1:20">
      <c r="A57" s="21" t="s">
        <v>41</v>
      </c>
      <c r="B57" s="22">
        <v>0</v>
      </c>
      <c r="C57" s="38">
        <v>330</v>
      </c>
      <c r="D57" s="38">
        <v>330</v>
      </c>
      <c r="E57" s="38">
        <v>340</v>
      </c>
      <c r="F57" s="38">
        <v>340</v>
      </c>
      <c r="G57" s="38">
        <v>360</v>
      </c>
      <c r="H57" s="38">
        <v>360</v>
      </c>
      <c r="I57" s="38">
        <v>365</v>
      </c>
      <c r="J57" s="38">
        <v>365</v>
      </c>
      <c r="K57" s="38"/>
      <c r="N57" s="38"/>
      <c r="T57" s="38"/>
    </row>
    <row r="58" spans="1:20">
      <c r="A58" s="21" t="s">
        <v>30</v>
      </c>
      <c r="B58" s="22">
        <v>0</v>
      </c>
      <c r="C58" s="38">
        <v>330</v>
      </c>
      <c r="D58" s="38">
        <v>330</v>
      </c>
      <c r="E58" s="38">
        <v>340</v>
      </c>
      <c r="F58" s="38">
        <v>340</v>
      </c>
      <c r="G58" s="38">
        <v>360</v>
      </c>
      <c r="H58" s="38">
        <v>360</v>
      </c>
      <c r="I58" s="38">
        <v>365</v>
      </c>
      <c r="J58" s="38">
        <v>365</v>
      </c>
      <c r="K58" s="38"/>
      <c r="N58" s="38"/>
      <c r="T58" s="38"/>
    </row>
    <row r="59" spans="1:20">
      <c r="A59" s="21" t="s">
        <v>31</v>
      </c>
      <c r="B59" s="22">
        <v>0</v>
      </c>
      <c r="C59" s="38">
        <v>180</v>
      </c>
      <c r="D59" s="38">
        <v>180</v>
      </c>
      <c r="E59" s="38">
        <v>190</v>
      </c>
      <c r="F59" s="38">
        <v>190</v>
      </c>
      <c r="G59" s="38">
        <v>205</v>
      </c>
      <c r="H59" s="38">
        <v>205</v>
      </c>
      <c r="I59" s="38">
        <v>215</v>
      </c>
      <c r="J59" s="38">
        <v>215</v>
      </c>
      <c r="K59" s="38"/>
      <c r="N59" s="38"/>
      <c r="T59" s="38"/>
    </row>
    <row r="60" spans="1:20">
      <c r="A60" s="21" t="s">
        <v>32</v>
      </c>
      <c r="B60" s="22">
        <v>0</v>
      </c>
      <c r="C60" s="38">
        <v>480</v>
      </c>
      <c r="D60" s="38">
        <v>480</v>
      </c>
      <c r="E60" s="38">
        <v>495</v>
      </c>
      <c r="F60" s="38">
        <v>495</v>
      </c>
      <c r="G60" s="38">
        <v>515</v>
      </c>
      <c r="H60" s="38">
        <v>515</v>
      </c>
      <c r="I60" s="38">
        <v>525</v>
      </c>
      <c r="J60" s="38">
        <v>525</v>
      </c>
      <c r="K60" s="38"/>
      <c r="N60" s="38"/>
      <c r="T60" s="38"/>
    </row>
    <row r="61" spans="1:20">
      <c r="A61" s="21" t="s">
        <v>40</v>
      </c>
      <c r="B61" s="22">
        <v>0</v>
      </c>
      <c r="C61" s="38">
        <v>480</v>
      </c>
      <c r="D61" s="38">
        <v>480</v>
      </c>
      <c r="E61" s="38">
        <v>495</v>
      </c>
      <c r="F61" s="38">
        <v>495</v>
      </c>
      <c r="G61" s="38">
        <v>515</v>
      </c>
      <c r="H61" s="38">
        <v>515</v>
      </c>
      <c r="I61" s="38">
        <v>525</v>
      </c>
      <c r="J61" s="38">
        <v>525</v>
      </c>
    </row>
    <row r="62" spans="1:20">
      <c r="C62" s="14"/>
      <c r="E62" s="15"/>
    </row>
    <row r="64" spans="1:20">
      <c r="A64" s="21" t="s">
        <v>58</v>
      </c>
      <c r="B64" s="22" t="s">
        <v>59</v>
      </c>
      <c r="C64" s="235" t="s">
        <v>60</v>
      </c>
      <c r="D64" s="235"/>
      <c r="E64" s="234" t="s">
        <v>61</v>
      </c>
      <c r="F64" s="234"/>
      <c r="G64" s="234" t="s">
        <v>62</v>
      </c>
      <c r="H64" s="234"/>
      <c r="I64" s="15" t="s">
        <v>63</v>
      </c>
      <c r="J64" s="15" t="s">
        <v>109</v>
      </c>
      <c r="K64" s="15" t="s">
        <v>110</v>
      </c>
    </row>
    <row r="65" spans="1:14">
      <c r="A65" s="21">
        <f>'Ordem de Serviço'!C$13</f>
        <v>0</v>
      </c>
      <c r="B65" s="35" t="e">
        <f>VLOOKUP(A$65,A$41:J$61,3,0)</f>
        <v>#N/A</v>
      </c>
      <c r="C65" s="35" t="e">
        <f>VLOOKUP(A$65,A$41:J$61,4,0)</f>
        <v>#N/A</v>
      </c>
      <c r="D65" s="15" t="e">
        <f>VLOOKUP(A$65,A$41:J$61,5,0)</f>
        <v>#N/A</v>
      </c>
      <c r="E65" s="15" t="e">
        <f>VLOOKUP(A$65,A$41:J$61,6,0)</f>
        <v>#N/A</v>
      </c>
      <c r="F65" s="15" t="e">
        <f>VLOOKUP(A$65,A$41:J$61,7,0)</f>
        <v>#N/A</v>
      </c>
      <c r="G65" s="15" t="e">
        <f>VLOOKUP(A$65,A$41:J$61,8,0)</f>
        <v>#N/A</v>
      </c>
      <c r="H65" s="15" t="e">
        <f>VLOOKUP(A$65,A$41:J$61,9,0)</f>
        <v>#N/A</v>
      </c>
      <c r="I65" s="15" t="e">
        <f>VLOOKUP(A$65,A$41:J$61,10,0)</f>
        <v>#N/A</v>
      </c>
      <c r="J65" s="68" t="e">
        <f>VLOOKUP('Ordem de Serviço'!C9,Dados!A68:G84,7,0)</f>
        <v>#N/A</v>
      </c>
      <c r="K65" s="68">
        <f>IF('Ordem de Serviço'!J11=0,SUM(Dados!E65-Dados!J65),IF('Ordem de Serviço'!J11=1,SUM(Dados!E65-Dados!J65),IF('Ordem de Serviço'!J11=3,SUM(J65-F65),IF('Ordem de Serviço'!J11=4,SUM(J65-F65),0))))</f>
        <v>0</v>
      </c>
      <c r="L65" s="68" t="e">
        <f>J65-F65</f>
        <v>#N/A</v>
      </c>
    </row>
    <row r="66" spans="1:14">
      <c r="A66" s="15"/>
      <c r="B66" s="15"/>
      <c r="C66" s="15"/>
      <c r="D66" s="15"/>
      <c r="E66" s="15"/>
      <c r="H66" s="14"/>
    </row>
    <row r="67" spans="1:14">
      <c r="B67" s="21" t="s">
        <v>100</v>
      </c>
      <c r="C67" s="21" t="s">
        <v>102</v>
      </c>
      <c r="D67" s="21" t="s">
        <v>101</v>
      </c>
      <c r="E67" s="22" t="s">
        <v>57</v>
      </c>
      <c r="F67" s="33" t="s">
        <v>68</v>
      </c>
      <c r="G67" s="14" t="s">
        <v>66</v>
      </c>
      <c r="H67" s="57" t="s">
        <v>67</v>
      </c>
      <c r="J67" s="234" t="s">
        <v>69</v>
      </c>
      <c r="K67" s="234"/>
      <c r="L67" s="234"/>
      <c r="M67" s="234"/>
    </row>
    <row r="68" spans="1:14">
      <c r="A68" s="15" t="str">
        <f>[1]Carga!$D$1</f>
        <v xml:space="preserve">Branco </v>
      </c>
      <c r="B68" s="15">
        <f>HLOOKUP(A68,[1]Carga!$D$1:$T$3,C68,0)</f>
        <v>1.5</v>
      </c>
      <c r="C68" s="15">
        <f>IF('Ordem de Serviço'!$C$13="CPP Basecoat® Poliéster",3,2)</f>
        <v>2</v>
      </c>
      <c r="D68" s="15">
        <f>IF(ISERROR(VLOOKUP('Ordem de Serviço'!$C$8,[1]Carga!$A$4:$C$203,Dados!C68,0)),1,VLOOKUP('Ordem de Serviço'!$C$8,[1]Carga!$A$4:$C$203,Dados!C68,0))</f>
        <v>1</v>
      </c>
      <c r="E68" s="26">
        <f t="shared" ref="E68:E84" si="3">SUM(B68*D68)</f>
        <v>1.5</v>
      </c>
      <c r="F68" s="42" t="str">
        <f ca="1">IF(ISERROR(SUM(SUM(SUM(SUM('Ordem de Serviço'!C$20:G$34,'Ordem de Serviço'!C$36:G$45)-SUM('PIgmentos Desconsiderados Carga'!B$2:F$39))/E68)/'Ordem de Serviço'!$C$14)*1000),"",SUM(SUM(SUM(SUM('Ordem de Serviço'!C$20:G$34,'Ordem de Serviço'!C$36:G$45)-SUM('PIgmentos Desconsiderados Carga'!B$2:F$39))/E68)/'Ordem de Serviço'!$C$14)*1000)</f>
        <v/>
      </c>
      <c r="G68" s="42" t="str">
        <f ca="1">IF(ISERROR(IF($A$65=$A$41,F68,IF($A$65=$A$42,F68,IF($A$65=$A$43,F68,SUM(SUM(SUM(SUM('Ordem de Serviço'!$C$20:$G$34,'Ordem de Serviço'!$C$36:$G$45)-SUM('PIgmentos Desconsiderados Carga'!$B$2:$F$39))/'Ordem de Serviço'!$C$14)*1000))))),"",IF($A$65=$A$41,F68,IF($A$65=$A$42,F68,IF($A$65=$A$43,F68,SUM(SUM(SUM(SUM('Ordem de Serviço'!$C$20:$G$34,'Ordem de Serviço'!$C$36:$G$45)-SUM('PIgmentos Desconsiderados Carga'!$B$2:$F$39))/'Ordem de Serviço'!$C$14)*1000)))))</f>
        <v/>
      </c>
      <c r="H68" s="56" t="b">
        <f t="shared" ref="H68:H84" si="4">IF(ISERROR(IF($F$3=0,IF(G68&lt;$B$65,0,IF(G68&gt;=$C$65,IF(G68&lt;$D$65,1,IF(G68&gt;=$E$65,IF(G68&lt;=$F$65,2,IF(G68&gt;=$G$65,IF(G68&lt;=$H$65,3,IF(G68&gt;=$I$65,4,0)))))))),IF($F$3=1,IF($F$3=1,IF($N$81&lt;$B$65,0,IF($N$81&gt;$C$65,IF($N$81&lt;$D$65,1,IF($N$81&gt;$E$65,IF($N$81&lt;$F$65,2,IF($N$81&gt;$G$65,IF($N$81&lt;$H$65,3,IF($N$81&gt;$I$65,4,0)))))))))))),"",IF($F$3=0,IF(G68&lt;$B$65,0,IF(G68&gt;=$C$65,IF(G68&lt;$D$65,1,IF(G68&gt;=$E$65,IF(G68&lt;=$F$65,2,IF(G68&gt;=$G$65,IF(G68&lt;=$H$65,3,IF(G68&gt;$I$65,4,0)))))))),IF($F$3=1,IF($F$3=1,IF($N$81&lt;$B$65,0,IF($N$81&gt;$C$65,IF($N$81&lt;$D$65,1,IF($N$81&gt;$E$65,IF($N$81&lt;$F$65,2,IF($N$81&gt;$G$65,IF($N$81&lt;$H$65,3,IF($N$81&gt;$I$65,4,0))))))))))))</f>
        <v>0</v>
      </c>
      <c r="J68" s="15">
        <v>0</v>
      </c>
      <c r="K68" s="15" t="s">
        <v>74</v>
      </c>
    </row>
    <row r="69" spans="1:14">
      <c r="A69" s="21" t="str">
        <f>[1]Carga!$E$1</f>
        <v>Branco Resinado (BP06)</v>
      </c>
      <c r="B69" s="15">
        <f>HLOOKUP(A69,[1]Carga!$D$1:$T$3,C69,0)</f>
        <v>1</v>
      </c>
      <c r="C69" s="15">
        <f>IF('Ordem de Serviço'!$C$13="CPP Basecoat® Poliéster",3,2)</f>
        <v>2</v>
      </c>
      <c r="D69" s="15">
        <f>IF(ISERROR(VLOOKUP('Ordem de Serviço'!$C$8,[1]Carga!$A$4:$C$203,Dados!C69,0)),1,VLOOKUP('Ordem de Serviço'!$C$8,[1]Carga!$A$4:$C$203,Dados!C69,0))</f>
        <v>1</v>
      </c>
      <c r="E69" s="26">
        <f t="shared" si="3"/>
        <v>1</v>
      </c>
      <c r="F69" s="42"/>
      <c r="G69" s="42" t="str">
        <f ca="1">IF(ISERROR(IF($A$65=$A$41,F69,IF($A$65=$A$42,F69,IF($A$65=$A$43,F69,SUM(SUM(SUM(SUM('Ordem de Serviço'!$C$20:$G$34,'Ordem de Serviço'!$C$36:$G$45)-SUM('PIgmentos Desconsiderados Carga'!$B$2:$F$39))/'Ordem de Serviço'!$C$14)*1000))))),"",IF($A$65=$A$41,F69,IF($A$65=$A$42,F69,IF($A$65=$A$43,F69,SUM(SUM(SUM(SUM('Ordem de Serviço'!$C$20:$G$34,'Ordem de Serviço'!$C$36:$G$45)-SUM('PIgmentos Desconsiderados Carga'!$B$2:$F$39))/'Ordem de Serviço'!$C$14)*1000)))))</f>
        <v/>
      </c>
      <c r="H69" s="56" t="b">
        <f t="shared" si="4"/>
        <v>0</v>
      </c>
      <c r="J69" s="15">
        <v>1</v>
      </c>
      <c r="K69" s="15" t="s">
        <v>70</v>
      </c>
    </row>
    <row r="70" spans="1:14">
      <c r="A70" s="21" t="str">
        <f>[1]Carga!$F$1</f>
        <v xml:space="preserve">Preto </v>
      </c>
      <c r="B70" s="15">
        <f>HLOOKUP(A70,[1]Carga!$D$1:$T$3,C70,0)</f>
        <v>1.3</v>
      </c>
      <c r="C70" s="15">
        <f>IF('Ordem de Serviço'!$C$13="CPP Basecoat® Poliéster",3,2)</f>
        <v>2</v>
      </c>
      <c r="D70" s="15">
        <f>IF(ISERROR(VLOOKUP('Ordem de Serviço'!$C$8,[1]Carga!$A$4:$C$203,Dados!C70,0)),1,VLOOKUP('Ordem de Serviço'!$C$8,[1]Carga!$A$4:$C$203,Dados!C70,0))</f>
        <v>1</v>
      </c>
      <c r="E70" s="26">
        <f t="shared" si="3"/>
        <v>1.3</v>
      </c>
      <c r="F70" s="42" t="str">
        <f ca="1">IF(ISERROR(SUM(SUM(SUM(SUM('Ordem de Serviço'!C$20:G$34,'Ordem de Serviço'!C$36:G$45)-SUM('PIgmentos Desconsiderados Carga'!B$2:F$39))/E70)/'Ordem de Serviço'!$C$14)*1000),"",SUM(SUM(SUM(SUM('Ordem de Serviço'!C$20:G$34,'Ordem de Serviço'!C$36:G$45)-SUM('PIgmentos Desconsiderados Carga'!B$2:F$39))/E70)/'Ordem de Serviço'!$C$14)*1000)</f>
        <v/>
      </c>
      <c r="G70" s="42" t="str">
        <f ca="1">IF(ISERROR(IF($A$65=$A$41,F70,IF($A$65=$A$42,F70,IF($A$65=$A$43,F70,SUM(SUM(SUM(SUM('Ordem de Serviço'!$C$20:$G$34,'Ordem de Serviço'!$C$36:$G$45)-SUM('PIgmentos Desconsiderados Carga'!$B$2:$F$39))/'Ordem de Serviço'!$C$14)*1000))))),"",IF($A$65=$A$41,F70,IF($A$65=$A$42,F70,IF($A$65=$A$43,F70,SUM(SUM(SUM(SUM('Ordem de Serviço'!$C$20:$G$34,'Ordem de Serviço'!$C$36:$G$45)-SUM('PIgmentos Desconsiderados Carga'!$B$2:$F$39))/'Ordem de Serviço'!$C$14)*1000)))))</f>
        <v/>
      </c>
      <c r="H70" s="56" t="b">
        <f t="shared" si="4"/>
        <v>0</v>
      </c>
      <c r="J70" s="15">
        <v>2</v>
      </c>
      <c r="K70" s="15" t="s">
        <v>71</v>
      </c>
    </row>
    <row r="71" spans="1:14">
      <c r="A71" s="21" t="str">
        <f>[1]Carga!$G$1</f>
        <v>Preto Perolizado</v>
      </c>
      <c r="B71" s="15">
        <f>HLOOKUP(A71,[1]Carga!$D$1:$T$3,C71,0)</f>
        <v>1.2</v>
      </c>
      <c r="C71" s="15">
        <f>IF('Ordem de Serviço'!$C$13="CPP Basecoat® Poliéster",3,2)</f>
        <v>2</v>
      </c>
      <c r="D71" s="15">
        <f>IF(ISERROR(VLOOKUP('Ordem de Serviço'!$C$8,[1]Carga!$A$4:$C$203,Dados!C71,0)),1,VLOOKUP('Ordem de Serviço'!$C$8,[1]Carga!$A$4:$C$203,Dados!C71,0))</f>
        <v>1</v>
      </c>
      <c r="E71" s="26">
        <f t="shared" si="3"/>
        <v>1.2</v>
      </c>
      <c r="F71" s="42" t="str">
        <f ca="1">IF(ISERROR(SUM(SUM(SUM(SUM('Ordem de Serviço'!C$20:G$34,'Ordem de Serviço'!C$36:G$45)-SUM('PIgmentos Desconsiderados Carga'!B$2:F$39))/E71)/'Ordem de Serviço'!$C$14)*1000),"",SUM(SUM(SUM(SUM('Ordem de Serviço'!C$20:G$34,'Ordem de Serviço'!C$36:G$45)-SUM('PIgmentos Desconsiderados Carga'!B$2:F$39))/E71)/'Ordem de Serviço'!$C$14)*1000)</f>
        <v/>
      </c>
      <c r="G71" s="42" t="str">
        <f ca="1">IF(ISERROR(IF($A$65=$A$41,F71,IF($A$65=$A$42,F71,IF($A$65=$A$43,F71,SUM(SUM(SUM(SUM('Ordem de Serviço'!$C$20:$G$34,'Ordem de Serviço'!$C$36:$G$45)-SUM('PIgmentos Desconsiderados Carga'!$B$2:$F$39))/'Ordem de Serviço'!$C$14)*1000))))),"",IF($A$65=$A$41,F71,IF($A$65=$A$42,F71,IF($A$65=$A$43,F71,SUM(SUM(SUM(SUM('Ordem de Serviço'!$C$20:$G$34,'Ordem de Serviço'!$C$36:$G$45)-SUM('PIgmentos Desconsiderados Carga'!$B$2:$F$39))/'Ordem de Serviço'!$C$14)*1000)))))</f>
        <v/>
      </c>
      <c r="H71" s="56" t="b">
        <f t="shared" si="4"/>
        <v>0</v>
      </c>
      <c r="J71" s="15">
        <v>3</v>
      </c>
      <c r="K71" s="15" t="s">
        <v>72</v>
      </c>
    </row>
    <row r="72" spans="1:14">
      <c r="A72" s="21" t="str">
        <f>[1]Carga!$H$1</f>
        <v xml:space="preserve">Prata </v>
      </c>
      <c r="B72" s="15">
        <f>HLOOKUP(A72,[1]Carga!$D$1:$T$3,C72,0)</f>
        <v>1</v>
      </c>
      <c r="C72" s="15">
        <f>IF('Ordem de Serviço'!$C$13="CPP Basecoat® Poliéster",3,2)</f>
        <v>2</v>
      </c>
      <c r="D72" s="15">
        <f>IF(ISERROR(VLOOKUP('Ordem de Serviço'!$C$8,[1]Carga!$A$4:$C$203,Dados!C72,0)),1,VLOOKUP('Ordem de Serviço'!$C$8,[1]Carga!$A$4:$C$203,Dados!C72,0))</f>
        <v>1</v>
      </c>
      <c r="E72" s="26">
        <f t="shared" si="3"/>
        <v>1</v>
      </c>
      <c r="F72" s="42" t="str">
        <f ca="1">IF(ISERROR(SUM(SUM(SUM(SUM('Ordem de Serviço'!C$20:G$34,'Ordem de Serviço'!C$36:G$45)-SUM('PIgmentos Desconsiderados Carga'!B$2:F$39))/E72)/'Ordem de Serviço'!$C$14)*1000),"",SUM(SUM(SUM(SUM('Ordem de Serviço'!C$20:G$34,'Ordem de Serviço'!C$36:G$45)-SUM('PIgmentos Desconsiderados Carga'!B$2:F$39))/E72)/'Ordem de Serviço'!$C$14)*1000)</f>
        <v/>
      </c>
      <c r="G72" s="42" t="str">
        <f ca="1">IF(ISERROR(IF($A$65=$A$41,F72,IF($A$65=$A$42,F72,IF($A$65=$A$43,F72,SUM(SUM(SUM(SUM('Ordem de Serviço'!$C$20:$G$34,'Ordem de Serviço'!$C$36:$G$45)-SUM('PIgmentos Desconsiderados Carga'!$B$2:$F$39))/'Ordem de Serviço'!$C$14)*1000))))),"",IF($A$65=$A$41,F72,IF($A$65=$A$42,F72,IF($A$65=$A$43,F72,SUM(SUM(SUM(SUM('Ordem de Serviço'!$C$20:$G$34,'Ordem de Serviço'!$C$36:$G$45)-SUM('PIgmentos Desconsiderados Carga'!$B$2:$F$39))/'Ordem de Serviço'!$C$14)*1000)))))</f>
        <v/>
      </c>
      <c r="H72" s="56" t="b">
        <f t="shared" si="4"/>
        <v>0</v>
      </c>
      <c r="J72" s="15">
        <v>4</v>
      </c>
      <c r="K72" s="15" t="s">
        <v>73</v>
      </c>
    </row>
    <row r="73" spans="1:14">
      <c r="A73" s="21" t="str">
        <f>[1]Carga!$I$1</f>
        <v>Azul Liso</v>
      </c>
      <c r="B73" s="15">
        <f>HLOOKUP(A73,[1]Carga!$D$1:$T$3,C73,0)</f>
        <v>1.1000000000000001</v>
      </c>
      <c r="C73" s="15">
        <f>IF('Ordem de Serviço'!$C$13="CPP Basecoat® Poliéster",3,2)</f>
        <v>2</v>
      </c>
      <c r="D73" s="15">
        <f>IF(ISERROR(VLOOKUP('Ordem de Serviço'!$C$8,[1]Carga!$A$4:$C$203,Dados!C73,0)),1,VLOOKUP('Ordem de Serviço'!$C$8,[1]Carga!$A$4:$C$203,Dados!C73,0))</f>
        <v>1</v>
      </c>
      <c r="E73" s="26">
        <f t="shared" si="3"/>
        <v>1.1000000000000001</v>
      </c>
      <c r="F73" s="42" t="str">
        <f ca="1">IF(ISERROR(SUM(SUM(SUM(SUM('Ordem de Serviço'!C$20:G$34,'Ordem de Serviço'!C$36:G$45)-SUM('PIgmentos Desconsiderados Carga'!B$2:F$39))/E73)/'Ordem de Serviço'!$C$14)*1000),"",SUM(SUM(SUM(SUM('Ordem de Serviço'!C$20:G$34,'Ordem de Serviço'!C$36:G$45)-SUM('PIgmentos Desconsiderados Carga'!B$2:F$39))/E73)/'Ordem de Serviço'!$C$14)*1000)</f>
        <v/>
      </c>
      <c r="G73" s="42" t="str">
        <f ca="1">IF(ISERROR(IF($A$65=$A$41,F73,IF($A$65=$A$42,F73,IF($A$65=$A$43,F73,SUM(SUM(SUM(SUM('Ordem de Serviço'!$C$20:$G$34,'Ordem de Serviço'!$C$36:$G$45)-SUM('PIgmentos Desconsiderados Carga'!$B$2:$F$39))/'Ordem de Serviço'!$C$14)*1000))))),"",IF($A$65=$A$41,F73,IF($A$65=$A$42,F73,IF($A$65=$A$43,F73,SUM(SUM(SUM(SUM('Ordem de Serviço'!$C$20:$G$34,'Ordem de Serviço'!$C$36:$G$45)-SUM('PIgmentos Desconsiderados Carga'!$B$2:$F$39))/'Ordem de Serviço'!$C$14)*1000)))))</f>
        <v/>
      </c>
      <c r="H73" s="56" t="b">
        <f t="shared" si="4"/>
        <v>0</v>
      </c>
    </row>
    <row r="74" spans="1:14">
      <c r="A74" s="21" t="str">
        <f>[1]Carga!$J$1</f>
        <v xml:space="preserve">Azul Perolizado </v>
      </c>
      <c r="B74" s="15">
        <f>HLOOKUP(A74,[1]Carga!$D$1:$T$3,C74,0)</f>
        <v>1.35</v>
      </c>
      <c r="C74" s="15">
        <f>IF('Ordem de Serviço'!$C$13="CPP Basecoat® Poliéster",3,2)</f>
        <v>2</v>
      </c>
      <c r="D74" s="15">
        <f>IF(ISERROR(VLOOKUP('Ordem de Serviço'!$C$8,[1]Carga!$A$4:$C$203,Dados!C74,0)),1,VLOOKUP('Ordem de Serviço'!$C$8,[1]Carga!$A$4:$C$203,Dados!C74,0))</f>
        <v>1</v>
      </c>
      <c r="E74" s="26">
        <f t="shared" si="3"/>
        <v>1.35</v>
      </c>
      <c r="F74" s="42" t="str">
        <f ca="1">IF(ISERROR(SUM(SUM(SUM(SUM('Ordem de Serviço'!C$20:G$34,'Ordem de Serviço'!C$36:G$45)-SUM('PIgmentos Desconsiderados Carga'!B$2:F$39))/E74)/'Ordem de Serviço'!$C$14)*1000),"",SUM(SUM(SUM(SUM('Ordem de Serviço'!C$20:G$34,'Ordem de Serviço'!C$36:G$45)-SUM('PIgmentos Desconsiderados Carga'!B$2:F$39))/E74)/'Ordem de Serviço'!$C$14)*1000)</f>
        <v/>
      </c>
      <c r="G74" s="42" t="str">
        <f ca="1">IF(ISERROR(IF($A$65=$A$41,F74,IF($A$65=$A$42,F74,IF($A$65=$A$43,F74,SUM(SUM(SUM(SUM('Ordem de Serviço'!$C$20:$G$34,'Ordem de Serviço'!$C$36:$G$45)-SUM('PIgmentos Desconsiderados Carga'!$B$2:$F$39))/'Ordem de Serviço'!$C$14)*1000))))),"",IF($A$65=$A$41,F74,IF($A$65=$A$42,F74,IF($A$65=$A$43,F74,SUM(SUM(SUM(SUM('Ordem de Serviço'!$C$20:$G$34,'Ordem de Serviço'!$C$36:$G$45)-SUM('PIgmentos Desconsiderados Carga'!$B$2:$F$39))/'Ordem de Serviço'!$C$14)*1000)))))</f>
        <v/>
      </c>
      <c r="H74" s="56" t="b">
        <f t="shared" si="4"/>
        <v>0</v>
      </c>
      <c r="J74" s="15">
        <v>0</v>
      </c>
      <c r="K74" s="15" t="s">
        <v>84</v>
      </c>
    </row>
    <row r="75" spans="1:14">
      <c r="A75" s="21" t="str">
        <f>[1]Carga!$K$1</f>
        <v xml:space="preserve">Vermelho Liso </v>
      </c>
      <c r="B75" s="15">
        <f>HLOOKUP(A75,[1]Carga!$D$1:$T$3,C75,0)</f>
        <v>1.4</v>
      </c>
      <c r="C75" s="15">
        <f>IF('Ordem de Serviço'!$C$13="CPP Basecoat® Poliéster",3,2)</f>
        <v>2</v>
      </c>
      <c r="D75" s="15">
        <f>IF(ISERROR(VLOOKUP('Ordem de Serviço'!$C$8,[1]Carga!$A$4:$C$203,Dados!C75,0)),1,VLOOKUP('Ordem de Serviço'!$C$8,[1]Carga!$A$4:$C$203,Dados!C75,0))</f>
        <v>1</v>
      </c>
      <c r="E75" s="26">
        <f t="shared" si="3"/>
        <v>1.4</v>
      </c>
      <c r="F75" s="42" t="str">
        <f ca="1">IF(ISERROR(SUM(SUM(SUM(SUM('Ordem de Serviço'!C$20:G$34,'Ordem de Serviço'!C$36:G$45)-SUM('PIgmentos Desconsiderados Carga'!B$2:F$39))/E75)/'Ordem de Serviço'!$C$14)*1000),"",SUM(SUM(SUM(SUM('Ordem de Serviço'!C$20:G$34,'Ordem de Serviço'!C$36:G$45)-SUM('PIgmentos Desconsiderados Carga'!B$2:F$39))/E75)/'Ordem de Serviço'!$C$14)*1000)</f>
        <v/>
      </c>
      <c r="G75" s="42" t="str">
        <f ca="1">IF(ISERROR(IF($A$65=$A$41,F75,IF($A$65=$A$42,F75,IF($A$65=$A$43,F75,SUM(SUM(SUM(SUM('Ordem de Serviço'!$C$20:$G$34,'Ordem de Serviço'!$C$36:$G$45)-SUM('PIgmentos Desconsiderados Carga'!$B$2:$F$39))/'Ordem de Serviço'!$C$14)*1000))))),"",IF($A$65=$A$41,F75,IF($A$65=$A$42,F75,IF($A$65=$A$43,F75,SUM(SUM(SUM(SUM('Ordem de Serviço'!$C$20:$G$34,'Ordem de Serviço'!$C$36:$G$45)-SUM('PIgmentos Desconsiderados Carga'!$B$2:$F$39))/'Ordem de Serviço'!$C$14)*1000)))))</f>
        <v/>
      </c>
      <c r="H75" s="56" t="b">
        <f t="shared" si="4"/>
        <v>0</v>
      </c>
      <c r="J75" s="15">
        <v>1</v>
      </c>
      <c r="K75" s="15" t="s">
        <v>80</v>
      </c>
    </row>
    <row r="76" spans="1:14">
      <c r="A76" s="21" t="str">
        <f>[1]Carga!$L$1</f>
        <v>Vermelho Perolizado</v>
      </c>
      <c r="B76" s="15">
        <f>HLOOKUP(A76,[1]Carga!$D$1:$T$3,C76,0)</f>
        <v>1.4</v>
      </c>
      <c r="C76" s="15">
        <f>IF('Ordem de Serviço'!$C$13="CPP Basecoat® Poliéster",3,2)</f>
        <v>2</v>
      </c>
      <c r="D76" s="15">
        <f>IF(ISERROR(VLOOKUP('Ordem de Serviço'!$C$8,[1]Carga!$A$4:$C$203,Dados!C76,0)),1,VLOOKUP('Ordem de Serviço'!$C$8,[1]Carga!$A$4:$C$203,Dados!C76,0))</f>
        <v>1</v>
      </c>
      <c r="E76" s="26">
        <f t="shared" si="3"/>
        <v>1.4</v>
      </c>
      <c r="F76" s="42" t="str">
        <f ca="1">IF(ISERROR(SUM(SUM(SUM(SUM('Ordem de Serviço'!C$20:G$34,'Ordem de Serviço'!C$36:G$45)-SUM('PIgmentos Desconsiderados Carga'!B$2:F$39))/E76)/'Ordem de Serviço'!$C$14)*1000),"",SUM(SUM(SUM(SUM('Ordem de Serviço'!C$20:G$34,'Ordem de Serviço'!C$36:G$45)-SUM('PIgmentos Desconsiderados Carga'!B$2:F$39))/E76)/'Ordem de Serviço'!$C$14)*1000)</f>
        <v/>
      </c>
      <c r="G76" s="42" t="str">
        <f ca="1">IF(ISERROR(IF($A$65=$A$41,F76,IF($A$65=$A$42,F76,IF($A$65=$A$43,F76,SUM(SUM(SUM(SUM('Ordem de Serviço'!$C$20:$G$34,'Ordem de Serviço'!$C$36:$G$45)-SUM('PIgmentos Desconsiderados Carga'!$B$2:$F$39))/'Ordem de Serviço'!$C$14)*1000))))),"",IF($A$65=$A$41,F76,IF($A$65=$A$42,F76,IF($A$65=$A$43,F76,SUM(SUM(SUM(SUM('Ordem de Serviço'!$C$20:$G$34,'Ordem de Serviço'!$C$36:$G$45)-SUM('PIgmentos Desconsiderados Carga'!$B$2:$F$39))/'Ordem de Serviço'!$C$14)*1000)))))</f>
        <v/>
      </c>
      <c r="H76" s="56" t="b">
        <f t="shared" si="4"/>
        <v>0</v>
      </c>
      <c r="J76" s="15">
        <v>2</v>
      </c>
      <c r="K76" s="15" t="s">
        <v>81</v>
      </c>
    </row>
    <row r="77" spans="1:14">
      <c r="A77" s="21" t="str">
        <f>[1]Carga!$M$1</f>
        <v xml:space="preserve">Verde Liso </v>
      </c>
      <c r="B77" s="15">
        <f>HLOOKUP(A77,[1]Carga!$D$1:$T$3,C77,0)</f>
        <v>1.1000000000000001</v>
      </c>
      <c r="C77" s="15">
        <f>IF('Ordem de Serviço'!$C$13="CPP Basecoat® Poliéster",3,2)</f>
        <v>2</v>
      </c>
      <c r="D77" s="15">
        <f>IF(ISERROR(VLOOKUP('Ordem de Serviço'!$C$8,[1]Carga!$A$4:$C$203,Dados!C77,0)),1,VLOOKUP('Ordem de Serviço'!$C$8,[1]Carga!$A$4:$C$203,Dados!C77,0))</f>
        <v>1</v>
      </c>
      <c r="E77" s="26">
        <f t="shared" si="3"/>
        <v>1.1000000000000001</v>
      </c>
      <c r="F77" s="42" t="str">
        <f ca="1">IF(ISERROR(SUM(SUM(SUM(SUM('Ordem de Serviço'!C$20:G$34,'Ordem de Serviço'!C$36:G$45)-SUM('PIgmentos Desconsiderados Carga'!B$2:F$39))/E77)/'Ordem de Serviço'!$C$14)*1000),"",SUM(SUM(SUM(SUM('Ordem de Serviço'!C$20:G$34,'Ordem de Serviço'!C$36:G$45)-SUM('PIgmentos Desconsiderados Carga'!B$2:F$39))/E77)/'Ordem de Serviço'!$C$14)*1000)</f>
        <v/>
      </c>
      <c r="G77" s="42" t="str">
        <f ca="1">IF(ISERROR(IF($A$65=$A$41,F77,IF($A$65=$A$42,F77,IF($A$65=$A$43,F77,SUM(SUM(SUM(SUM('Ordem de Serviço'!$C$20:$G$34,'Ordem de Serviço'!$C$36:$G$45)-SUM('PIgmentos Desconsiderados Carga'!$B$2:$F$39))/'Ordem de Serviço'!$C$14)*1000))))),"",IF($A$65=$A$41,F77,IF($A$65=$A$42,F77,IF($A$65=$A$43,F77,SUM(SUM(SUM(SUM('Ordem de Serviço'!$C$20:$G$34,'Ordem de Serviço'!$C$36:$G$45)-SUM('PIgmentos Desconsiderados Carga'!$B$2:$F$39))/'Ordem de Serviço'!$C$14)*1000)))))</f>
        <v/>
      </c>
      <c r="H77" s="56" t="b">
        <f t="shared" si="4"/>
        <v>0</v>
      </c>
      <c r="J77" s="15">
        <v>3</v>
      </c>
      <c r="K77" s="15" t="s">
        <v>82</v>
      </c>
    </row>
    <row r="78" spans="1:14">
      <c r="A78" s="21" t="str">
        <f>[1]Carga!$N$1</f>
        <v>Verde Perolizado</v>
      </c>
      <c r="B78" s="15">
        <f>HLOOKUP(A78,[1]Carga!$D$1:$T$3,C78,0)</f>
        <v>1.1499999999999999</v>
      </c>
      <c r="C78" s="15">
        <f>IF('Ordem de Serviço'!$C$13="CPP Basecoat® Poliéster",3,2)</f>
        <v>2</v>
      </c>
      <c r="D78" s="15">
        <f>IF(ISERROR(VLOOKUP('Ordem de Serviço'!$C$8,[1]Carga!$A$4:$C$203,Dados!C78,0)),1,VLOOKUP('Ordem de Serviço'!$C$8,[1]Carga!$A$4:$C$203,Dados!C78,0))</f>
        <v>1</v>
      </c>
      <c r="E78" s="26">
        <f t="shared" si="3"/>
        <v>1.1499999999999999</v>
      </c>
      <c r="F78" s="42" t="str">
        <f ca="1">IF(ISERROR(SUM(SUM(SUM(SUM('Ordem de Serviço'!C$20:G$34,'Ordem de Serviço'!C$36:G$45)-SUM('PIgmentos Desconsiderados Carga'!B$2:F$39))/E78)/'Ordem de Serviço'!$C$14)*1000),"",SUM(SUM(SUM(SUM('Ordem de Serviço'!C$20:G$34,'Ordem de Serviço'!C$36:G$45)-SUM('PIgmentos Desconsiderados Carga'!B$2:F$39))/E78)/'Ordem de Serviço'!$C$14)*1000)</f>
        <v/>
      </c>
      <c r="G78" s="42" t="str">
        <f ca="1">IF(ISERROR(IF($A$65=$A$41,F78,IF($A$65=$A$42,F78,IF($A$65=$A$43,F78,SUM(SUM(SUM(SUM('Ordem de Serviço'!$C$20:$G$34,'Ordem de Serviço'!$C$36:$G$45)-SUM('PIgmentos Desconsiderados Carga'!$B$2:$F$39))/'Ordem de Serviço'!$C$14)*1000))))),"",IF($A$65=$A$41,F78,IF($A$65=$A$42,F78,IF($A$65=$A$43,F78,SUM(SUM(SUM(SUM('Ordem de Serviço'!$C$20:$G$34,'Ordem de Serviço'!$C$36:$G$45)-SUM('PIgmentos Desconsiderados Carga'!$B$2:$F$39))/'Ordem de Serviço'!$C$14)*1000)))))</f>
        <v/>
      </c>
      <c r="H78" s="56" t="b">
        <f t="shared" si="4"/>
        <v>0</v>
      </c>
      <c r="J78" s="15">
        <v>4</v>
      </c>
      <c r="K78" s="15" t="s">
        <v>83</v>
      </c>
    </row>
    <row r="79" spans="1:14">
      <c r="A79" s="21" t="str">
        <f>[1]Carga!$O$1</f>
        <v>Amarelo Liso</v>
      </c>
      <c r="B79" s="15">
        <f>HLOOKUP(A79,[1]Carga!$D$1:$T$3,C79,0)</f>
        <v>1.4</v>
      </c>
      <c r="C79" s="15">
        <f>IF('Ordem de Serviço'!$C$13="CPP Basecoat® Poliéster",3,2)</f>
        <v>2</v>
      </c>
      <c r="D79" s="15">
        <f>IF(ISERROR(VLOOKUP('Ordem de Serviço'!$C$8,[1]Carga!$A$4:$C$203,Dados!C79,0)),1,VLOOKUP('Ordem de Serviço'!$C$8,[1]Carga!$A$4:$C$203,Dados!C79,0))</f>
        <v>1</v>
      </c>
      <c r="E79" s="26">
        <f t="shared" si="3"/>
        <v>1.4</v>
      </c>
      <c r="F79" s="42" t="str">
        <f ca="1">IF(ISERROR(SUM(SUM(SUM(SUM('Ordem de Serviço'!C$20:G$34,'Ordem de Serviço'!C$36:G$45)-SUM('PIgmentos Desconsiderados Carga'!B$2:F$39))/E79)/'Ordem de Serviço'!$C$14)*1000),"",SUM(SUM(SUM(SUM('Ordem de Serviço'!C$20:G$34,'Ordem de Serviço'!C$36:G$45)-SUM('PIgmentos Desconsiderados Carga'!B$2:F$39))/E79)/'Ordem de Serviço'!$C$14)*1000)</f>
        <v/>
      </c>
      <c r="G79" s="42" t="str">
        <f ca="1">IF(ISERROR(IF($A$65=$A$41,F79,IF($A$65=$A$42,F79,IF($A$65=$A$43,F79,SUM(SUM(SUM(SUM('Ordem de Serviço'!$C$20:$G$34,'Ordem de Serviço'!$C$36:$G$45)-SUM('PIgmentos Desconsiderados Carga'!$B$2:$F$39))/'Ordem de Serviço'!$C$14)*1000))))),"",IF($A$65=$A$41,F79,IF($A$65=$A$42,F79,IF($A$65=$A$43,F79,SUM(SUM(SUM(SUM('Ordem de Serviço'!$C$20:$G$34,'Ordem de Serviço'!$C$36:$G$45)-SUM('PIgmentos Desconsiderados Carga'!$B$2:$F$39))/'Ordem de Serviço'!$C$14)*1000)))))</f>
        <v/>
      </c>
      <c r="H79" s="56" t="b">
        <f t="shared" si="4"/>
        <v>0</v>
      </c>
    </row>
    <row r="80" spans="1:14">
      <c r="A80" s="21" t="str">
        <f>[1]Carga!$P$1</f>
        <v>Amarelo Perolizado</v>
      </c>
      <c r="B80" s="15">
        <f>HLOOKUP(A80,[1]Carga!$D$1:$T$3,C80,0)</f>
        <v>1.4</v>
      </c>
      <c r="C80" s="15">
        <f>IF('Ordem de Serviço'!$C$13="CPP Basecoat® Poliéster",3,2)</f>
        <v>2</v>
      </c>
      <c r="D80" s="15">
        <f>IF(ISERROR(VLOOKUP('Ordem de Serviço'!$C$8,[1]Carga!$A$4:$C$203,Dados!C80,0)),1,VLOOKUP('Ordem de Serviço'!$C$8,[1]Carga!$A$4:$C$203,Dados!C80,0))</f>
        <v>1</v>
      </c>
      <c r="E80" s="26">
        <f t="shared" si="3"/>
        <v>1.4</v>
      </c>
      <c r="F80" s="42" t="str">
        <f ca="1">IF(ISERROR(SUM(SUM(SUM(SUM('Ordem de Serviço'!C$20:G$34,'Ordem de Serviço'!C$36:G$45)-SUM('PIgmentos Desconsiderados Carga'!B$2:F$39))/E80)/'Ordem de Serviço'!$C$14)*1000),"",SUM(SUM(SUM(SUM('Ordem de Serviço'!C$20:G$34,'Ordem de Serviço'!C$36:G$45)-SUM('PIgmentos Desconsiderados Carga'!B$2:F$39))/E80)/'Ordem de Serviço'!$C$14)*1000)</f>
        <v/>
      </c>
      <c r="G80" s="42" t="str">
        <f ca="1">IF(ISERROR(IF($A$65=$A$41,F80,IF($A$65=$A$42,F80,IF($A$65=$A$43,F80,SUM(SUM(SUM(SUM('Ordem de Serviço'!$C$20:$G$34,'Ordem de Serviço'!$C$36:$G$45)-SUM('PIgmentos Desconsiderados Carga'!$B$2:$F$39))/'Ordem de Serviço'!$C$14)*1000))))),"",IF($A$65=$A$41,F80,IF($A$65=$A$42,F80,IF($A$65=$A$43,F80,SUM(SUM(SUM(SUM('Ordem de Serviço'!$C$20:$G$34,'Ordem de Serviço'!$C$36:$G$45)-SUM('PIgmentos Desconsiderados Carga'!$B$2:$F$39))/'Ordem de Serviço'!$C$14)*1000)))))</f>
        <v/>
      </c>
      <c r="H80" s="56" t="b">
        <f t="shared" si="4"/>
        <v>0</v>
      </c>
      <c r="L80" s="15" t="s">
        <v>77</v>
      </c>
      <c r="M80" s="15" t="s">
        <v>78</v>
      </c>
      <c r="N80" s="15" t="s">
        <v>79</v>
      </c>
    </row>
    <row r="81" spans="1:14">
      <c r="A81" s="21" t="str">
        <f>[1]Carga!$Q$1</f>
        <v>Cinza Liso</v>
      </c>
      <c r="B81" s="15">
        <f>HLOOKUP(A81,[1]Carga!$D$1:$T$3,C81,0)</f>
        <v>1</v>
      </c>
      <c r="C81" s="15">
        <f>IF('Ordem de Serviço'!$C$13="CPP Basecoat® Poliéster",3,2)</f>
        <v>2</v>
      </c>
      <c r="D81" s="15">
        <f>IF(ISERROR(VLOOKUP('Ordem de Serviço'!$C$8,[1]Carga!$A$4:$C$203,Dados!C81,0)),1,VLOOKUP('Ordem de Serviço'!$C$8,[1]Carga!$A$4:$C$203,Dados!C81,0))</f>
        <v>1</v>
      </c>
      <c r="E81" s="26">
        <f t="shared" si="3"/>
        <v>1</v>
      </c>
      <c r="F81" s="42" t="str">
        <f ca="1">IF(ISERROR(SUM(SUM(SUM(SUM('Ordem de Serviço'!C$20:G$34,'Ordem de Serviço'!C$36:G$45)-SUM('PIgmentos Desconsiderados Carga'!B$2:F$39))/E81)/'Ordem de Serviço'!$C$14)*1000),"",SUM(SUM(SUM(SUM('Ordem de Serviço'!C$20:G$34,'Ordem de Serviço'!C$36:G$45)-SUM('PIgmentos Desconsiderados Carga'!B$2:F$39))/E81)/'Ordem de Serviço'!$C$14)*1000)</f>
        <v/>
      </c>
      <c r="G81" s="42" t="str">
        <f ca="1">IF(ISERROR(IF($A$65=$A$41,F81,IF($A$65=$A$42,F81,IF($A$65=$A$43,F81,SUM(SUM(SUM(SUM('Ordem de Serviço'!$C$20:$G$34,'Ordem de Serviço'!$C$36:$G$45)-SUM('PIgmentos Desconsiderados Carga'!$B$2:$F$39))/'Ordem de Serviço'!$C$14)*1000))))),"",IF($A$65=$A$41,F81,IF($A$65=$A$42,F81,IF($A$65=$A$43,F81,SUM(SUM(SUM(SUM('Ordem de Serviço'!$C$20:$G$34,'Ordem de Serviço'!$C$36:$G$45)-SUM('PIgmentos Desconsiderados Carga'!$B$2:$F$39))/'Ordem de Serviço'!$C$14)*1000)))))</f>
        <v/>
      </c>
      <c r="H81" s="56" t="b">
        <f t="shared" si="4"/>
        <v>0</v>
      </c>
      <c r="K81" s="15" t="s">
        <v>75</v>
      </c>
      <c r="L81" s="42" t="e">
        <f ca="1">SUM(SUM(SUM(SUM(SUM('Ordem de Serviço'!C20:G34,'Ordem de Serviço'!C36:G45)-SUM(Pigmentos_Desconsiderados))/'Ordem de Serviço'!C14)*"0,88")*'Ordem de Serviço'!C14)</f>
        <v>#DIV/0!</v>
      </c>
      <c r="M81" s="15">
        <f ca="1">SUM('PIgmentos Desconsiderados Carga'!B39:F39)</f>
        <v>0</v>
      </c>
      <c r="N81" s="42" t="e">
        <f ca="1">SUM(L81-M81)</f>
        <v>#DIV/0!</v>
      </c>
    </row>
    <row r="82" spans="1:14">
      <c r="A82" s="21" t="str">
        <f>[1]Carga!$R$1</f>
        <v>Cinza Perolizado/Metalico</v>
      </c>
      <c r="B82" s="15">
        <f>HLOOKUP(A82,[1]Carga!$D$1:$T$3,C82,0)</f>
        <v>1.1000000000000001</v>
      </c>
      <c r="C82" s="15">
        <f>IF('Ordem de Serviço'!$C$13="CPP Basecoat® Poliéster",3,2)</f>
        <v>2</v>
      </c>
      <c r="D82" s="15">
        <f>IF(ISERROR(VLOOKUP('Ordem de Serviço'!$C$8,[1]Carga!$A$4:$C$203,Dados!C82,0)),1,VLOOKUP('Ordem de Serviço'!$C$8,[1]Carga!$A$4:$C$203,Dados!C82,0))</f>
        <v>1</v>
      </c>
      <c r="E82" s="26">
        <f t="shared" si="3"/>
        <v>1.1000000000000001</v>
      </c>
      <c r="F82" s="42" t="str">
        <f ca="1">IF(ISERROR(SUM(SUM(SUM(SUM('Ordem de Serviço'!C$20:G$34,'Ordem de Serviço'!C$36:G$45)-SUM('PIgmentos Desconsiderados Carga'!B$2:F$39))/E82)/'Ordem de Serviço'!$C$14)*1000),"",SUM(SUM(SUM(SUM('Ordem de Serviço'!C$20:G$34,'Ordem de Serviço'!C$36:G$45)-SUM('PIgmentos Desconsiderados Carga'!B$2:F$39))/E82)/'Ordem de Serviço'!$C$14)*1000)</f>
        <v/>
      </c>
      <c r="G82" s="42" t="str">
        <f ca="1">IF(ISERROR(IF($A$65=$A$41,F82,IF($A$65=$A$42,F82,IF($A$65=$A$43,F82,SUM(SUM(SUM(SUM('Ordem de Serviço'!$C$20:$G$34,'Ordem de Serviço'!$C$36:$G$45)-SUM('PIgmentos Desconsiderados Carga'!$B$2:$F$39))/'Ordem de Serviço'!$C$14)*1000))))),"",IF($A$65=$A$41,F82,IF($A$65=$A$42,F82,IF($A$65=$A$43,F82,SUM(SUM(SUM(SUM('Ordem de Serviço'!$C$20:$G$34,'Ordem de Serviço'!$C$36:$G$45)-SUM('PIgmentos Desconsiderados Carga'!$B$2:$F$39))/'Ordem de Serviço'!$C$14)*1000)))))</f>
        <v/>
      </c>
      <c r="H82" s="56" t="b">
        <f t="shared" si="4"/>
        <v>0</v>
      </c>
      <c r="K82" s="15" t="s">
        <v>76</v>
      </c>
      <c r="L82" s="42" t="e">
        <f ca="1">SUM(SUM(SUM('Ordem de Serviço'!C20:G34,'Ordem de Serviço'!C36:G45)-SUM(Pigmentos_Desconsiderados))/'Ordem de Serviço'!C14)*1000</f>
        <v>#DIV/0!</v>
      </c>
    </row>
    <row r="83" spans="1:14">
      <c r="A83" s="21" t="str">
        <f>[1]Carga!$S$1</f>
        <v>Marrom/Bege Liso</v>
      </c>
      <c r="B83" s="15">
        <f>HLOOKUP(A83,[1]Carga!$D$1:$T$3,C83,0)</f>
        <v>1.1000000000000001</v>
      </c>
      <c r="C83" s="15">
        <f>IF('Ordem de Serviço'!$C$13="CPP Basecoat® Poliéster",3,2)</f>
        <v>2</v>
      </c>
      <c r="D83" s="15">
        <f>IF(ISERROR(VLOOKUP('Ordem de Serviço'!$C$8,[1]Carga!$A$4:$C$203,Dados!C83,0)),1,VLOOKUP('Ordem de Serviço'!$C$8,[1]Carga!$A$4:$C$203,Dados!C83,0))</f>
        <v>1</v>
      </c>
      <c r="E83" s="26">
        <f t="shared" si="3"/>
        <v>1.1000000000000001</v>
      </c>
      <c r="F83" s="42" t="str">
        <f ca="1">IF(ISERROR(SUM(SUM(SUM(SUM('Ordem de Serviço'!C$20:G$34,'Ordem de Serviço'!C$36:G$45)-SUM('PIgmentos Desconsiderados Carga'!B$2:F$39))/E83)/'Ordem de Serviço'!$C$14)*1000),"",SUM(SUM(SUM(SUM('Ordem de Serviço'!C$20:G$34,'Ordem de Serviço'!C$36:G$45)-SUM('PIgmentos Desconsiderados Carga'!B$2:F$39))/E83)/'Ordem de Serviço'!$C$14)*1000)</f>
        <v/>
      </c>
      <c r="G83" s="42" t="str">
        <f ca="1">IF(ISERROR(IF($A$65=$A$41,F83,IF($A$65=$A$42,F83,IF($A$65=$A$43,F83,SUM(SUM(SUM(SUM('Ordem de Serviço'!$C$20:$G$34,'Ordem de Serviço'!$C$36:$G$45)-SUM('PIgmentos Desconsiderados Carga'!$B$2:$F$39))/'Ordem de Serviço'!$C$14)*1000))))),"",IF($A$65=$A$41,F83,IF($A$65=$A$42,F83,IF($A$65=$A$43,F83,SUM(SUM(SUM(SUM('Ordem de Serviço'!$C$20:$G$34,'Ordem de Serviço'!$C$36:$G$45)-SUM('PIgmentos Desconsiderados Carga'!$B$2:$F$39))/'Ordem de Serviço'!$C$14)*1000)))))</f>
        <v/>
      </c>
      <c r="H83" s="56" t="b">
        <f t="shared" si="4"/>
        <v>0</v>
      </c>
      <c r="K83" s="15" t="s">
        <v>96</v>
      </c>
      <c r="L83" s="15">
        <f ca="1">SUM(SUM(SUM(B4:B18,B20:B29)-SUM('PIgmentos Desconsiderados Carga'!B2:F39))*M83)</f>
        <v>0</v>
      </c>
      <c r="M83" s="23">
        <v>0.15</v>
      </c>
    </row>
    <row r="84" spans="1:14">
      <c r="A84" s="21" t="str">
        <f>[1]Carga!$T$1</f>
        <v>Marrom/Bege Perolizado</v>
      </c>
      <c r="B84" s="15">
        <f>HLOOKUP(A84,[1]Carga!$D$1:$T$3,C84,0)</f>
        <v>1.1000000000000001</v>
      </c>
      <c r="C84" s="15">
        <f>IF('Ordem de Serviço'!$C$13="CPP Basecoat® Poliéster",3,2)</f>
        <v>2</v>
      </c>
      <c r="D84" s="15">
        <f>IF(ISERROR(VLOOKUP('Ordem de Serviço'!$C$8,[1]Carga!$A$4:$C$203,Dados!C84,0)),1,VLOOKUP('Ordem de Serviço'!$C$8,[1]Carga!$A$4:$C$203,Dados!C84,0))</f>
        <v>1</v>
      </c>
      <c r="E84" s="26">
        <f t="shared" si="3"/>
        <v>1.1000000000000001</v>
      </c>
      <c r="F84" s="42" t="str">
        <f ca="1">IF(ISERROR(SUM(SUM(SUM(SUM('Ordem de Serviço'!C$20:G$34,'Ordem de Serviço'!C$36:G$45)-SUM('PIgmentos Desconsiderados Carga'!B$2:F$39))/E84)/'Ordem de Serviço'!$C$14)*1000),"",SUM(SUM(SUM(SUM('Ordem de Serviço'!C$20:G$34,'Ordem de Serviço'!C$36:G$45)-SUM('PIgmentos Desconsiderados Carga'!B$2:F$39))/E84)/'Ordem de Serviço'!$C$14)*1000)</f>
        <v/>
      </c>
      <c r="G84" s="42" t="str">
        <f ca="1">IF(ISERROR(IF($A$65=$A$41,F84,IF($A$65=$A$42,F84,IF($A$65=$A$43,F84,SUM(SUM(SUM(SUM('Ordem de Serviço'!$C$20:$G$34,'Ordem de Serviço'!$C$36:$G$45)-SUM('PIgmentos Desconsiderados Carga'!$B$2:$F$39))/'Ordem de Serviço'!$C$14)*1000))))),"",IF($A$65=$A$41,F84,IF($A$65=$A$42,F84,IF($A$65=$A$43,F84,SUM(SUM(SUM(SUM('Ordem de Serviço'!$C$20:$G$34,'Ordem de Serviço'!$C$36:$G$45)-SUM('PIgmentos Desconsiderados Carga'!$B$2:$F$39))/'Ordem de Serviço'!$C$14)*1000)))))</f>
        <v/>
      </c>
      <c r="H84" s="56" t="b">
        <f t="shared" si="4"/>
        <v>0</v>
      </c>
      <c r="K84" s="15" t="s">
        <v>97</v>
      </c>
      <c r="L84" s="15">
        <f ca="1">SUM(SUM(SUM('Ordem de Serviço'!C20:G34,'Ordem de Serviço'!C36:G45)-SUM('PIgmentos Desconsiderados Carga'!B2:F39))*M84)</f>
        <v>0</v>
      </c>
      <c r="M84" s="23">
        <v>0.3</v>
      </c>
    </row>
    <row r="85" spans="1:14">
      <c r="A85" s="15"/>
      <c r="B85" s="15"/>
      <c r="C85" s="15"/>
      <c r="D85" s="15"/>
    </row>
    <row r="86" spans="1:14">
      <c r="A86" s="15" t="s">
        <v>118</v>
      </c>
      <c r="B86" s="15"/>
      <c r="C86" s="15"/>
      <c r="D86" s="15"/>
    </row>
    <row r="87" spans="1:14">
      <c r="A87" s="21" t="str">
        <f>[1]Valores!A380</f>
        <v>POTE 700</v>
      </c>
      <c r="B87" s="15"/>
      <c r="C87" s="15"/>
      <c r="D87" s="15"/>
    </row>
    <row r="88" spans="1:14">
      <c r="A88" s="21" t="str">
        <f>[1]Valores!A381</f>
        <v>POTE 2200</v>
      </c>
      <c r="B88" s="44"/>
      <c r="C88" s="15"/>
      <c r="D88" s="15"/>
    </row>
    <row r="89" spans="1:14">
      <c r="A89" s="21" t="str">
        <f>[1]Valores!A382</f>
        <v>POTE 3600</v>
      </c>
    </row>
    <row r="90" spans="1:14">
      <c r="A90" s="21" t="str">
        <f>[1]Valores!A383</f>
        <v>LATA 01LT</v>
      </c>
    </row>
    <row r="91" spans="1:14">
      <c r="A91" s="21" t="str">
        <f>[1]Valores!A384</f>
        <v>LATA 3,6LT</v>
      </c>
    </row>
    <row r="92" spans="1:14">
      <c r="A92" s="21" t="str">
        <f>[1]Valores!A385</f>
        <v>REUTILIZADA</v>
      </c>
    </row>
  </sheetData>
  <sheetProtection password="AE21" sheet="1" objects="1" scenarios="1" selectLockedCells="1"/>
  <customSheetViews>
    <customSheetView guid="{D55CE6E8-65B5-4F63-A4E5-57C33F897D62}" state="hidden">
      <selection sqref="A1:XFD1048576"/>
      <pageMargins left="0.511811024" right="0.511811024" top="0.78740157499999996" bottom="0.78740157499999996" header="0.31496062000000002" footer="0.31496062000000002"/>
      <pageSetup paperSize="9" orientation="portrait" horizontalDpi="120" verticalDpi="72" r:id="rId1"/>
    </customSheetView>
  </customSheetViews>
  <mergeCells count="7">
    <mergeCell ref="J67:M67"/>
    <mergeCell ref="D40:E40"/>
    <mergeCell ref="F40:G40"/>
    <mergeCell ref="H40:I40"/>
    <mergeCell ref="C64:D64"/>
    <mergeCell ref="E64:F64"/>
    <mergeCell ref="G64:H64"/>
  </mergeCells>
  <pageMargins left="0.511811024" right="0.511811024" top="0.78740157499999996" bottom="0.78740157499999996" header="0.31496062000000002" footer="0.31496062000000002"/>
  <pageSetup paperSize="9" orientation="portrait" horizontalDpi="120" verticalDpi="72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Q206"/>
  <sheetViews>
    <sheetView workbookViewId="0">
      <selection sqref="A1:XFD1048576"/>
    </sheetView>
  </sheetViews>
  <sheetFormatPr defaultRowHeight="15"/>
  <cols>
    <col min="1" max="1" width="9.140625" style="8" customWidth="1"/>
    <col min="2" max="16384" width="9.140625" style="7"/>
  </cols>
  <sheetData>
    <row r="1" spans="1:17" s="15" customFormat="1">
      <c r="A1" s="234" t="s">
        <v>49</v>
      </c>
      <c r="B1" s="234"/>
      <c r="C1" s="234"/>
      <c r="D1" s="234"/>
      <c r="E1" s="234"/>
      <c r="F1" s="234"/>
      <c r="G1" s="234"/>
    </row>
    <row r="2" spans="1:17" s="15" customFormat="1">
      <c r="A2" s="40">
        <f>'[1]Pigmentos Desconsiderados'!A1</f>
        <v>607</v>
      </c>
      <c r="B2" s="72">
        <f ca="1">SUMIF('Ordem de Serviço'!$A$20:$B$45,A2,'Ordem de Serviço'!$C$20:$C$45)</f>
        <v>0</v>
      </c>
      <c r="C2" s="72">
        <f ca="1">SUMIF('Ordem de Serviço'!$A$20:$B$45,A2,'Ordem de Serviço'!$D$20:$D$45)</f>
        <v>0</v>
      </c>
      <c r="D2" s="72">
        <f ca="1">SUMIF('Ordem de Serviço'!$A$20:$B$45,A2,'Ordem de Serviço'!$E$20:$E$45)</f>
        <v>0</v>
      </c>
      <c r="E2" s="72">
        <f ca="1">SUMIF('Ordem de Serviço'!$A$20:$B$45,A2,'Ordem de Serviço'!$F$20:$F$45)</f>
        <v>0</v>
      </c>
      <c r="F2" s="72">
        <f ca="1">SUMIF('Ordem de Serviço'!$A$20:$B$45,A2,'Ordem de Serviço'!$G$20:$G$45)</f>
        <v>0</v>
      </c>
      <c r="G2" s="21"/>
      <c r="P2" s="35"/>
      <c r="Q2" s="35"/>
    </row>
    <row r="3" spans="1:17" s="15" customFormat="1">
      <c r="A3" s="40">
        <f>'[1]Pigmentos Desconsiderados'!A2</f>
        <v>606</v>
      </c>
      <c r="B3" s="72">
        <f ca="1">SUMIF('Ordem de Serviço'!$A$20:$B$45,A3,'Ordem de Serviço'!$C$20:$C$45)</f>
        <v>0</v>
      </c>
      <c r="C3" s="72">
        <f ca="1">SUMIF('Ordem de Serviço'!$A$20:$B$45,A3,'Ordem de Serviço'!$D$20:$D$45)</f>
        <v>0</v>
      </c>
      <c r="D3" s="72">
        <f ca="1">SUMIF('Ordem de Serviço'!$A$20:$B$45,A3,'Ordem de Serviço'!$E$20:$E$45)</f>
        <v>0</v>
      </c>
      <c r="E3" s="72">
        <f ca="1">SUMIF('Ordem de Serviço'!$A$20:$B$45,A3,'Ordem de Serviço'!$F$20:$F$45)</f>
        <v>0</v>
      </c>
      <c r="F3" s="72">
        <f ca="1">SUMIF('Ordem de Serviço'!$A$20:$B$45,A3,'Ordem de Serviço'!$G$20:$G$45)</f>
        <v>0</v>
      </c>
      <c r="G3" s="21"/>
    </row>
    <row r="4" spans="1:17" s="15" customFormat="1">
      <c r="A4" s="40">
        <f>'[1]Pigmentos Desconsiderados'!A3</f>
        <v>608</v>
      </c>
      <c r="B4" s="72">
        <f ca="1">SUMIF('Ordem de Serviço'!$A$20:$B$45,A4,'Ordem de Serviço'!$C$20:$C$45)</f>
        <v>0</v>
      </c>
      <c r="C4" s="72">
        <f ca="1">SUMIF('Ordem de Serviço'!$A$20:$B$45,A4,'Ordem de Serviço'!$D$20:$D$45)</f>
        <v>0</v>
      </c>
      <c r="D4" s="72">
        <f ca="1">SUMIF('Ordem de Serviço'!$A$20:$B$45,A4,'Ordem de Serviço'!$E$20:$E$45)</f>
        <v>0</v>
      </c>
      <c r="E4" s="72">
        <f ca="1">SUMIF('Ordem de Serviço'!$A$20:$B$45,A4,'Ordem de Serviço'!$F$20:$F$45)</f>
        <v>0</v>
      </c>
      <c r="F4" s="72">
        <f ca="1">SUMIF('Ordem de Serviço'!$A$20:$B$45,A4,'Ordem de Serviço'!$G$20:$G$45)</f>
        <v>0</v>
      </c>
      <c r="G4" s="21"/>
    </row>
    <row r="5" spans="1:17" s="15" customFormat="1">
      <c r="A5" s="40">
        <f>'[1]Pigmentos Desconsiderados'!A4</f>
        <v>609</v>
      </c>
      <c r="B5" s="72">
        <f ca="1">SUMIF('Ordem de Serviço'!$A$20:$B$45,A5,'Ordem de Serviço'!$C$20:$C$45)</f>
        <v>0</v>
      </c>
      <c r="C5" s="72">
        <f ca="1">SUMIF('Ordem de Serviço'!$A$20:$B$45,A5,'Ordem de Serviço'!$D$20:$D$45)</f>
        <v>0</v>
      </c>
      <c r="D5" s="72">
        <f ca="1">SUMIF('Ordem de Serviço'!$A$20:$B$45,A5,'Ordem de Serviço'!$E$20:$E$45)</f>
        <v>0</v>
      </c>
      <c r="E5" s="72">
        <f ca="1">SUMIF('Ordem de Serviço'!$A$20:$B$45,A5,'Ordem de Serviço'!$F$20:$F$45)</f>
        <v>0</v>
      </c>
      <c r="F5" s="72">
        <f ca="1">SUMIF('Ordem de Serviço'!$A$20:$B$45,A5,'Ordem de Serviço'!$G$20:$G$45)</f>
        <v>0</v>
      </c>
      <c r="G5" s="21"/>
    </row>
    <row r="6" spans="1:17" s="15" customFormat="1">
      <c r="A6" s="40">
        <f>'[1]Pigmentos Desconsiderados'!A5</f>
        <v>707</v>
      </c>
      <c r="B6" s="72">
        <f ca="1">SUMIF('Ordem de Serviço'!$A$20:$B$45,A6,'Ordem de Serviço'!$C$20:$C$45)</f>
        <v>0</v>
      </c>
      <c r="C6" s="72">
        <f ca="1">SUMIF('Ordem de Serviço'!$A$20:$B$45,A6,'Ordem de Serviço'!$D$20:$D$45)</f>
        <v>0</v>
      </c>
      <c r="D6" s="72">
        <f ca="1">SUMIF('Ordem de Serviço'!$A$20:$B$45,A6,'Ordem de Serviço'!$E$20:$E$45)</f>
        <v>0</v>
      </c>
      <c r="E6" s="72">
        <f ca="1">SUMIF('Ordem de Serviço'!$A$20:$B$45,A6,'Ordem de Serviço'!$F$20:$F$45)</f>
        <v>0</v>
      </c>
      <c r="F6" s="72">
        <f ca="1">SUMIF('Ordem de Serviço'!$A$20:$B$45,A6,'Ordem de Serviço'!$G$20:$G$45)</f>
        <v>0</v>
      </c>
      <c r="G6" s="21"/>
    </row>
    <row r="7" spans="1:17" s="15" customFormat="1">
      <c r="A7" s="40">
        <f>'[1]Pigmentos Desconsiderados'!A6</f>
        <v>720</v>
      </c>
      <c r="B7" s="72">
        <f ca="1">SUMIF('Ordem de Serviço'!$A$20:$B$45,A7,'Ordem de Serviço'!$C$20:$C$45)</f>
        <v>0</v>
      </c>
      <c r="C7" s="72">
        <f ca="1">SUMIF('Ordem de Serviço'!$A$20:$B$45,A7,'Ordem de Serviço'!$D$20:$D$45)</f>
        <v>0</v>
      </c>
      <c r="D7" s="72">
        <f ca="1">SUMIF('Ordem de Serviço'!$A$20:$B$45,A7,'Ordem de Serviço'!$E$20:$E$45)</f>
        <v>0</v>
      </c>
      <c r="E7" s="72">
        <f ca="1">SUMIF('Ordem de Serviço'!$A$20:$B$45,A7,'Ordem de Serviço'!$F$20:$F$45)</f>
        <v>0</v>
      </c>
      <c r="F7" s="72">
        <f ca="1">SUMIF('Ordem de Serviço'!$A$20:$B$45,A7,'Ordem de Serviço'!$G$20:$G$45)</f>
        <v>0</v>
      </c>
      <c r="G7" s="21"/>
    </row>
    <row r="8" spans="1:17" s="15" customFormat="1">
      <c r="A8" s="40">
        <f>'[1]Pigmentos Desconsiderados'!A7</f>
        <v>722</v>
      </c>
      <c r="B8" s="72">
        <f ca="1">SUMIF('Ordem de Serviço'!$A$20:$B$45,A8,'Ordem de Serviço'!$C$20:$C$45)</f>
        <v>0</v>
      </c>
      <c r="C8" s="72">
        <f ca="1">SUMIF('Ordem de Serviço'!$A$20:$B$45,A8,'Ordem de Serviço'!$D$20:$D$45)</f>
        <v>0</v>
      </c>
      <c r="D8" s="72">
        <f ca="1">SUMIF('Ordem de Serviço'!$A$20:$B$45,A8,'Ordem de Serviço'!$E$20:$E$45)</f>
        <v>0</v>
      </c>
      <c r="E8" s="72">
        <f ca="1">SUMIF('Ordem de Serviço'!$A$20:$B$45,A8,'Ordem de Serviço'!$F$20:$F$45)</f>
        <v>0</v>
      </c>
      <c r="F8" s="72">
        <f ca="1">SUMIF('Ordem de Serviço'!$A$20:$B$45,A8,'Ordem de Serviço'!$G$20:$G$45)</f>
        <v>0</v>
      </c>
      <c r="G8" s="21"/>
    </row>
    <row r="9" spans="1:17" s="15" customFormat="1">
      <c r="A9" s="40">
        <f>'[1]Pigmentos Desconsiderados'!A8</f>
        <v>341</v>
      </c>
      <c r="B9" s="72">
        <f ca="1">SUMIF('Ordem de Serviço'!$A$20:$B$45,A9,'Ordem de Serviço'!$C$20:$C$45)</f>
        <v>0</v>
      </c>
      <c r="C9" s="72">
        <f ca="1">SUMIF('Ordem de Serviço'!$A$20:$B$45,A9,'Ordem de Serviço'!$D$20:$D$45)</f>
        <v>0</v>
      </c>
      <c r="D9" s="72">
        <f ca="1">SUMIF('Ordem de Serviço'!$A$20:$B$45,A9,'Ordem de Serviço'!$E$20:$E$45)</f>
        <v>0</v>
      </c>
      <c r="E9" s="72">
        <f ca="1">SUMIF('Ordem de Serviço'!$A$20:$B$45,A9,'Ordem de Serviço'!$F$20:$F$45)</f>
        <v>0</v>
      </c>
      <c r="F9" s="72">
        <f ca="1">SUMIF('Ordem de Serviço'!$A$20:$B$45,A9,'Ordem de Serviço'!$G$20:$G$45)</f>
        <v>0</v>
      </c>
      <c r="G9" s="21"/>
    </row>
    <row r="10" spans="1:17" s="15" customFormat="1">
      <c r="A10" s="40">
        <f>'[1]Pigmentos Desconsiderados'!A9</f>
        <v>342</v>
      </c>
      <c r="B10" s="72">
        <f ca="1">SUMIF('Ordem de Serviço'!$A$20:$B$45,A10,'Ordem de Serviço'!$C$20:$C$45)</f>
        <v>0</v>
      </c>
      <c r="C10" s="72">
        <f ca="1">SUMIF('Ordem de Serviço'!$A$20:$B$45,A10,'Ordem de Serviço'!$D$20:$D$45)</f>
        <v>0</v>
      </c>
      <c r="D10" s="72">
        <f ca="1">SUMIF('Ordem de Serviço'!$A$20:$B$45,A10,'Ordem de Serviço'!$E$20:$E$45)</f>
        <v>0</v>
      </c>
      <c r="E10" s="72">
        <f ca="1">SUMIF('Ordem de Serviço'!$A$20:$B$45,A10,'Ordem de Serviço'!$F$20:$F$45)</f>
        <v>0</v>
      </c>
      <c r="F10" s="72">
        <f ca="1">SUMIF('Ordem de Serviço'!$A$20:$B$45,A10,'Ordem de Serviço'!$G$20:$G$45)</f>
        <v>0</v>
      </c>
      <c r="G10" s="21"/>
    </row>
    <row r="11" spans="1:17" s="15" customFormat="1">
      <c r="A11" s="40">
        <f>'[1]Pigmentos Desconsiderados'!A10</f>
        <v>343</v>
      </c>
      <c r="B11" s="72">
        <f ca="1">SUMIF('Ordem de Serviço'!$A$20:$B$45,A11,'Ordem de Serviço'!$C$20:$C$45)</f>
        <v>0</v>
      </c>
      <c r="C11" s="72">
        <f ca="1">SUMIF('Ordem de Serviço'!$A$20:$B$45,A11,'Ordem de Serviço'!$D$20:$D$45)</f>
        <v>0</v>
      </c>
      <c r="D11" s="72">
        <f ca="1">SUMIF('Ordem de Serviço'!$A$20:$B$45,A11,'Ordem de Serviço'!$E$20:$E$45)</f>
        <v>0</v>
      </c>
      <c r="E11" s="72">
        <f ca="1">SUMIF('Ordem de Serviço'!$A$20:$B$45,A11,'Ordem de Serviço'!$F$20:$F$45)</f>
        <v>0</v>
      </c>
      <c r="F11" s="72">
        <f ca="1">SUMIF('Ordem de Serviço'!$A$20:$B$45,A11,'Ordem de Serviço'!$G$20:$G$45)</f>
        <v>0</v>
      </c>
      <c r="G11" s="21"/>
    </row>
    <row r="12" spans="1:17" s="15" customFormat="1">
      <c r="A12" s="40">
        <f>'[1]Pigmentos Desconsiderados'!A11</f>
        <v>351</v>
      </c>
      <c r="B12" s="72">
        <f ca="1">SUMIF('Ordem de Serviço'!$A$20:$B$45,A12,'Ordem de Serviço'!$C$20:$C$45)</f>
        <v>0</v>
      </c>
      <c r="C12" s="72">
        <f ca="1">SUMIF('Ordem de Serviço'!$A$20:$B$45,A12,'Ordem de Serviço'!$D$20:$D$45)</f>
        <v>0</v>
      </c>
      <c r="D12" s="72">
        <f ca="1">SUMIF('Ordem de Serviço'!$A$20:$B$45,A12,'Ordem de Serviço'!$E$20:$E$45)</f>
        <v>0</v>
      </c>
      <c r="E12" s="72">
        <f ca="1">SUMIF('Ordem de Serviço'!$A$20:$B$45,A12,'Ordem de Serviço'!$F$20:$F$45)</f>
        <v>0</v>
      </c>
      <c r="F12" s="72">
        <f ca="1">SUMIF('Ordem de Serviço'!$A$20:$B$45,A12,'Ordem de Serviço'!$G$20:$G$45)</f>
        <v>0</v>
      </c>
      <c r="G12" s="21"/>
    </row>
    <row r="13" spans="1:17" s="15" customFormat="1">
      <c r="A13" s="40">
        <f>'[1]Pigmentos Desconsiderados'!A12</f>
        <v>420</v>
      </c>
      <c r="B13" s="72">
        <f ca="1">SUMIF('Ordem de Serviço'!$A$20:$B$45,A13,'Ordem de Serviço'!$C$20:$C$45)</f>
        <v>0</v>
      </c>
      <c r="C13" s="72">
        <f ca="1">SUMIF('Ordem de Serviço'!$A$20:$B$45,A13,'Ordem de Serviço'!$D$20:$D$45)</f>
        <v>0</v>
      </c>
      <c r="D13" s="72">
        <f ca="1">SUMIF('Ordem de Serviço'!$A$20:$B$45,A13,'Ordem de Serviço'!$E$20:$E$45)</f>
        <v>0</v>
      </c>
      <c r="E13" s="72">
        <f ca="1">SUMIF('Ordem de Serviço'!$A$20:$B$45,A13,'Ordem de Serviço'!$F$20:$F$45)</f>
        <v>0</v>
      </c>
      <c r="F13" s="72">
        <f ca="1">SUMIF('Ordem de Serviço'!$A$20:$B$45,A13,'Ordem de Serviço'!$G$20:$G$45)</f>
        <v>0</v>
      </c>
      <c r="G13" s="21"/>
    </row>
    <row r="14" spans="1:17" s="15" customFormat="1">
      <c r="A14" s="40">
        <f>'[1]Pigmentos Desconsiderados'!A13</f>
        <v>421</v>
      </c>
      <c r="B14" s="72">
        <f ca="1">SUMIF('Ordem de Serviço'!$A$20:$B$45,A14,'Ordem de Serviço'!$C$20:$C$45)</f>
        <v>0</v>
      </c>
      <c r="C14" s="72">
        <f ca="1">SUMIF('Ordem de Serviço'!$A$20:$B$45,A14,'Ordem de Serviço'!$D$20:$D$45)</f>
        <v>0</v>
      </c>
      <c r="D14" s="72">
        <f ca="1">SUMIF('Ordem de Serviço'!$A$20:$B$45,A14,'Ordem de Serviço'!$E$20:$E$45)</f>
        <v>0</v>
      </c>
      <c r="E14" s="72">
        <f ca="1">SUMIF('Ordem de Serviço'!$A$20:$B$45,A14,'Ordem de Serviço'!$F$20:$F$45)</f>
        <v>0</v>
      </c>
      <c r="F14" s="72">
        <f ca="1">SUMIF('Ordem de Serviço'!$A$20:$B$45,A14,'Ordem de Serviço'!$G$20:$G$45)</f>
        <v>0</v>
      </c>
      <c r="G14" s="21"/>
    </row>
    <row r="15" spans="1:17" s="15" customFormat="1">
      <c r="A15" s="40" t="str">
        <f>'[1]Pigmentos Desconsiderados'!A14</f>
        <v>CPP-501</v>
      </c>
      <c r="B15" s="72">
        <f ca="1">SUMIF('Ordem de Serviço'!$A$20:$B$45,A15,'Ordem de Serviço'!$C$20:$C$45)</f>
        <v>0</v>
      </c>
      <c r="C15" s="72">
        <f ca="1">SUMIF('Ordem de Serviço'!$A$20:$B$45,A15,'Ordem de Serviço'!$D$20:$D$45)</f>
        <v>0</v>
      </c>
      <c r="D15" s="72">
        <f ca="1">SUMIF('Ordem de Serviço'!$A$20:$B$45,A15,'Ordem de Serviço'!$E$20:$E$45)</f>
        <v>0</v>
      </c>
      <c r="E15" s="72">
        <f ca="1">SUMIF('Ordem de Serviço'!$A$20:$B$45,A15,'Ordem de Serviço'!$F$20:$F$45)</f>
        <v>0</v>
      </c>
      <c r="F15" s="72">
        <f ca="1">SUMIF('Ordem de Serviço'!$A$20:$B$45,A15,'Ordem de Serviço'!$G$20:$G$45)</f>
        <v>0</v>
      </c>
      <c r="G15" s="21"/>
    </row>
    <row r="16" spans="1:17" s="15" customFormat="1">
      <c r="A16" s="40" t="str">
        <f>'[1]Pigmentos Desconsiderados'!A15</f>
        <v>CPP-102</v>
      </c>
      <c r="B16" s="72">
        <f ca="1">SUMIF('Ordem de Serviço'!$A$20:$B$45,A16,'Ordem de Serviço'!$C$20:$C$45)</f>
        <v>0</v>
      </c>
      <c r="C16" s="72">
        <f ca="1">SUMIF('Ordem de Serviço'!$A$20:$B$45,A16,'Ordem de Serviço'!$D$20:$D$45)</f>
        <v>0</v>
      </c>
      <c r="D16" s="72">
        <f ca="1">SUMIF('Ordem de Serviço'!$A$20:$B$45,A16,'Ordem de Serviço'!$E$20:$E$45)</f>
        <v>0</v>
      </c>
      <c r="E16" s="72">
        <f ca="1">SUMIF('Ordem de Serviço'!$A$20:$B$45,A16,'Ordem de Serviço'!$F$20:$F$45)</f>
        <v>0</v>
      </c>
      <c r="F16" s="72">
        <f ca="1">SUMIF('Ordem de Serviço'!$A$20:$B$45,A16,'Ordem de Serviço'!$G$20:$G$45)</f>
        <v>0</v>
      </c>
      <c r="G16" s="21"/>
    </row>
    <row r="17" spans="1:7" s="15" customFormat="1">
      <c r="A17" s="40" t="str">
        <f>'[1]Pigmentos Desconsiderados'!A16</f>
        <v>CPP-104</v>
      </c>
      <c r="B17" s="72">
        <f ca="1">SUMIF('Ordem de Serviço'!$A$20:$B$45,A17,'Ordem de Serviço'!$C$20:$C$45)</f>
        <v>0</v>
      </c>
      <c r="C17" s="72">
        <f ca="1">SUMIF('Ordem de Serviço'!$A$20:$B$45,A17,'Ordem de Serviço'!$D$20:$D$45)</f>
        <v>0</v>
      </c>
      <c r="D17" s="72">
        <f ca="1">SUMIF('Ordem de Serviço'!$A$20:$B$45,A17,'Ordem de Serviço'!$E$20:$E$45)</f>
        <v>0</v>
      </c>
      <c r="E17" s="72">
        <f ca="1">SUMIF('Ordem de Serviço'!$A$20:$B$45,A17,'Ordem de Serviço'!$F$20:$F$45)</f>
        <v>0</v>
      </c>
      <c r="F17" s="72">
        <f ca="1">SUMIF('Ordem de Serviço'!$A$20:$B$45,A17,'Ordem de Serviço'!$G$20:$G$45)</f>
        <v>0</v>
      </c>
      <c r="G17" s="21"/>
    </row>
    <row r="18" spans="1:7" s="15" customFormat="1">
      <c r="A18" s="40" t="str">
        <f>'[1]Pigmentos Desconsiderados'!A17</f>
        <v>CPP-318</v>
      </c>
      <c r="B18" s="72">
        <f ca="1">SUMIF('Ordem de Serviço'!$A$20:$B$45,A18,'Ordem de Serviço'!$C$20:$C$45)</f>
        <v>0</v>
      </c>
      <c r="C18" s="72">
        <f ca="1">SUMIF('Ordem de Serviço'!$A$20:$B$45,A18,'Ordem de Serviço'!$D$20:$D$45)</f>
        <v>0</v>
      </c>
      <c r="D18" s="72">
        <f ca="1">SUMIF('Ordem de Serviço'!$A$20:$B$45,A18,'Ordem de Serviço'!$E$20:$E$45)</f>
        <v>0</v>
      </c>
      <c r="E18" s="72">
        <f ca="1">SUMIF('Ordem de Serviço'!$A$20:$B$45,A18,'Ordem de Serviço'!$F$20:$F$45)</f>
        <v>0</v>
      </c>
      <c r="F18" s="72">
        <f ca="1">SUMIF('Ordem de Serviço'!$A$20:$B$45,A18,'Ordem de Serviço'!$G$20:$G$45)</f>
        <v>0</v>
      </c>
      <c r="G18" s="21"/>
    </row>
    <row r="19" spans="1:7" s="15" customFormat="1">
      <c r="A19" s="40" t="str">
        <f>'[1]Pigmentos Desconsiderados'!A18</f>
        <v>CPP-326</v>
      </c>
      <c r="B19" s="72">
        <f ca="1">SUMIF('Ordem de Serviço'!$A$20:$B$45,A19,'Ordem de Serviço'!$C$20:$C$45)</f>
        <v>0</v>
      </c>
      <c r="C19" s="72">
        <f ca="1">SUMIF('Ordem de Serviço'!$A$20:$B$45,A19,'Ordem de Serviço'!$D$20:$D$45)</f>
        <v>0</v>
      </c>
      <c r="D19" s="72">
        <f ca="1">SUMIF('Ordem de Serviço'!$A$20:$B$45,A19,'Ordem de Serviço'!$E$20:$E$45)</f>
        <v>0</v>
      </c>
      <c r="E19" s="72">
        <f ca="1">SUMIF('Ordem de Serviço'!$A$20:$B$45,A19,'Ordem de Serviço'!$F$20:$F$45)</f>
        <v>0</v>
      </c>
      <c r="F19" s="72">
        <f ca="1">SUMIF('Ordem de Serviço'!$A$20:$B$45,A19,'Ordem de Serviço'!$G$20:$G$45)</f>
        <v>0</v>
      </c>
      <c r="G19" s="21"/>
    </row>
    <row r="20" spans="1:7" s="15" customFormat="1">
      <c r="A20" s="40" t="str">
        <f>'[1]Pigmentos Desconsiderados'!A19</f>
        <v>CPP-327</v>
      </c>
      <c r="B20" s="72">
        <f ca="1">SUMIF('Ordem de Serviço'!$A$20:$B$45,A20,'Ordem de Serviço'!$C$20:$C$45)</f>
        <v>0</v>
      </c>
      <c r="C20" s="72">
        <f ca="1">SUMIF('Ordem de Serviço'!$A$20:$B$45,A20,'Ordem de Serviço'!$D$20:$D$45)</f>
        <v>0</v>
      </c>
      <c r="D20" s="72">
        <f ca="1">SUMIF('Ordem de Serviço'!$A$20:$B$45,A20,'Ordem de Serviço'!$E$20:$E$45)</f>
        <v>0</v>
      </c>
      <c r="E20" s="72">
        <f ca="1">SUMIF('Ordem de Serviço'!$A$20:$B$45,A20,'Ordem de Serviço'!$F$20:$F$45)</f>
        <v>0</v>
      </c>
      <c r="F20" s="72">
        <f ca="1">SUMIF('Ordem de Serviço'!$A$20:$B$45,A20,'Ordem de Serviço'!$G$20:$G$45)</f>
        <v>0</v>
      </c>
      <c r="G20" s="21"/>
    </row>
    <row r="21" spans="1:7" s="15" customFormat="1">
      <c r="A21" s="40" t="str">
        <f>'[1]Pigmentos Desconsiderados'!A20</f>
        <v>CPP-203</v>
      </c>
      <c r="B21" s="72">
        <f ca="1">SUMIF('Ordem de Serviço'!$A$20:$B$45,A21,'Ordem de Serviço'!$C$20:$C$45)</f>
        <v>0</v>
      </c>
      <c r="C21" s="72">
        <f ca="1">SUMIF('Ordem de Serviço'!$A$20:$B$45,A21,'Ordem de Serviço'!$D$20:$D$45)</f>
        <v>0</v>
      </c>
      <c r="D21" s="72">
        <f ca="1">SUMIF('Ordem de Serviço'!$A$20:$B$45,A21,'Ordem de Serviço'!$E$20:$E$45)</f>
        <v>0</v>
      </c>
      <c r="E21" s="72">
        <f ca="1">SUMIF('Ordem de Serviço'!$A$20:$B$45,A21,'Ordem de Serviço'!$F$20:$F$45)</f>
        <v>0</v>
      </c>
      <c r="F21" s="72">
        <f ca="1">SUMIF('Ordem de Serviço'!$A$20:$B$45,A21,'Ordem de Serviço'!$G$20:$G$45)</f>
        <v>0</v>
      </c>
      <c r="G21" s="21"/>
    </row>
    <row r="22" spans="1:7" s="15" customFormat="1">
      <c r="A22" s="40" t="str">
        <f>'[1]Pigmentos Desconsiderados'!A21</f>
        <v>CPP-701</v>
      </c>
      <c r="B22" s="72">
        <f ca="1">SUMIF('Ordem de Serviço'!$A$20:$B$45,A22,'Ordem de Serviço'!$C$20:$C$45)</f>
        <v>0</v>
      </c>
      <c r="C22" s="72">
        <f ca="1">SUMIF('Ordem de Serviço'!$A$20:$B$45,A22,'Ordem de Serviço'!$D$20:$D$45)</f>
        <v>0</v>
      </c>
      <c r="D22" s="72">
        <f ca="1">SUMIF('Ordem de Serviço'!$A$20:$B$45,A22,'Ordem de Serviço'!$E$20:$E$45)</f>
        <v>0</v>
      </c>
      <c r="E22" s="72">
        <f ca="1">SUMIF('Ordem de Serviço'!$A$20:$B$45,A22,'Ordem de Serviço'!$F$20:$F$45)</f>
        <v>0</v>
      </c>
      <c r="F22" s="72">
        <f ca="1">SUMIF('Ordem de Serviço'!$A$20:$B$45,A22,'Ordem de Serviço'!$G$20:$G$45)</f>
        <v>0</v>
      </c>
      <c r="G22" s="21"/>
    </row>
    <row r="23" spans="1:7" s="15" customFormat="1">
      <c r="A23" s="40" t="str">
        <f>'[1]Pigmentos Desconsiderados'!A22</f>
        <v>CPP-703</v>
      </c>
      <c r="B23" s="72">
        <f ca="1">SUMIF('Ordem de Serviço'!$A$20:$B$45,A23,'Ordem de Serviço'!$C$20:$C$45)</f>
        <v>0</v>
      </c>
      <c r="C23" s="72">
        <f ca="1">SUMIF('Ordem de Serviço'!$A$20:$B$45,A23,'Ordem de Serviço'!$D$20:$D$45)</f>
        <v>0</v>
      </c>
      <c r="D23" s="72">
        <f ca="1">SUMIF('Ordem de Serviço'!$A$20:$B$45,A23,'Ordem de Serviço'!$E$20:$E$45)</f>
        <v>0</v>
      </c>
      <c r="E23" s="72">
        <f ca="1">SUMIF('Ordem de Serviço'!$A$20:$B$45,A23,'Ordem de Serviço'!$F$20:$F$45)</f>
        <v>0</v>
      </c>
      <c r="F23" s="72">
        <f ca="1">SUMIF('Ordem de Serviço'!$A$20:$B$45,A23,'Ordem de Serviço'!$G$20:$G$45)</f>
        <v>0</v>
      </c>
      <c r="G23" s="21"/>
    </row>
    <row r="24" spans="1:7" s="15" customFormat="1">
      <c r="A24" s="40" t="str">
        <f>'[1]Pigmentos Desconsiderados'!A23</f>
        <v>CPP-705</v>
      </c>
      <c r="B24" s="72">
        <f ca="1">SUMIF('Ordem de Serviço'!$A$20:$B$45,A24,'Ordem de Serviço'!$C$20:$C$45)</f>
        <v>0</v>
      </c>
      <c r="C24" s="72">
        <f ca="1">SUMIF('Ordem de Serviço'!$A$20:$B$45,A24,'Ordem de Serviço'!$D$20:$D$45)</f>
        <v>0</v>
      </c>
      <c r="D24" s="72">
        <f ca="1">SUMIF('Ordem de Serviço'!$A$20:$B$45,A24,'Ordem de Serviço'!$E$20:$E$45)</f>
        <v>0</v>
      </c>
      <c r="E24" s="72">
        <f ca="1">SUMIF('Ordem de Serviço'!$A$20:$B$45,A24,'Ordem de Serviço'!$F$20:$F$45)</f>
        <v>0</v>
      </c>
      <c r="F24" s="72">
        <f ca="1">SUMIF('Ordem de Serviço'!$A$20:$B$45,A24,'Ordem de Serviço'!$G$20:$G$45)</f>
        <v>0</v>
      </c>
      <c r="G24" s="21"/>
    </row>
    <row r="25" spans="1:7" s="15" customFormat="1">
      <c r="A25" s="40" t="str">
        <f>'[1]Pigmentos Desconsiderados'!A24</f>
        <v>CPP-708</v>
      </c>
      <c r="B25" s="72">
        <f ca="1">SUMIF('Ordem de Serviço'!$A$20:$B$45,A25,'Ordem de Serviço'!$C$20:$C$45)</f>
        <v>0</v>
      </c>
      <c r="C25" s="72">
        <f ca="1">SUMIF('Ordem de Serviço'!$A$20:$B$45,A25,'Ordem de Serviço'!$D$20:$D$45)</f>
        <v>0</v>
      </c>
      <c r="D25" s="72">
        <f ca="1">SUMIF('Ordem de Serviço'!$A$20:$B$45,A25,'Ordem de Serviço'!$E$20:$E$45)</f>
        <v>0</v>
      </c>
      <c r="E25" s="72">
        <f ca="1">SUMIF('Ordem de Serviço'!$A$20:$B$45,A25,'Ordem de Serviço'!$F$20:$F$45)</f>
        <v>0</v>
      </c>
      <c r="F25" s="72">
        <f ca="1">SUMIF('Ordem de Serviço'!$A$20:$B$45,A25,'Ordem de Serviço'!$G$20:$G$45)</f>
        <v>0</v>
      </c>
      <c r="G25" s="21"/>
    </row>
    <row r="26" spans="1:7" s="15" customFormat="1">
      <c r="A26" s="40" t="str">
        <f>'[1]Pigmentos Desconsiderados'!A25</f>
        <v>CPP-330</v>
      </c>
      <c r="B26" s="72">
        <f ca="1">SUMIF('Ordem de Serviço'!$A$20:$B$45,A26,'Ordem de Serviço'!$C$20:$C$45)</f>
        <v>0</v>
      </c>
      <c r="C26" s="72">
        <f ca="1">SUMIF('Ordem de Serviço'!$A$20:$B$45,A26,'Ordem de Serviço'!$D$20:$D$45)</f>
        <v>0</v>
      </c>
      <c r="D26" s="72">
        <f ca="1">SUMIF('Ordem de Serviço'!$A$20:$B$45,A26,'Ordem de Serviço'!$E$20:$E$45)</f>
        <v>0</v>
      </c>
      <c r="E26" s="72">
        <f ca="1">SUMIF('Ordem de Serviço'!$A$20:$B$45,A26,'Ordem de Serviço'!$F$20:$F$45)</f>
        <v>0</v>
      </c>
      <c r="F26" s="72">
        <f ca="1">SUMIF('Ordem de Serviço'!$A$20:$B$45,A26,'Ordem de Serviço'!$G$20:$G$45)</f>
        <v>0</v>
      </c>
      <c r="G26" s="21"/>
    </row>
    <row r="27" spans="1:7" s="15" customFormat="1">
      <c r="A27" s="40" t="str">
        <f>'[1]Pigmentos Desconsiderados'!A26</f>
        <v>SM100</v>
      </c>
      <c r="B27" s="72">
        <f ca="1">SUMIF('Ordem de Serviço'!$A$20:$B$45,A27,'Ordem de Serviço'!$C$20:$C$45)</f>
        <v>0</v>
      </c>
      <c r="C27" s="72">
        <f ca="1">SUMIF('Ordem de Serviço'!$A$20:$B$45,A27,'Ordem de Serviço'!$D$20:$D$45)</f>
        <v>0</v>
      </c>
      <c r="D27" s="72">
        <f ca="1">SUMIF('Ordem de Serviço'!$A$20:$B$45,A27,'Ordem de Serviço'!$E$20:$E$45)</f>
        <v>0</v>
      </c>
      <c r="E27" s="72">
        <f ca="1">SUMIF('Ordem de Serviço'!$A$20:$B$45,A27,'Ordem de Serviço'!$F$20:$F$45)</f>
        <v>0</v>
      </c>
      <c r="F27" s="72">
        <f ca="1">SUMIF('Ordem de Serviço'!$A$20:$B$45,A27,'Ordem de Serviço'!$G$20:$G$45)</f>
        <v>0</v>
      </c>
      <c r="G27" s="21"/>
    </row>
    <row r="28" spans="1:7" s="15" customFormat="1">
      <c r="A28" s="40">
        <f>'[1]Pigmentos Desconsiderados'!A27</f>
        <v>511</v>
      </c>
      <c r="B28" s="72">
        <f ca="1">SUMIF('Ordem de Serviço'!$A$20:$B$45,A28,'Ordem de Serviço'!$C$20:$C$45)</f>
        <v>0</v>
      </c>
      <c r="C28" s="72">
        <f ca="1">SUMIF('Ordem de Serviço'!$A$20:$B$45,A28,'Ordem de Serviço'!$D$20:$D$45)</f>
        <v>0</v>
      </c>
      <c r="D28" s="72">
        <f ca="1">SUMIF('Ordem de Serviço'!$A$20:$B$45,A28,'Ordem de Serviço'!$E$20:$E$45)</f>
        <v>0</v>
      </c>
      <c r="E28" s="72">
        <f ca="1">SUMIF('Ordem de Serviço'!$A$20:$B$45,A28,'Ordem de Serviço'!$F$20:$F$45)</f>
        <v>0</v>
      </c>
      <c r="F28" s="72">
        <f ca="1">SUMIF('Ordem de Serviço'!$A$20:$B$45,A28,'Ordem de Serviço'!$G$20:$G$45)</f>
        <v>0</v>
      </c>
      <c r="G28" s="21"/>
    </row>
    <row r="29" spans="1:7" s="15" customFormat="1">
      <c r="A29" s="40">
        <f>'[1]Pigmentos Desconsiderados'!A28</f>
        <v>512</v>
      </c>
      <c r="B29" s="72">
        <f ca="1">SUMIF('Ordem de Serviço'!$A$20:$B$45,A29,'Ordem de Serviço'!$C$20:$C$45)</f>
        <v>0</v>
      </c>
      <c r="C29" s="72">
        <f ca="1">SUMIF('Ordem de Serviço'!$A$20:$B$45,A29,'Ordem de Serviço'!$D$20:$D$45)</f>
        <v>0</v>
      </c>
      <c r="D29" s="72">
        <f ca="1">SUMIF('Ordem de Serviço'!$A$20:$B$45,A29,'Ordem de Serviço'!$E$20:$E$45)</f>
        <v>0</v>
      </c>
      <c r="E29" s="72">
        <f ca="1">SUMIF('Ordem de Serviço'!$A$20:$B$45,A29,'Ordem de Serviço'!$F$20:$F$45)</f>
        <v>0</v>
      </c>
      <c r="F29" s="72">
        <f ca="1">SUMIF('Ordem de Serviço'!$A$20:$B$45,A29,'Ordem de Serviço'!$G$20:$G$45)</f>
        <v>0</v>
      </c>
      <c r="G29" s="21"/>
    </row>
    <row r="30" spans="1:7" s="15" customFormat="1">
      <c r="A30" s="40">
        <f>'[1]Pigmentos Desconsiderados'!A29</f>
        <v>517</v>
      </c>
      <c r="B30" s="72">
        <f ca="1">SUMIF('Ordem de Serviço'!$A$20:$B$45,A30,'Ordem de Serviço'!$C$20:$C$45)</f>
        <v>0</v>
      </c>
      <c r="C30" s="72">
        <f ca="1">SUMIF('Ordem de Serviço'!$A$20:$B$45,A30,'Ordem de Serviço'!$D$20:$D$45)</f>
        <v>0</v>
      </c>
      <c r="D30" s="72">
        <f ca="1">SUMIF('Ordem de Serviço'!$A$20:$B$45,A30,'Ordem de Serviço'!$E$20:$E$45)</f>
        <v>0</v>
      </c>
      <c r="E30" s="72">
        <f ca="1">SUMIF('Ordem de Serviço'!$A$20:$B$45,A30,'Ordem de Serviço'!$F$20:$F$45)</f>
        <v>0</v>
      </c>
      <c r="F30" s="72">
        <f ca="1">SUMIF('Ordem de Serviço'!$A$20:$B$45,A30,'Ordem de Serviço'!$G$20:$G$45)</f>
        <v>0</v>
      </c>
      <c r="G30" s="21"/>
    </row>
    <row r="31" spans="1:7" s="15" customFormat="1">
      <c r="A31" s="40">
        <f>'[1]Pigmentos Desconsiderados'!A30</f>
        <v>639</v>
      </c>
      <c r="B31" s="72">
        <f ca="1">SUMIF('Ordem de Serviço'!$A$20:$B$45,A31,'Ordem de Serviço'!$C$20:$C$45)</f>
        <v>0</v>
      </c>
      <c r="C31" s="72">
        <f ca="1">SUMIF('Ordem de Serviço'!$A$20:$B$45,A31,'Ordem de Serviço'!$D$20:$D$45)</f>
        <v>0</v>
      </c>
      <c r="D31" s="72">
        <f ca="1">SUMIF('Ordem de Serviço'!$A$20:$B$45,A31,'Ordem de Serviço'!$E$20:$E$45)</f>
        <v>0</v>
      </c>
      <c r="E31" s="72">
        <f ca="1">SUMIF('Ordem de Serviço'!$A$20:$B$45,A31,'Ordem de Serviço'!$F$20:$F$45)</f>
        <v>0</v>
      </c>
      <c r="F31" s="72">
        <f ca="1">SUMIF('Ordem de Serviço'!$A$20:$B$45,A31,'Ordem de Serviço'!$G$20:$G$45)</f>
        <v>0</v>
      </c>
      <c r="G31" s="41"/>
    </row>
    <row r="32" spans="1:7" s="15" customFormat="1">
      <c r="A32" s="40">
        <f>'[1]Pigmentos Desconsiderados'!A31</f>
        <v>759</v>
      </c>
      <c r="B32" s="72">
        <f ca="1">SUMIF('Ordem de Serviço'!$A$20:$B$45,A32,'Ordem de Serviço'!$C$20:$C$45)</f>
        <v>0</v>
      </c>
      <c r="C32" s="72">
        <f ca="1">SUMIF('Ordem de Serviço'!$A$20:$B$45,A32,'Ordem de Serviço'!$D$20:$D$45)</f>
        <v>0</v>
      </c>
      <c r="D32" s="72">
        <f ca="1">SUMIF('Ordem de Serviço'!$A$20:$B$45,A32,'Ordem de Serviço'!$E$20:$E$45)</f>
        <v>0</v>
      </c>
      <c r="E32" s="72">
        <f ca="1">SUMIF('Ordem de Serviço'!$A$20:$B$45,A32,'Ordem de Serviço'!$F$20:$F$45)</f>
        <v>0</v>
      </c>
      <c r="F32" s="72">
        <f ca="1">SUMIF('Ordem de Serviço'!$A$20:$B$45,A32,'Ordem de Serviço'!$G$20:$G$45)</f>
        <v>0</v>
      </c>
      <c r="G32" s="41"/>
    </row>
    <row r="33" spans="1:9" s="15" customFormat="1">
      <c r="A33" s="40" t="str">
        <f>'[1]Pigmentos Desconsiderados'!A32</f>
        <v>207</v>
      </c>
      <c r="B33" s="72">
        <f ca="1">SUMIF('Ordem de Serviço'!$A$20:$B$45,A33,'Ordem de Serviço'!$C$20:$C$45)</f>
        <v>0</v>
      </c>
      <c r="C33" s="72">
        <f ca="1">SUMIF('Ordem de Serviço'!$A$20:$B$45,A33,'Ordem de Serviço'!$D$20:$D$45)</f>
        <v>0</v>
      </c>
      <c r="D33" s="72">
        <f ca="1">SUMIF('Ordem de Serviço'!$A$20:$B$45,A33,'Ordem de Serviço'!$E$20:$E$45)</f>
        <v>0</v>
      </c>
      <c r="E33" s="72">
        <f ca="1">SUMIF('Ordem de Serviço'!$A$20:$B$45,A33,'Ordem de Serviço'!$F$20:$F$45)</f>
        <v>0</v>
      </c>
      <c r="F33" s="72">
        <f ca="1">SUMIF('Ordem de Serviço'!$A$20:$B$45,A33,'Ordem de Serviço'!$G$20:$G$45)</f>
        <v>0</v>
      </c>
      <c r="G33" s="41"/>
    </row>
    <row r="34" spans="1:9" s="15" customFormat="1">
      <c r="A34" s="40" t="str">
        <f>'[1]Pigmentos Desconsiderados'!A33</f>
        <v>BN01</v>
      </c>
      <c r="B34" s="72">
        <f ca="1">SUMIF('Ordem de Serviço'!$A$20:$B$45,A34,'Ordem de Serviço'!$C$20:$C$45)</f>
        <v>0</v>
      </c>
      <c r="C34" s="72">
        <f ca="1">SUMIF('Ordem de Serviço'!$A$20:$B$45,A34,'Ordem de Serviço'!$D$20:$D$45)</f>
        <v>0</v>
      </c>
      <c r="D34" s="72">
        <f ca="1">SUMIF('Ordem de Serviço'!$A$20:$B$45,A34,'Ordem de Serviço'!$E$20:$E$45)</f>
        <v>0</v>
      </c>
      <c r="E34" s="72">
        <f ca="1">SUMIF('Ordem de Serviço'!$A$20:$B$45,A34,'Ordem de Serviço'!$F$20:$F$45)</f>
        <v>0</v>
      </c>
      <c r="F34" s="72">
        <f ca="1">SUMIF('Ordem de Serviço'!$A$20:$B$45,A34,'Ordem de Serviço'!$G$20:$G$45)</f>
        <v>0</v>
      </c>
      <c r="G34" s="41"/>
    </row>
    <row r="35" spans="1:9" s="15" customFormat="1">
      <c r="A35" s="40" t="str">
        <f>'[1]Pigmentos Desconsiderados'!A34</f>
        <v>BP06</v>
      </c>
      <c r="B35" s="72">
        <f ca="1">SUMIF('Ordem de Serviço'!$A$20:$B$45,A35,'Ordem de Serviço'!$C$20:$C$45)</f>
        <v>0</v>
      </c>
      <c r="C35" s="72">
        <f ca="1">SUMIF('Ordem de Serviço'!$A$20:$B$45,A35,'Ordem de Serviço'!$D$20:$D$45)</f>
        <v>0</v>
      </c>
      <c r="D35" s="72">
        <f ca="1">SUMIF('Ordem de Serviço'!$A$20:$B$45,A35,'Ordem de Serviço'!$E$20:$E$45)</f>
        <v>0</v>
      </c>
      <c r="E35" s="72">
        <f ca="1">SUMIF('Ordem de Serviço'!$A$20:$B$45,A35,'Ordem de Serviço'!$F$20:$F$45)</f>
        <v>0</v>
      </c>
      <c r="F35" s="72">
        <f ca="1">SUMIF('Ordem de Serviço'!$A$20:$B$45,A35,'Ordem de Serviço'!$G$20:$G$45)</f>
        <v>0</v>
      </c>
      <c r="G35" s="41"/>
    </row>
    <row r="36" spans="1:9" s="15" customFormat="1">
      <c r="A36" s="40" t="str">
        <f>'[1]Pigmentos Desconsiderados'!A35</f>
        <v>BP01</v>
      </c>
      <c r="B36" s="72">
        <f ca="1">SUMIF('Ordem de Serviço'!$A$20:$B$45,A36,'Ordem de Serviço'!$C$20:$C$45)</f>
        <v>0</v>
      </c>
      <c r="C36" s="72">
        <f ca="1">SUMIF('Ordem de Serviço'!$A$20:$B$45,A36,'Ordem de Serviço'!$D$20:$D$45)</f>
        <v>0</v>
      </c>
      <c r="D36" s="72">
        <f ca="1">SUMIF('Ordem de Serviço'!$A$20:$B$45,A36,'Ordem de Serviço'!$E$20:$E$45)</f>
        <v>0</v>
      </c>
      <c r="E36" s="72">
        <f ca="1">SUMIF('Ordem de Serviço'!$A$20:$B$45,A36,'Ordem de Serviço'!$F$20:$F$45)</f>
        <v>0</v>
      </c>
      <c r="F36" s="72">
        <f ca="1">SUMIF('Ordem de Serviço'!$A$20:$B$45,A36,'Ordem de Serviço'!$G$20:$G$45)</f>
        <v>0</v>
      </c>
      <c r="G36" s="41"/>
    </row>
    <row r="37" spans="1:9" s="15" customFormat="1">
      <c r="A37" s="40">
        <f>'[1]Pigmentos Desconsiderados'!A36</f>
        <v>600</v>
      </c>
      <c r="B37" s="72">
        <f ca="1">SUMIF('Ordem de Serviço'!$A$20:$B$45,A37,'Ordem de Serviço'!$C$20:$C$45)</f>
        <v>0</v>
      </c>
      <c r="C37" s="72">
        <f ca="1">SUMIF('Ordem de Serviço'!$A$20:$B$45,A37,'Ordem de Serviço'!$D$20:$D$45)</f>
        <v>0</v>
      </c>
      <c r="D37" s="72">
        <f ca="1">SUMIF('Ordem de Serviço'!$A$20:$B$45,A37,'Ordem de Serviço'!$E$20:$E$45)</f>
        <v>0</v>
      </c>
      <c r="E37" s="72">
        <f ca="1">SUMIF('Ordem de Serviço'!$A$20:$B$45,A37,'Ordem de Serviço'!$F$20:$F$45)</f>
        <v>0</v>
      </c>
      <c r="F37" s="72">
        <f ca="1">SUMIF('Ordem de Serviço'!$A$20:$B$45,A37,'Ordem de Serviço'!$G$20:$G$45)</f>
        <v>0</v>
      </c>
      <c r="G37" s="41"/>
    </row>
    <row r="38" spans="1:9" s="15" customFormat="1">
      <c r="A38" s="40" t="str">
        <f>'[1]Pigmentos Desconsiderados'!A37</f>
        <v>T494</v>
      </c>
      <c r="B38" s="72">
        <f ca="1">SUMIF('Ordem de Serviço'!$A$20:$B$45,A38,'Ordem de Serviço'!$C$20:$C$45)</f>
        <v>0</v>
      </c>
      <c r="C38" s="72">
        <f ca="1">SUMIF('Ordem de Serviço'!$A$20:$B$45,A38,'Ordem de Serviço'!$D$20:$D$45)</f>
        <v>0</v>
      </c>
      <c r="D38" s="72">
        <f ca="1">SUMIF('Ordem de Serviço'!$A$20:$B$45,A38,'Ordem de Serviço'!$E$20:$E$45)</f>
        <v>0</v>
      </c>
      <c r="E38" s="72">
        <f ca="1">SUMIF('Ordem de Serviço'!$A$20:$B$45,A38,'Ordem de Serviço'!$F$20:$F$45)</f>
        <v>0</v>
      </c>
      <c r="F38" s="72">
        <f ca="1">SUMIF('Ordem de Serviço'!$A$20:$B$45,A38,'Ordem de Serviço'!$G$20:$G$45)</f>
        <v>0</v>
      </c>
      <c r="G38" s="41"/>
    </row>
    <row r="39" spans="1:9" s="15" customFormat="1">
      <c r="A39" s="40">
        <f>'[1]Pigmentos Desconsiderados'!A38</f>
        <v>807</v>
      </c>
      <c r="B39" s="72">
        <f ca="1">SUMIF('Ordem de Serviço'!$A$20:$B$45,A39,'Ordem de Serviço'!$C$20:$C$45)</f>
        <v>0</v>
      </c>
      <c r="C39" s="72">
        <f ca="1">SUMIF('Ordem de Serviço'!$A$20:$B$45,A39,'Ordem de Serviço'!$D$20:$D$45)</f>
        <v>0</v>
      </c>
      <c r="D39" s="72">
        <f ca="1">SUMIF('Ordem de Serviço'!$A$20:$B$45,A39,'Ordem de Serviço'!$E$20:$E$45)</f>
        <v>0</v>
      </c>
      <c r="E39" s="72">
        <f ca="1">SUMIF('Ordem de Serviço'!$A$20:$B$45,A39,'Ordem de Serviço'!$F$20:$F$45)</f>
        <v>0</v>
      </c>
      <c r="F39" s="72">
        <f ca="1">SUMIF('Ordem de Serviço'!$A$20:$B$45,A39,'Ordem de Serviço'!$G$20:$G$45)</f>
        <v>0</v>
      </c>
      <c r="G39" s="41"/>
      <c r="I39" s="43"/>
    </row>
    <row r="40" spans="1:9">
      <c r="A40" s="40">
        <f>'[1]Pigmentos Desconsiderados'!A39</f>
        <v>0</v>
      </c>
      <c r="B40" s="72">
        <f ca="1">SUMIF('Ordem de Serviço'!$A$20:$B$45,A40,'Ordem de Serviço'!$C$20:$C$45)</f>
        <v>0</v>
      </c>
      <c r="C40" s="72">
        <f ca="1">SUMIF('Ordem de Serviço'!$A$20:$B$45,A40,'Ordem de Serviço'!$D$20:$D$45)</f>
        <v>0</v>
      </c>
      <c r="D40" s="72">
        <f ca="1">SUMIF('Ordem de Serviço'!$A$20:$B$45,A40,'Ordem de Serviço'!$E$20:$E$45)</f>
        <v>0</v>
      </c>
      <c r="E40" s="72">
        <f ca="1">SUMIF('Ordem de Serviço'!$A$20:$B$45,A40,'Ordem de Serviço'!$F$20:$F$45)</f>
        <v>0</v>
      </c>
      <c r="F40" s="72">
        <f ca="1">SUMIF('Ordem de Serviço'!$A$20:$B$45,A40,'Ordem de Serviço'!$G$20:$G$45)</f>
        <v>0</v>
      </c>
    </row>
    <row r="41" spans="1:9">
      <c r="A41" s="40">
        <f>'[1]Pigmentos Desconsiderados'!A40</f>
        <v>0</v>
      </c>
      <c r="B41" s="72">
        <f ca="1">SUMIF('Ordem de Serviço'!$A$20:$B$45,A41,'Ordem de Serviço'!$C$20:$C$45)</f>
        <v>0</v>
      </c>
      <c r="C41" s="72">
        <f ca="1">SUMIF('Ordem de Serviço'!$A$20:$B$45,A41,'Ordem de Serviço'!$D$20:$D$45)</f>
        <v>0</v>
      </c>
      <c r="D41" s="72">
        <f ca="1">SUMIF('Ordem de Serviço'!$A$20:$B$45,A41,'Ordem de Serviço'!$E$20:$E$45)</f>
        <v>0</v>
      </c>
      <c r="E41" s="72">
        <f ca="1">SUMIF('Ordem de Serviço'!$A$20:$B$45,A41,'Ordem de Serviço'!$F$20:$F$45)</f>
        <v>0</v>
      </c>
      <c r="F41" s="72">
        <f ca="1">SUMIF('Ordem de Serviço'!$A$20:$B$45,A41,'Ordem de Serviço'!$G$20:$G$45)</f>
        <v>0</v>
      </c>
    </row>
    <row r="42" spans="1:9">
      <c r="A42" s="40">
        <f>'[1]Pigmentos Desconsiderados'!A41</f>
        <v>0</v>
      </c>
      <c r="B42" s="72">
        <f ca="1">SUMIF('Ordem de Serviço'!$A$20:$B$45,A42,'Ordem de Serviço'!$C$20:$C$45)</f>
        <v>0</v>
      </c>
      <c r="C42" s="72">
        <f ca="1">SUMIF('Ordem de Serviço'!$A$20:$B$45,A42,'Ordem de Serviço'!$D$20:$D$45)</f>
        <v>0</v>
      </c>
      <c r="D42" s="72">
        <f ca="1">SUMIF('Ordem de Serviço'!$A$20:$B$45,A42,'Ordem de Serviço'!$E$20:$E$45)</f>
        <v>0</v>
      </c>
      <c r="E42" s="72">
        <f ca="1">SUMIF('Ordem de Serviço'!$A$20:$B$45,A42,'Ordem de Serviço'!$F$20:$F$45)</f>
        <v>0</v>
      </c>
      <c r="F42" s="72">
        <f ca="1">SUMIF('Ordem de Serviço'!$A$20:$B$45,A42,'Ordem de Serviço'!$G$20:$G$45)</f>
        <v>0</v>
      </c>
    </row>
    <row r="43" spans="1:9">
      <c r="A43" s="40">
        <f>'[1]Pigmentos Desconsiderados'!A42</f>
        <v>0</v>
      </c>
      <c r="B43" s="72">
        <f ca="1">SUMIF('Ordem de Serviço'!$A$20:$B$45,A43,'Ordem de Serviço'!$C$20:$C$45)</f>
        <v>0</v>
      </c>
      <c r="C43" s="72">
        <f ca="1">SUMIF('Ordem de Serviço'!$A$20:$B$45,A43,'Ordem de Serviço'!$D$20:$D$45)</f>
        <v>0</v>
      </c>
      <c r="D43" s="72">
        <f ca="1">SUMIF('Ordem de Serviço'!$A$20:$B$45,A43,'Ordem de Serviço'!$E$20:$E$45)</f>
        <v>0</v>
      </c>
      <c r="E43" s="72">
        <f ca="1">SUMIF('Ordem de Serviço'!$A$20:$B$45,A43,'Ordem de Serviço'!$F$20:$F$45)</f>
        <v>0</v>
      </c>
      <c r="F43" s="72">
        <f ca="1">SUMIF('Ordem de Serviço'!$A$20:$B$45,A43,'Ordem de Serviço'!$G$20:$G$45)</f>
        <v>0</v>
      </c>
    </row>
    <row r="44" spans="1:9">
      <c r="A44" s="40">
        <f>'[1]Pigmentos Desconsiderados'!A43</f>
        <v>0</v>
      </c>
      <c r="B44" s="72">
        <f ca="1">SUMIF('Ordem de Serviço'!$A$20:$B$45,A44,'Ordem de Serviço'!$C$20:$C$45)</f>
        <v>0</v>
      </c>
      <c r="C44" s="72">
        <f ca="1">SUMIF('Ordem de Serviço'!$A$20:$B$45,A44,'Ordem de Serviço'!$D$20:$D$45)</f>
        <v>0</v>
      </c>
      <c r="D44" s="72">
        <f ca="1">SUMIF('Ordem de Serviço'!$A$20:$B$45,A44,'Ordem de Serviço'!$E$20:$E$45)</f>
        <v>0</v>
      </c>
      <c r="E44" s="72">
        <f ca="1">SUMIF('Ordem de Serviço'!$A$20:$B$45,A44,'Ordem de Serviço'!$F$20:$F$45)</f>
        <v>0</v>
      </c>
      <c r="F44" s="72">
        <f ca="1">SUMIF('Ordem de Serviço'!$A$20:$B$45,A44,'Ordem de Serviço'!$G$20:$G$45)</f>
        <v>0</v>
      </c>
    </row>
    <row r="45" spans="1:9">
      <c r="A45" s="40">
        <f>'[1]Pigmentos Desconsiderados'!A44</f>
        <v>0</v>
      </c>
      <c r="B45" s="72">
        <f ca="1">SUMIF('Ordem de Serviço'!$A$20:$B$45,A45,'Ordem de Serviço'!$C$20:$C$45)</f>
        <v>0</v>
      </c>
      <c r="C45" s="72">
        <f ca="1">SUMIF('Ordem de Serviço'!$A$20:$B$45,A45,'Ordem de Serviço'!$D$20:$D$45)</f>
        <v>0</v>
      </c>
      <c r="D45" s="72">
        <f ca="1">SUMIF('Ordem de Serviço'!$A$20:$B$45,A45,'Ordem de Serviço'!$E$20:$E$45)</f>
        <v>0</v>
      </c>
      <c r="E45" s="72">
        <f ca="1">SUMIF('Ordem de Serviço'!$A$20:$B$45,A45,'Ordem de Serviço'!$F$20:$F$45)</f>
        <v>0</v>
      </c>
      <c r="F45" s="72">
        <f ca="1">SUMIF('Ordem de Serviço'!$A$20:$B$45,A45,'Ordem de Serviço'!$G$20:$G$45)</f>
        <v>0</v>
      </c>
    </row>
    <row r="46" spans="1:9">
      <c r="A46" s="40">
        <f>'[1]Pigmentos Desconsiderados'!A45</f>
        <v>0</v>
      </c>
      <c r="B46" s="72">
        <f ca="1">SUMIF('Ordem de Serviço'!$A$20:$B$45,A46,'Ordem de Serviço'!$C$20:$C$45)</f>
        <v>0</v>
      </c>
      <c r="C46" s="72">
        <f ca="1">SUMIF('Ordem de Serviço'!$A$20:$B$45,A46,'Ordem de Serviço'!$D$20:$D$45)</f>
        <v>0</v>
      </c>
      <c r="D46" s="72">
        <f ca="1">SUMIF('Ordem de Serviço'!$A$20:$B$45,A46,'Ordem de Serviço'!$E$20:$E$45)</f>
        <v>0</v>
      </c>
      <c r="E46" s="72">
        <f ca="1">SUMIF('Ordem de Serviço'!$A$20:$B$45,A46,'Ordem de Serviço'!$F$20:$F$45)</f>
        <v>0</v>
      </c>
      <c r="F46" s="72">
        <f ca="1">SUMIF('Ordem de Serviço'!$A$20:$B$45,A46,'Ordem de Serviço'!$G$20:$G$45)</f>
        <v>0</v>
      </c>
    </row>
    <row r="47" spans="1:9">
      <c r="A47" s="40">
        <f>'[1]Pigmentos Desconsiderados'!A46</f>
        <v>0</v>
      </c>
      <c r="B47" s="72">
        <f ca="1">SUMIF('Ordem de Serviço'!$A$20:$B$45,A47,'Ordem de Serviço'!$C$20:$C$45)</f>
        <v>0</v>
      </c>
      <c r="C47" s="72">
        <f ca="1">SUMIF('Ordem de Serviço'!$A$20:$B$45,A47,'Ordem de Serviço'!$D$20:$D$45)</f>
        <v>0</v>
      </c>
      <c r="D47" s="72">
        <f ca="1">SUMIF('Ordem de Serviço'!$A$20:$B$45,A47,'Ordem de Serviço'!$E$20:$E$45)</f>
        <v>0</v>
      </c>
      <c r="E47" s="72">
        <f ca="1">SUMIF('Ordem de Serviço'!$A$20:$B$45,A47,'Ordem de Serviço'!$F$20:$F$45)</f>
        <v>0</v>
      </c>
      <c r="F47" s="72">
        <f ca="1">SUMIF('Ordem de Serviço'!$A$20:$B$45,A47,'Ordem de Serviço'!$G$20:$G$45)</f>
        <v>0</v>
      </c>
    </row>
    <row r="48" spans="1:9">
      <c r="A48" s="40">
        <f>'[1]Pigmentos Desconsiderados'!A47</f>
        <v>0</v>
      </c>
      <c r="B48" s="72">
        <f ca="1">SUMIF('Ordem de Serviço'!$A$20:$B$45,A48,'Ordem de Serviço'!$C$20:$C$45)</f>
        <v>0</v>
      </c>
      <c r="C48" s="72">
        <f ca="1">SUMIF('Ordem de Serviço'!$A$20:$B$45,A48,'Ordem de Serviço'!$D$20:$D$45)</f>
        <v>0</v>
      </c>
      <c r="D48" s="72">
        <f ca="1">SUMIF('Ordem de Serviço'!$A$20:$B$45,A48,'Ordem de Serviço'!$E$20:$E$45)</f>
        <v>0</v>
      </c>
      <c r="E48" s="72">
        <f ca="1">SUMIF('Ordem de Serviço'!$A$20:$B$45,A48,'Ordem de Serviço'!$F$20:$F$45)</f>
        <v>0</v>
      </c>
      <c r="F48" s="72">
        <f ca="1">SUMIF('Ordem de Serviço'!$A$20:$B$45,A48,'Ordem de Serviço'!$G$20:$G$45)</f>
        <v>0</v>
      </c>
    </row>
    <row r="49" spans="1:6">
      <c r="A49" s="40">
        <f>'[1]Pigmentos Desconsiderados'!A48</f>
        <v>0</v>
      </c>
      <c r="B49" s="72">
        <f ca="1">SUMIF('Ordem de Serviço'!$A$20:$B$45,A49,'Ordem de Serviço'!$C$20:$C$45)</f>
        <v>0</v>
      </c>
      <c r="C49" s="72">
        <f ca="1">SUMIF('Ordem de Serviço'!$A$20:$B$45,A49,'Ordem de Serviço'!$D$20:$D$45)</f>
        <v>0</v>
      </c>
      <c r="D49" s="72">
        <f ca="1">SUMIF('Ordem de Serviço'!$A$20:$B$45,A49,'Ordem de Serviço'!$E$20:$E$45)</f>
        <v>0</v>
      </c>
      <c r="E49" s="72">
        <f ca="1">SUMIF('Ordem de Serviço'!$A$20:$B$45,A49,'Ordem de Serviço'!$F$20:$F$45)</f>
        <v>0</v>
      </c>
      <c r="F49" s="72">
        <f ca="1">SUMIF('Ordem de Serviço'!$A$20:$B$45,A49,'Ordem de Serviço'!$G$20:$G$45)</f>
        <v>0</v>
      </c>
    </row>
    <row r="50" spans="1:6">
      <c r="A50" s="40">
        <f>'[1]Pigmentos Desconsiderados'!A49</f>
        <v>0</v>
      </c>
      <c r="B50" s="72">
        <f ca="1">SUMIF('Ordem de Serviço'!$A$20:$B$45,A50,'Ordem de Serviço'!$C$20:$C$45)</f>
        <v>0</v>
      </c>
      <c r="C50" s="72">
        <f ca="1">SUMIF('Ordem de Serviço'!$A$20:$B$45,A50,'Ordem de Serviço'!$D$20:$D$45)</f>
        <v>0</v>
      </c>
      <c r="D50" s="72">
        <f ca="1">SUMIF('Ordem de Serviço'!$A$20:$B$45,A50,'Ordem de Serviço'!$E$20:$E$45)</f>
        <v>0</v>
      </c>
      <c r="E50" s="72">
        <f ca="1">SUMIF('Ordem de Serviço'!$A$20:$B$45,A50,'Ordem de Serviço'!$F$20:$F$45)</f>
        <v>0</v>
      </c>
      <c r="F50" s="72">
        <f ca="1">SUMIF('Ordem de Serviço'!$A$20:$B$45,A50,'Ordem de Serviço'!$G$20:$G$45)</f>
        <v>0</v>
      </c>
    </row>
    <row r="51" spans="1:6">
      <c r="A51" s="40">
        <f>'[1]Pigmentos Desconsiderados'!A50</f>
        <v>0</v>
      </c>
      <c r="B51" s="72">
        <f ca="1">SUMIF('Ordem de Serviço'!$A$20:$B$45,A51,'Ordem de Serviço'!$C$20:$C$45)</f>
        <v>0</v>
      </c>
      <c r="C51" s="72">
        <f ca="1">SUMIF('Ordem de Serviço'!$A$20:$B$45,A51,'Ordem de Serviço'!$D$20:$D$45)</f>
        <v>0</v>
      </c>
      <c r="D51" s="72">
        <f ca="1">SUMIF('Ordem de Serviço'!$A$20:$B$45,A51,'Ordem de Serviço'!$E$20:$E$45)</f>
        <v>0</v>
      </c>
      <c r="E51" s="72">
        <f ca="1">SUMIF('Ordem de Serviço'!$A$20:$B$45,A51,'Ordem de Serviço'!$F$20:$F$45)</f>
        <v>0</v>
      </c>
      <c r="F51" s="72">
        <f ca="1">SUMIF('Ordem de Serviço'!$A$20:$B$45,A51,'Ordem de Serviço'!$G$20:$G$45)</f>
        <v>0</v>
      </c>
    </row>
    <row r="52" spans="1:6">
      <c r="A52" s="40">
        <f>'[1]Pigmentos Desconsiderados'!A51</f>
        <v>0</v>
      </c>
      <c r="B52" s="72">
        <f ca="1">SUMIF('Ordem de Serviço'!$A$20:$B$45,A52,'Ordem de Serviço'!$C$20:$C$45)</f>
        <v>0</v>
      </c>
      <c r="C52" s="72">
        <f ca="1">SUMIF('Ordem de Serviço'!$A$20:$B$45,A52,'Ordem de Serviço'!$D$20:$D$45)</f>
        <v>0</v>
      </c>
      <c r="D52" s="72">
        <f ca="1">SUMIF('Ordem de Serviço'!$A$20:$B$45,A52,'Ordem de Serviço'!$E$20:$E$45)</f>
        <v>0</v>
      </c>
      <c r="E52" s="72">
        <f ca="1">SUMIF('Ordem de Serviço'!$A$20:$B$45,A52,'Ordem de Serviço'!$F$20:$F$45)</f>
        <v>0</v>
      </c>
      <c r="F52" s="72">
        <f ca="1">SUMIF('Ordem de Serviço'!$A$20:$B$45,A52,'Ordem de Serviço'!$G$20:$G$45)</f>
        <v>0</v>
      </c>
    </row>
    <row r="53" spans="1:6">
      <c r="A53" s="40">
        <f>'[1]Pigmentos Desconsiderados'!A52</f>
        <v>0</v>
      </c>
      <c r="B53" s="72">
        <f ca="1">SUMIF('Ordem de Serviço'!$A$20:$B$45,A53,'Ordem de Serviço'!$C$20:$C$45)</f>
        <v>0</v>
      </c>
      <c r="C53" s="72">
        <f ca="1">SUMIF('Ordem de Serviço'!$A$20:$B$45,A53,'Ordem de Serviço'!$D$20:$D$45)</f>
        <v>0</v>
      </c>
      <c r="D53" s="72">
        <f ca="1">SUMIF('Ordem de Serviço'!$A$20:$B$45,A53,'Ordem de Serviço'!$E$20:$E$45)</f>
        <v>0</v>
      </c>
      <c r="E53" s="72">
        <f ca="1">SUMIF('Ordem de Serviço'!$A$20:$B$45,A53,'Ordem de Serviço'!$F$20:$F$45)</f>
        <v>0</v>
      </c>
      <c r="F53" s="72">
        <f ca="1">SUMIF('Ordem de Serviço'!$A$20:$B$45,A53,'Ordem de Serviço'!$G$20:$G$45)</f>
        <v>0</v>
      </c>
    </row>
    <row r="54" spans="1:6">
      <c r="A54" s="40">
        <f>'[1]Pigmentos Desconsiderados'!A53</f>
        <v>0</v>
      </c>
      <c r="B54" s="72">
        <f ca="1">SUMIF('Ordem de Serviço'!$A$20:$B$45,A54,'Ordem de Serviço'!$C$20:$C$45)</f>
        <v>0</v>
      </c>
      <c r="C54" s="72">
        <f ca="1">SUMIF('Ordem de Serviço'!$A$20:$B$45,A54,'Ordem de Serviço'!$D$20:$D$45)</f>
        <v>0</v>
      </c>
      <c r="D54" s="72">
        <f ca="1">SUMIF('Ordem de Serviço'!$A$20:$B$45,A54,'Ordem de Serviço'!$E$20:$E$45)</f>
        <v>0</v>
      </c>
      <c r="E54" s="72">
        <f ca="1">SUMIF('Ordem de Serviço'!$A$20:$B$45,A54,'Ordem de Serviço'!$F$20:$F$45)</f>
        <v>0</v>
      </c>
      <c r="F54" s="72">
        <f ca="1">SUMIF('Ordem de Serviço'!$A$20:$B$45,A54,'Ordem de Serviço'!$G$20:$G$45)</f>
        <v>0</v>
      </c>
    </row>
    <row r="55" spans="1:6">
      <c r="A55" s="40">
        <f>'[1]Pigmentos Desconsiderados'!A54</f>
        <v>0</v>
      </c>
      <c r="B55" s="72">
        <f ca="1">SUMIF('Ordem de Serviço'!$A$20:$B$45,A55,'Ordem de Serviço'!$C$20:$C$45)</f>
        <v>0</v>
      </c>
      <c r="C55" s="72">
        <f ca="1">SUMIF('Ordem de Serviço'!$A$20:$B$45,A55,'Ordem de Serviço'!$D$20:$D$45)</f>
        <v>0</v>
      </c>
      <c r="D55" s="72">
        <f ca="1">SUMIF('Ordem de Serviço'!$A$20:$B$45,A55,'Ordem de Serviço'!$E$20:$E$45)</f>
        <v>0</v>
      </c>
      <c r="E55" s="72">
        <f ca="1">SUMIF('Ordem de Serviço'!$A$20:$B$45,A55,'Ordem de Serviço'!$F$20:$F$45)</f>
        <v>0</v>
      </c>
      <c r="F55" s="72">
        <f ca="1">SUMIF('Ordem de Serviço'!$A$20:$B$45,A55,'Ordem de Serviço'!$G$20:$G$45)</f>
        <v>0</v>
      </c>
    </row>
    <row r="56" spans="1:6">
      <c r="A56" s="40">
        <f>'[1]Pigmentos Desconsiderados'!A55</f>
        <v>0</v>
      </c>
      <c r="B56" s="72">
        <f ca="1">SUMIF('Ordem de Serviço'!$A$20:$B$45,A56,'Ordem de Serviço'!$C$20:$C$45)</f>
        <v>0</v>
      </c>
      <c r="C56" s="72">
        <f ca="1">SUMIF('Ordem de Serviço'!$A$20:$B$45,A56,'Ordem de Serviço'!$D$20:$D$45)</f>
        <v>0</v>
      </c>
      <c r="D56" s="72">
        <f ca="1">SUMIF('Ordem de Serviço'!$A$20:$B$45,A56,'Ordem de Serviço'!$E$20:$E$45)</f>
        <v>0</v>
      </c>
      <c r="E56" s="72">
        <f ca="1">SUMIF('Ordem de Serviço'!$A$20:$B$45,A56,'Ordem de Serviço'!$F$20:$F$45)</f>
        <v>0</v>
      </c>
      <c r="F56" s="72">
        <f ca="1">SUMIF('Ordem de Serviço'!$A$20:$B$45,A56,'Ordem de Serviço'!$G$20:$G$45)</f>
        <v>0</v>
      </c>
    </row>
    <row r="57" spans="1:6">
      <c r="A57" s="40">
        <f>'[1]Pigmentos Desconsiderados'!A56</f>
        <v>0</v>
      </c>
      <c r="B57" s="72">
        <f ca="1">SUMIF('Ordem de Serviço'!$A$20:$B$45,A57,'Ordem de Serviço'!$C$20:$C$45)</f>
        <v>0</v>
      </c>
      <c r="C57" s="72">
        <f ca="1">SUMIF('Ordem de Serviço'!$A$20:$B$45,A57,'Ordem de Serviço'!$D$20:$D$45)</f>
        <v>0</v>
      </c>
      <c r="D57" s="72">
        <f ca="1">SUMIF('Ordem de Serviço'!$A$20:$B$45,A57,'Ordem de Serviço'!$E$20:$E$45)</f>
        <v>0</v>
      </c>
      <c r="E57" s="72">
        <f ca="1">SUMIF('Ordem de Serviço'!$A$20:$B$45,A57,'Ordem de Serviço'!$F$20:$F$45)</f>
        <v>0</v>
      </c>
      <c r="F57" s="72">
        <f ca="1">SUMIF('Ordem de Serviço'!$A$20:$B$45,A57,'Ordem de Serviço'!$G$20:$G$45)</f>
        <v>0</v>
      </c>
    </row>
    <row r="58" spans="1:6">
      <c r="A58" s="40">
        <f>'[1]Pigmentos Desconsiderados'!A57</f>
        <v>0</v>
      </c>
      <c r="B58" s="72">
        <f ca="1">SUMIF('Ordem de Serviço'!$A$20:$B$45,A58,'Ordem de Serviço'!$C$20:$C$45)</f>
        <v>0</v>
      </c>
      <c r="C58" s="72">
        <f ca="1">SUMIF('Ordem de Serviço'!$A$20:$B$45,A58,'Ordem de Serviço'!$D$20:$D$45)</f>
        <v>0</v>
      </c>
      <c r="D58" s="72">
        <f ca="1">SUMIF('Ordem de Serviço'!$A$20:$B$45,A58,'Ordem de Serviço'!$E$20:$E$45)</f>
        <v>0</v>
      </c>
      <c r="E58" s="72">
        <f ca="1">SUMIF('Ordem de Serviço'!$A$20:$B$45,A58,'Ordem de Serviço'!$F$20:$F$45)</f>
        <v>0</v>
      </c>
      <c r="F58" s="72">
        <f ca="1">SUMIF('Ordem de Serviço'!$A$20:$B$45,A58,'Ordem de Serviço'!$G$20:$G$45)</f>
        <v>0</v>
      </c>
    </row>
    <row r="59" spans="1:6">
      <c r="A59" s="40">
        <f>'[1]Pigmentos Desconsiderados'!A58</f>
        <v>0</v>
      </c>
      <c r="B59" s="72">
        <f ca="1">SUMIF('Ordem de Serviço'!$A$20:$B$45,A59,'Ordem de Serviço'!$C$20:$C$45)</f>
        <v>0</v>
      </c>
      <c r="C59" s="72">
        <f ca="1">SUMIF('Ordem de Serviço'!$A$20:$B$45,A59,'Ordem de Serviço'!$D$20:$D$45)</f>
        <v>0</v>
      </c>
      <c r="D59" s="72">
        <f ca="1">SUMIF('Ordem de Serviço'!$A$20:$B$45,A59,'Ordem de Serviço'!$E$20:$E$45)</f>
        <v>0</v>
      </c>
      <c r="E59" s="72">
        <f ca="1">SUMIF('Ordem de Serviço'!$A$20:$B$45,A59,'Ordem de Serviço'!$F$20:$F$45)</f>
        <v>0</v>
      </c>
      <c r="F59" s="72">
        <f ca="1">SUMIF('Ordem de Serviço'!$A$20:$B$45,A59,'Ordem de Serviço'!$G$20:$G$45)</f>
        <v>0</v>
      </c>
    </row>
    <row r="60" spans="1:6">
      <c r="A60" s="40">
        <f>'[1]Pigmentos Desconsiderados'!A59</f>
        <v>0</v>
      </c>
      <c r="B60" s="72">
        <f ca="1">SUMIF('Ordem de Serviço'!$A$20:$B$45,A60,'Ordem de Serviço'!$C$20:$C$45)</f>
        <v>0</v>
      </c>
      <c r="C60" s="72">
        <f ca="1">SUMIF('Ordem de Serviço'!$A$20:$B$45,A60,'Ordem de Serviço'!$D$20:$D$45)</f>
        <v>0</v>
      </c>
      <c r="D60" s="72">
        <f ca="1">SUMIF('Ordem de Serviço'!$A$20:$B$45,A60,'Ordem de Serviço'!$E$20:$E$45)</f>
        <v>0</v>
      </c>
      <c r="E60" s="72">
        <f ca="1">SUMIF('Ordem de Serviço'!$A$20:$B$45,A60,'Ordem de Serviço'!$F$20:$F$45)</f>
        <v>0</v>
      </c>
      <c r="F60" s="72">
        <f ca="1">SUMIF('Ordem de Serviço'!$A$20:$B$45,A60,'Ordem de Serviço'!$G$20:$G$45)</f>
        <v>0</v>
      </c>
    </row>
    <row r="61" spans="1:6">
      <c r="A61" s="40">
        <f>'[1]Pigmentos Desconsiderados'!A60</f>
        <v>0</v>
      </c>
      <c r="B61" s="72">
        <f ca="1">SUMIF('Ordem de Serviço'!$A$20:$B$45,A61,'Ordem de Serviço'!$C$20:$C$45)</f>
        <v>0</v>
      </c>
      <c r="C61" s="72">
        <f ca="1">SUMIF('Ordem de Serviço'!$A$20:$B$45,A61,'Ordem de Serviço'!$D$20:$D$45)</f>
        <v>0</v>
      </c>
      <c r="D61" s="72">
        <f ca="1">SUMIF('Ordem de Serviço'!$A$20:$B$45,A61,'Ordem de Serviço'!$E$20:$E$45)</f>
        <v>0</v>
      </c>
      <c r="E61" s="72">
        <f ca="1">SUMIF('Ordem de Serviço'!$A$20:$B$45,A61,'Ordem de Serviço'!$F$20:$F$45)</f>
        <v>0</v>
      </c>
      <c r="F61" s="72">
        <f ca="1">SUMIF('Ordem de Serviço'!$A$20:$B$45,A61,'Ordem de Serviço'!$G$20:$G$45)</f>
        <v>0</v>
      </c>
    </row>
    <row r="62" spans="1:6">
      <c r="A62" s="40">
        <f>'[1]Pigmentos Desconsiderados'!A61</f>
        <v>0</v>
      </c>
      <c r="B62" s="72">
        <f ca="1">SUMIF('Ordem de Serviço'!$A$20:$B$45,A62,'Ordem de Serviço'!$C$20:$C$45)</f>
        <v>0</v>
      </c>
      <c r="C62" s="72">
        <f ca="1">SUMIF('Ordem de Serviço'!$A$20:$B$45,A62,'Ordem de Serviço'!$D$20:$D$45)</f>
        <v>0</v>
      </c>
      <c r="D62" s="72">
        <f ca="1">SUMIF('Ordem de Serviço'!$A$20:$B$45,A62,'Ordem de Serviço'!$E$20:$E$45)</f>
        <v>0</v>
      </c>
      <c r="E62" s="72">
        <f ca="1">SUMIF('Ordem de Serviço'!$A$20:$B$45,A62,'Ordem de Serviço'!$F$20:$F$45)</f>
        <v>0</v>
      </c>
      <c r="F62" s="72">
        <f ca="1">SUMIF('Ordem de Serviço'!$A$20:$B$45,A62,'Ordem de Serviço'!$G$20:$G$45)</f>
        <v>0</v>
      </c>
    </row>
    <row r="63" spans="1:6">
      <c r="A63" s="40">
        <f>'[1]Pigmentos Desconsiderados'!A62</f>
        <v>0</v>
      </c>
      <c r="B63" s="72">
        <f ca="1">SUMIF('Ordem de Serviço'!$A$20:$B$45,A63,'Ordem de Serviço'!$C$20:$C$45)</f>
        <v>0</v>
      </c>
      <c r="C63" s="72">
        <f ca="1">SUMIF('Ordem de Serviço'!$A$20:$B$45,A63,'Ordem de Serviço'!$D$20:$D$45)</f>
        <v>0</v>
      </c>
      <c r="D63" s="72">
        <f ca="1">SUMIF('Ordem de Serviço'!$A$20:$B$45,A63,'Ordem de Serviço'!$E$20:$E$45)</f>
        <v>0</v>
      </c>
      <c r="E63" s="72">
        <f ca="1">SUMIF('Ordem de Serviço'!$A$20:$B$45,A63,'Ordem de Serviço'!$F$20:$F$45)</f>
        <v>0</v>
      </c>
      <c r="F63" s="72">
        <f ca="1">SUMIF('Ordem de Serviço'!$A$20:$B$45,A63,'Ordem de Serviço'!$G$20:$G$45)</f>
        <v>0</v>
      </c>
    </row>
    <row r="64" spans="1:6">
      <c r="A64" s="40">
        <f>'[1]Pigmentos Desconsiderados'!A63</f>
        <v>0</v>
      </c>
      <c r="B64" s="72">
        <f ca="1">SUMIF('Ordem de Serviço'!$A$20:$B$45,A64,'Ordem de Serviço'!$C$20:$C$45)</f>
        <v>0</v>
      </c>
      <c r="C64" s="72">
        <f ca="1">SUMIF('Ordem de Serviço'!$A$20:$B$45,A64,'Ordem de Serviço'!$D$20:$D$45)</f>
        <v>0</v>
      </c>
      <c r="D64" s="72">
        <f ca="1">SUMIF('Ordem de Serviço'!$A$20:$B$45,A64,'Ordem de Serviço'!$E$20:$E$45)</f>
        <v>0</v>
      </c>
      <c r="E64" s="72">
        <f ca="1">SUMIF('Ordem de Serviço'!$A$20:$B$45,A64,'Ordem de Serviço'!$F$20:$F$45)</f>
        <v>0</v>
      </c>
      <c r="F64" s="72">
        <f ca="1">SUMIF('Ordem de Serviço'!$A$20:$B$45,A64,'Ordem de Serviço'!$G$20:$G$45)</f>
        <v>0</v>
      </c>
    </row>
    <row r="65" spans="1:6">
      <c r="A65" s="40">
        <f>'[1]Pigmentos Desconsiderados'!A64</f>
        <v>0</v>
      </c>
      <c r="B65" s="72">
        <f ca="1">SUMIF('Ordem de Serviço'!$A$20:$B$45,A65,'Ordem de Serviço'!$C$20:$C$45)</f>
        <v>0</v>
      </c>
      <c r="C65" s="72">
        <f ca="1">SUMIF('Ordem de Serviço'!$A$20:$B$45,A65,'Ordem de Serviço'!$D$20:$D$45)</f>
        <v>0</v>
      </c>
      <c r="D65" s="72">
        <f ca="1">SUMIF('Ordem de Serviço'!$A$20:$B$45,A65,'Ordem de Serviço'!$E$20:$E$45)</f>
        <v>0</v>
      </c>
      <c r="E65" s="72">
        <f ca="1">SUMIF('Ordem de Serviço'!$A$20:$B$45,A65,'Ordem de Serviço'!$F$20:$F$45)</f>
        <v>0</v>
      </c>
      <c r="F65" s="72">
        <f ca="1">SUMIF('Ordem de Serviço'!$A$20:$B$45,A65,'Ordem de Serviço'!$G$20:$G$45)</f>
        <v>0</v>
      </c>
    </row>
    <row r="66" spans="1:6">
      <c r="A66" s="40">
        <f>'[1]Pigmentos Desconsiderados'!A65</f>
        <v>0</v>
      </c>
      <c r="B66" s="72">
        <f ca="1">SUMIF('Ordem de Serviço'!$A$20:$B$45,A66,'Ordem de Serviço'!$C$20:$C$45)</f>
        <v>0</v>
      </c>
      <c r="C66" s="72">
        <f ca="1">SUMIF('Ordem de Serviço'!$A$20:$B$45,A66,'Ordem de Serviço'!$D$20:$D$45)</f>
        <v>0</v>
      </c>
      <c r="D66" s="72">
        <f ca="1">SUMIF('Ordem de Serviço'!$A$20:$B$45,A66,'Ordem de Serviço'!$E$20:$E$45)</f>
        <v>0</v>
      </c>
      <c r="E66" s="72">
        <f ca="1">SUMIF('Ordem de Serviço'!$A$20:$B$45,A66,'Ordem de Serviço'!$F$20:$F$45)</f>
        <v>0</v>
      </c>
      <c r="F66" s="72">
        <f ca="1">SUMIF('Ordem de Serviço'!$A$20:$B$45,A66,'Ordem de Serviço'!$G$20:$G$45)</f>
        <v>0</v>
      </c>
    </row>
    <row r="67" spans="1:6">
      <c r="A67" s="40">
        <f>'[1]Pigmentos Desconsiderados'!A66</f>
        <v>0</v>
      </c>
      <c r="B67" s="72">
        <f ca="1">SUMIF('Ordem de Serviço'!$A$20:$B$45,A67,'Ordem de Serviço'!$C$20:$C$45)</f>
        <v>0</v>
      </c>
      <c r="C67" s="72">
        <f ca="1">SUMIF('Ordem de Serviço'!$A$20:$B$45,A67,'Ordem de Serviço'!$D$20:$D$45)</f>
        <v>0</v>
      </c>
      <c r="D67" s="72">
        <f ca="1">SUMIF('Ordem de Serviço'!$A$20:$B$45,A67,'Ordem de Serviço'!$E$20:$E$45)</f>
        <v>0</v>
      </c>
      <c r="E67" s="72">
        <f ca="1">SUMIF('Ordem de Serviço'!$A$20:$B$45,A67,'Ordem de Serviço'!$F$20:$F$45)</f>
        <v>0</v>
      </c>
      <c r="F67" s="72">
        <f ca="1">SUMIF('Ordem de Serviço'!$A$20:$B$45,A67,'Ordem de Serviço'!$G$20:$G$45)</f>
        <v>0</v>
      </c>
    </row>
    <row r="68" spans="1:6">
      <c r="A68" s="40">
        <f>'[1]Pigmentos Desconsiderados'!A67</f>
        <v>0</v>
      </c>
      <c r="B68" s="72">
        <f ca="1">SUMIF('Ordem de Serviço'!$A$20:$B$45,A68,'Ordem de Serviço'!$C$20:$C$45)</f>
        <v>0</v>
      </c>
      <c r="C68" s="72">
        <f ca="1">SUMIF('Ordem de Serviço'!$A$20:$B$45,A68,'Ordem de Serviço'!$D$20:$D$45)</f>
        <v>0</v>
      </c>
      <c r="D68" s="72">
        <f ca="1">SUMIF('Ordem de Serviço'!$A$20:$B$45,A68,'Ordem de Serviço'!$E$20:$E$45)</f>
        <v>0</v>
      </c>
      <c r="E68" s="72">
        <f ca="1">SUMIF('Ordem de Serviço'!$A$20:$B$45,A68,'Ordem de Serviço'!$F$20:$F$45)</f>
        <v>0</v>
      </c>
      <c r="F68" s="72">
        <f ca="1">SUMIF('Ordem de Serviço'!$A$20:$B$45,A68,'Ordem de Serviço'!$G$20:$G$45)</f>
        <v>0</v>
      </c>
    </row>
    <row r="69" spans="1:6">
      <c r="A69" s="40">
        <f>'[1]Pigmentos Desconsiderados'!A68</f>
        <v>0</v>
      </c>
      <c r="B69" s="72">
        <f ca="1">SUMIF('Ordem de Serviço'!$A$20:$B$45,A69,'Ordem de Serviço'!$C$20:$C$45)</f>
        <v>0</v>
      </c>
      <c r="C69" s="72">
        <f ca="1">SUMIF('Ordem de Serviço'!$A$20:$B$45,A69,'Ordem de Serviço'!$D$20:$D$45)</f>
        <v>0</v>
      </c>
      <c r="D69" s="72">
        <f ca="1">SUMIF('Ordem de Serviço'!$A$20:$B$45,A69,'Ordem de Serviço'!$E$20:$E$45)</f>
        <v>0</v>
      </c>
      <c r="E69" s="72">
        <f ca="1">SUMIF('Ordem de Serviço'!$A$20:$B$45,A69,'Ordem de Serviço'!$F$20:$F$45)</f>
        <v>0</v>
      </c>
      <c r="F69" s="72">
        <f ca="1">SUMIF('Ordem de Serviço'!$A$20:$B$45,A69,'Ordem de Serviço'!$G$20:$G$45)</f>
        <v>0</v>
      </c>
    </row>
    <row r="70" spans="1:6">
      <c r="A70" s="40">
        <f>'[1]Pigmentos Desconsiderados'!A69</f>
        <v>0</v>
      </c>
      <c r="B70" s="72">
        <f ca="1">SUMIF('Ordem de Serviço'!$A$20:$B$45,A70,'Ordem de Serviço'!$C$20:$C$45)</f>
        <v>0</v>
      </c>
      <c r="C70" s="72">
        <f ca="1">SUMIF('Ordem de Serviço'!$A$20:$B$45,A70,'Ordem de Serviço'!$D$20:$D$45)</f>
        <v>0</v>
      </c>
      <c r="D70" s="72">
        <f ca="1">SUMIF('Ordem de Serviço'!$A$20:$B$45,A70,'Ordem de Serviço'!$E$20:$E$45)</f>
        <v>0</v>
      </c>
      <c r="E70" s="72">
        <f ca="1">SUMIF('Ordem de Serviço'!$A$20:$B$45,A70,'Ordem de Serviço'!$F$20:$F$45)</f>
        <v>0</v>
      </c>
      <c r="F70" s="72">
        <f ca="1">SUMIF('Ordem de Serviço'!$A$20:$B$45,A70,'Ordem de Serviço'!$G$20:$G$45)</f>
        <v>0</v>
      </c>
    </row>
    <row r="71" spans="1:6">
      <c r="A71" s="40">
        <f>'[1]Pigmentos Desconsiderados'!A70</f>
        <v>0</v>
      </c>
      <c r="B71" s="72">
        <f ca="1">SUMIF('Ordem de Serviço'!$A$20:$B$45,A71,'Ordem de Serviço'!$C$20:$C$45)</f>
        <v>0</v>
      </c>
      <c r="C71" s="72">
        <f ca="1">SUMIF('Ordem de Serviço'!$A$20:$B$45,A71,'Ordem de Serviço'!$D$20:$D$45)</f>
        <v>0</v>
      </c>
      <c r="D71" s="72">
        <f ca="1">SUMIF('Ordem de Serviço'!$A$20:$B$45,A71,'Ordem de Serviço'!$E$20:$E$45)</f>
        <v>0</v>
      </c>
      <c r="E71" s="72">
        <f ca="1">SUMIF('Ordem de Serviço'!$A$20:$B$45,A71,'Ordem de Serviço'!$F$20:$F$45)</f>
        <v>0</v>
      </c>
      <c r="F71" s="72">
        <f ca="1">SUMIF('Ordem de Serviço'!$A$20:$B$45,A71,'Ordem de Serviço'!$G$20:$G$45)</f>
        <v>0</v>
      </c>
    </row>
    <row r="72" spans="1:6">
      <c r="A72" s="40">
        <f>'[1]Pigmentos Desconsiderados'!A71</f>
        <v>0</v>
      </c>
      <c r="B72" s="72">
        <f ca="1">SUMIF('Ordem de Serviço'!$A$20:$B$45,A72,'Ordem de Serviço'!$C$20:$C$45)</f>
        <v>0</v>
      </c>
      <c r="C72" s="72">
        <f ca="1">SUMIF('Ordem de Serviço'!$A$20:$B$45,A72,'Ordem de Serviço'!$D$20:$D$45)</f>
        <v>0</v>
      </c>
      <c r="D72" s="72">
        <f ca="1">SUMIF('Ordem de Serviço'!$A$20:$B$45,A72,'Ordem de Serviço'!$E$20:$E$45)</f>
        <v>0</v>
      </c>
      <c r="E72" s="72">
        <f ca="1">SUMIF('Ordem de Serviço'!$A$20:$B$45,A72,'Ordem de Serviço'!$F$20:$F$45)</f>
        <v>0</v>
      </c>
      <c r="F72" s="72">
        <f ca="1">SUMIF('Ordem de Serviço'!$A$20:$B$45,A72,'Ordem de Serviço'!$G$20:$G$45)</f>
        <v>0</v>
      </c>
    </row>
    <row r="73" spans="1:6">
      <c r="A73" s="40">
        <f>'[1]Pigmentos Desconsiderados'!A72</f>
        <v>0</v>
      </c>
      <c r="B73" s="72">
        <f ca="1">SUMIF('Ordem de Serviço'!$A$20:$B$45,A73,'Ordem de Serviço'!$C$20:$C$45)</f>
        <v>0</v>
      </c>
      <c r="C73" s="72">
        <f ca="1">SUMIF('Ordem de Serviço'!$A$20:$B$45,A73,'Ordem de Serviço'!$D$20:$D$45)</f>
        <v>0</v>
      </c>
      <c r="D73" s="72">
        <f ca="1">SUMIF('Ordem de Serviço'!$A$20:$B$45,A73,'Ordem de Serviço'!$E$20:$E$45)</f>
        <v>0</v>
      </c>
      <c r="E73" s="72">
        <f ca="1">SUMIF('Ordem de Serviço'!$A$20:$B$45,A73,'Ordem de Serviço'!$F$20:$F$45)</f>
        <v>0</v>
      </c>
      <c r="F73" s="72">
        <f ca="1">SUMIF('Ordem de Serviço'!$A$20:$B$45,A73,'Ordem de Serviço'!$G$20:$G$45)</f>
        <v>0</v>
      </c>
    </row>
    <row r="74" spans="1:6">
      <c r="A74" s="40">
        <f>'[1]Pigmentos Desconsiderados'!A73</f>
        <v>0</v>
      </c>
      <c r="B74" s="72">
        <f ca="1">SUMIF('Ordem de Serviço'!$A$20:$B$45,A74,'Ordem de Serviço'!$C$20:$C$45)</f>
        <v>0</v>
      </c>
      <c r="C74" s="72">
        <f ca="1">SUMIF('Ordem de Serviço'!$A$20:$B$45,A74,'Ordem de Serviço'!$D$20:$D$45)</f>
        <v>0</v>
      </c>
      <c r="D74" s="72">
        <f ca="1">SUMIF('Ordem de Serviço'!$A$20:$B$45,A74,'Ordem de Serviço'!$E$20:$E$45)</f>
        <v>0</v>
      </c>
      <c r="E74" s="72">
        <f ca="1">SUMIF('Ordem de Serviço'!$A$20:$B$45,A74,'Ordem de Serviço'!$F$20:$F$45)</f>
        <v>0</v>
      </c>
      <c r="F74" s="72">
        <f ca="1">SUMIF('Ordem de Serviço'!$A$20:$B$45,A74,'Ordem de Serviço'!$G$20:$G$45)</f>
        <v>0</v>
      </c>
    </row>
    <row r="75" spans="1:6">
      <c r="A75" s="40">
        <f>'[1]Pigmentos Desconsiderados'!A74</f>
        <v>0</v>
      </c>
      <c r="B75" s="72">
        <f ca="1">SUMIF('Ordem de Serviço'!$A$20:$B$45,A75,'Ordem de Serviço'!$C$20:$C$45)</f>
        <v>0</v>
      </c>
      <c r="C75" s="72">
        <f ca="1">SUMIF('Ordem de Serviço'!$A$20:$B$45,A75,'Ordem de Serviço'!$D$20:$D$45)</f>
        <v>0</v>
      </c>
      <c r="D75" s="72">
        <f ca="1">SUMIF('Ordem de Serviço'!$A$20:$B$45,A75,'Ordem de Serviço'!$E$20:$E$45)</f>
        <v>0</v>
      </c>
      <c r="E75" s="72">
        <f ca="1">SUMIF('Ordem de Serviço'!$A$20:$B$45,A75,'Ordem de Serviço'!$F$20:$F$45)</f>
        <v>0</v>
      </c>
      <c r="F75" s="72">
        <f ca="1">SUMIF('Ordem de Serviço'!$A$20:$B$45,A75,'Ordem de Serviço'!$G$20:$G$45)</f>
        <v>0</v>
      </c>
    </row>
    <row r="76" spans="1:6">
      <c r="A76" s="40">
        <f>'[1]Pigmentos Desconsiderados'!A75</f>
        <v>0</v>
      </c>
      <c r="B76" s="72">
        <f ca="1">SUMIF('Ordem de Serviço'!$A$20:$B$45,A76,'Ordem de Serviço'!$C$20:$C$45)</f>
        <v>0</v>
      </c>
      <c r="C76" s="72">
        <f ca="1">SUMIF('Ordem de Serviço'!$A$20:$B$45,A76,'Ordem de Serviço'!$D$20:$D$45)</f>
        <v>0</v>
      </c>
      <c r="D76" s="72">
        <f ca="1">SUMIF('Ordem de Serviço'!$A$20:$B$45,A76,'Ordem de Serviço'!$E$20:$E$45)</f>
        <v>0</v>
      </c>
      <c r="E76" s="72">
        <f ca="1">SUMIF('Ordem de Serviço'!$A$20:$B$45,A76,'Ordem de Serviço'!$F$20:$F$45)</f>
        <v>0</v>
      </c>
      <c r="F76" s="72">
        <f ca="1">SUMIF('Ordem de Serviço'!$A$20:$B$45,A76,'Ordem de Serviço'!$G$20:$G$45)</f>
        <v>0</v>
      </c>
    </row>
    <row r="77" spans="1:6">
      <c r="A77" s="40">
        <f>'[1]Pigmentos Desconsiderados'!A76</f>
        <v>0</v>
      </c>
      <c r="B77" s="72">
        <f ca="1">SUMIF('Ordem de Serviço'!$A$20:$B$45,A77,'Ordem de Serviço'!$C$20:$C$45)</f>
        <v>0</v>
      </c>
      <c r="C77" s="72">
        <f ca="1">SUMIF('Ordem de Serviço'!$A$20:$B$45,A77,'Ordem de Serviço'!$D$20:$D$45)</f>
        <v>0</v>
      </c>
      <c r="D77" s="72">
        <f ca="1">SUMIF('Ordem de Serviço'!$A$20:$B$45,A77,'Ordem de Serviço'!$E$20:$E$45)</f>
        <v>0</v>
      </c>
      <c r="E77" s="72">
        <f ca="1">SUMIF('Ordem de Serviço'!$A$20:$B$45,A77,'Ordem de Serviço'!$F$20:$F$45)</f>
        <v>0</v>
      </c>
      <c r="F77" s="72">
        <f ca="1">SUMIF('Ordem de Serviço'!$A$20:$B$45,A77,'Ordem de Serviço'!$G$20:$G$45)</f>
        <v>0</v>
      </c>
    </row>
    <row r="78" spans="1:6">
      <c r="A78" s="40">
        <f>'[1]Pigmentos Desconsiderados'!A77</f>
        <v>0</v>
      </c>
      <c r="B78" s="72">
        <f ca="1">SUMIF('Ordem de Serviço'!$A$20:$B$45,A78,'Ordem de Serviço'!$C$20:$C$45)</f>
        <v>0</v>
      </c>
      <c r="C78" s="72">
        <f ca="1">SUMIF('Ordem de Serviço'!$A$20:$B$45,A78,'Ordem de Serviço'!$D$20:$D$45)</f>
        <v>0</v>
      </c>
      <c r="D78" s="72">
        <f ca="1">SUMIF('Ordem de Serviço'!$A$20:$B$45,A78,'Ordem de Serviço'!$E$20:$E$45)</f>
        <v>0</v>
      </c>
      <c r="E78" s="72">
        <f ca="1">SUMIF('Ordem de Serviço'!$A$20:$B$45,A78,'Ordem de Serviço'!$F$20:$F$45)</f>
        <v>0</v>
      </c>
      <c r="F78" s="72">
        <f ca="1">SUMIF('Ordem de Serviço'!$A$20:$B$45,A78,'Ordem de Serviço'!$G$20:$G$45)</f>
        <v>0</v>
      </c>
    </row>
    <row r="79" spans="1:6">
      <c r="A79" s="40">
        <f>'[1]Pigmentos Desconsiderados'!A78</f>
        <v>0</v>
      </c>
      <c r="B79" s="72">
        <f ca="1">SUMIF('Ordem de Serviço'!$A$20:$B$45,A79,'Ordem de Serviço'!$C$20:$C$45)</f>
        <v>0</v>
      </c>
      <c r="C79" s="72">
        <f ca="1">SUMIF('Ordem de Serviço'!$A$20:$B$45,A79,'Ordem de Serviço'!$D$20:$D$45)</f>
        <v>0</v>
      </c>
      <c r="D79" s="72">
        <f ca="1">SUMIF('Ordem de Serviço'!$A$20:$B$45,A79,'Ordem de Serviço'!$E$20:$E$45)</f>
        <v>0</v>
      </c>
      <c r="E79" s="72">
        <f ca="1">SUMIF('Ordem de Serviço'!$A$20:$B$45,A79,'Ordem de Serviço'!$F$20:$F$45)</f>
        <v>0</v>
      </c>
      <c r="F79" s="72">
        <f ca="1">SUMIF('Ordem de Serviço'!$A$20:$B$45,A79,'Ordem de Serviço'!$G$20:$G$45)</f>
        <v>0</v>
      </c>
    </row>
    <row r="80" spans="1:6">
      <c r="A80" s="40">
        <f>'[1]Pigmentos Desconsiderados'!A79</f>
        <v>0</v>
      </c>
      <c r="B80" s="72">
        <f ca="1">SUMIF('Ordem de Serviço'!$A$20:$B$45,A80,'Ordem de Serviço'!$C$20:$C$45)</f>
        <v>0</v>
      </c>
      <c r="C80" s="72">
        <f ca="1">SUMIF('Ordem de Serviço'!$A$20:$B$45,A80,'Ordem de Serviço'!$D$20:$D$45)</f>
        <v>0</v>
      </c>
      <c r="D80" s="72">
        <f ca="1">SUMIF('Ordem de Serviço'!$A$20:$B$45,A80,'Ordem de Serviço'!$E$20:$E$45)</f>
        <v>0</v>
      </c>
      <c r="E80" s="72">
        <f ca="1">SUMIF('Ordem de Serviço'!$A$20:$B$45,A80,'Ordem de Serviço'!$F$20:$F$45)</f>
        <v>0</v>
      </c>
      <c r="F80" s="72">
        <f ca="1">SUMIF('Ordem de Serviço'!$A$20:$B$45,A80,'Ordem de Serviço'!$G$20:$G$45)</f>
        <v>0</v>
      </c>
    </row>
    <row r="81" spans="1:6">
      <c r="A81" s="40">
        <f>'[1]Pigmentos Desconsiderados'!A80</f>
        <v>0</v>
      </c>
      <c r="B81" s="72">
        <f ca="1">SUMIF('Ordem de Serviço'!$A$20:$B$45,A81,'Ordem de Serviço'!$C$20:$C$45)</f>
        <v>0</v>
      </c>
      <c r="C81" s="72">
        <f ca="1">SUMIF('Ordem de Serviço'!$A$20:$B$45,A81,'Ordem de Serviço'!$D$20:$D$45)</f>
        <v>0</v>
      </c>
      <c r="D81" s="72">
        <f ca="1">SUMIF('Ordem de Serviço'!$A$20:$B$45,A81,'Ordem de Serviço'!$E$20:$E$45)</f>
        <v>0</v>
      </c>
      <c r="E81" s="72">
        <f ca="1">SUMIF('Ordem de Serviço'!$A$20:$B$45,A81,'Ordem de Serviço'!$F$20:$F$45)</f>
        <v>0</v>
      </c>
      <c r="F81" s="72">
        <f ca="1">SUMIF('Ordem de Serviço'!$A$20:$B$45,A81,'Ordem de Serviço'!$G$20:$G$45)</f>
        <v>0</v>
      </c>
    </row>
    <row r="82" spans="1:6">
      <c r="A82" s="40">
        <f>'[1]Pigmentos Desconsiderados'!A81</f>
        <v>0</v>
      </c>
      <c r="B82" s="72">
        <f ca="1">SUMIF('Ordem de Serviço'!$A$20:$B$45,A82,'Ordem de Serviço'!$C$20:$C$45)</f>
        <v>0</v>
      </c>
      <c r="C82" s="72">
        <f ca="1">SUMIF('Ordem de Serviço'!$A$20:$B$45,A82,'Ordem de Serviço'!$D$20:$D$45)</f>
        <v>0</v>
      </c>
      <c r="D82" s="72">
        <f ca="1">SUMIF('Ordem de Serviço'!$A$20:$B$45,A82,'Ordem de Serviço'!$E$20:$E$45)</f>
        <v>0</v>
      </c>
      <c r="E82" s="72">
        <f ca="1">SUMIF('Ordem de Serviço'!$A$20:$B$45,A82,'Ordem de Serviço'!$F$20:$F$45)</f>
        <v>0</v>
      </c>
      <c r="F82" s="72">
        <f ca="1">SUMIF('Ordem de Serviço'!$A$20:$B$45,A82,'Ordem de Serviço'!$G$20:$G$45)</f>
        <v>0</v>
      </c>
    </row>
    <row r="83" spans="1:6">
      <c r="A83" s="40">
        <f>'[1]Pigmentos Desconsiderados'!A82</f>
        <v>0</v>
      </c>
      <c r="B83" s="72">
        <f ca="1">SUMIF('Ordem de Serviço'!$A$20:$B$45,A83,'Ordem de Serviço'!$C$20:$C$45)</f>
        <v>0</v>
      </c>
      <c r="C83" s="72">
        <f ca="1">SUMIF('Ordem de Serviço'!$A$20:$B$45,A83,'Ordem de Serviço'!$D$20:$D$45)</f>
        <v>0</v>
      </c>
      <c r="D83" s="72">
        <f ca="1">SUMIF('Ordem de Serviço'!$A$20:$B$45,A83,'Ordem de Serviço'!$E$20:$E$45)</f>
        <v>0</v>
      </c>
      <c r="E83" s="72">
        <f ca="1">SUMIF('Ordem de Serviço'!$A$20:$B$45,A83,'Ordem de Serviço'!$F$20:$F$45)</f>
        <v>0</v>
      </c>
      <c r="F83" s="72">
        <f ca="1">SUMIF('Ordem de Serviço'!$A$20:$B$45,A83,'Ordem de Serviço'!$G$20:$G$45)</f>
        <v>0</v>
      </c>
    </row>
    <row r="84" spans="1:6">
      <c r="A84" s="40">
        <f>'[1]Pigmentos Desconsiderados'!A83</f>
        <v>0</v>
      </c>
      <c r="B84" s="72">
        <f ca="1">SUMIF('Ordem de Serviço'!$A$20:$B$45,A84,'Ordem de Serviço'!$C$20:$C$45)</f>
        <v>0</v>
      </c>
      <c r="C84" s="72">
        <f ca="1">SUMIF('Ordem de Serviço'!$A$20:$B$45,A84,'Ordem de Serviço'!$D$20:$D$45)</f>
        <v>0</v>
      </c>
      <c r="D84" s="72">
        <f ca="1">SUMIF('Ordem de Serviço'!$A$20:$B$45,A84,'Ordem de Serviço'!$E$20:$E$45)</f>
        <v>0</v>
      </c>
      <c r="E84" s="72">
        <f ca="1">SUMIF('Ordem de Serviço'!$A$20:$B$45,A84,'Ordem de Serviço'!$F$20:$F$45)</f>
        <v>0</v>
      </c>
      <c r="F84" s="72">
        <f ca="1">SUMIF('Ordem de Serviço'!$A$20:$B$45,A84,'Ordem de Serviço'!$G$20:$G$45)</f>
        <v>0</v>
      </c>
    </row>
    <row r="85" spans="1:6">
      <c r="A85" s="40">
        <f>'[1]Pigmentos Desconsiderados'!A84</f>
        <v>0</v>
      </c>
      <c r="B85" s="72">
        <f ca="1">SUMIF('Ordem de Serviço'!$A$20:$B$45,A85,'Ordem de Serviço'!$C$20:$C$45)</f>
        <v>0</v>
      </c>
      <c r="C85" s="72">
        <f ca="1">SUMIF('Ordem de Serviço'!$A$20:$B$45,A85,'Ordem de Serviço'!$D$20:$D$45)</f>
        <v>0</v>
      </c>
      <c r="D85" s="72">
        <f ca="1">SUMIF('Ordem de Serviço'!$A$20:$B$45,A85,'Ordem de Serviço'!$E$20:$E$45)</f>
        <v>0</v>
      </c>
      <c r="E85" s="72">
        <f ca="1">SUMIF('Ordem de Serviço'!$A$20:$B$45,A85,'Ordem de Serviço'!$F$20:$F$45)</f>
        <v>0</v>
      </c>
      <c r="F85" s="72">
        <f ca="1">SUMIF('Ordem de Serviço'!$A$20:$B$45,A85,'Ordem de Serviço'!$G$20:$G$45)</f>
        <v>0</v>
      </c>
    </row>
    <row r="86" spans="1:6">
      <c r="A86" s="40">
        <f>'[1]Pigmentos Desconsiderados'!A85</f>
        <v>0</v>
      </c>
      <c r="B86" s="72">
        <f ca="1">SUMIF('Ordem de Serviço'!$A$20:$B$45,A86,'Ordem de Serviço'!$C$20:$C$45)</f>
        <v>0</v>
      </c>
      <c r="C86" s="72">
        <f ca="1">SUMIF('Ordem de Serviço'!$A$20:$B$45,A86,'Ordem de Serviço'!$D$20:$D$45)</f>
        <v>0</v>
      </c>
      <c r="D86" s="72">
        <f ca="1">SUMIF('Ordem de Serviço'!$A$20:$B$45,A86,'Ordem de Serviço'!$E$20:$E$45)</f>
        <v>0</v>
      </c>
      <c r="E86" s="72">
        <f ca="1">SUMIF('Ordem de Serviço'!$A$20:$B$45,A86,'Ordem de Serviço'!$F$20:$F$45)</f>
        <v>0</v>
      </c>
      <c r="F86" s="72">
        <f ca="1">SUMIF('Ordem de Serviço'!$A$20:$B$45,A86,'Ordem de Serviço'!$G$20:$G$45)</f>
        <v>0</v>
      </c>
    </row>
    <row r="87" spans="1:6">
      <c r="A87" s="40">
        <f>'[1]Pigmentos Desconsiderados'!A86</f>
        <v>0</v>
      </c>
      <c r="B87" s="72">
        <f ca="1">SUMIF('Ordem de Serviço'!$A$20:$B$45,A87,'Ordem de Serviço'!$C$20:$C$45)</f>
        <v>0</v>
      </c>
      <c r="C87" s="72">
        <f ca="1">SUMIF('Ordem de Serviço'!$A$20:$B$45,A87,'Ordem de Serviço'!$D$20:$D$45)</f>
        <v>0</v>
      </c>
      <c r="D87" s="72">
        <f ca="1">SUMIF('Ordem de Serviço'!$A$20:$B$45,A87,'Ordem de Serviço'!$E$20:$E$45)</f>
        <v>0</v>
      </c>
      <c r="E87" s="72">
        <f ca="1">SUMIF('Ordem de Serviço'!$A$20:$B$45,A87,'Ordem de Serviço'!$F$20:$F$45)</f>
        <v>0</v>
      </c>
      <c r="F87" s="72">
        <f ca="1">SUMIF('Ordem de Serviço'!$A$20:$B$45,A87,'Ordem de Serviço'!$G$20:$G$45)</f>
        <v>0</v>
      </c>
    </row>
    <row r="88" spans="1:6">
      <c r="A88" s="40">
        <f>'[1]Pigmentos Desconsiderados'!A87</f>
        <v>0</v>
      </c>
      <c r="B88" s="72">
        <f ca="1">SUMIF('Ordem de Serviço'!$A$20:$B$45,A88,'Ordem de Serviço'!$C$20:$C$45)</f>
        <v>0</v>
      </c>
      <c r="C88" s="72">
        <f ca="1">SUMIF('Ordem de Serviço'!$A$20:$B$45,A88,'Ordem de Serviço'!$D$20:$D$45)</f>
        <v>0</v>
      </c>
      <c r="D88" s="72">
        <f ca="1">SUMIF('Ordem de Serviço'!$A$20:$B$45,A88,'Ordem de Serviço'!$E$20:$E$45)</f>
        <v>0</v>
      </c>
      <c r="E88" s="72">
        <f ca="1">SUMIF('Ordem de Serviço'!$A$20:$B$45,A88,'Ordem de Serviço'!$F$20:$F$45)</f>
        <v>0</v>
      </c>
      <c r="F88" s="72">
        <f ca="1">SUMIF('Ordem de Serviço'!$A$20:$B$45,A88,'Ordem de Serviço'!$G$20:$G$45)</f>
        <v>0</v>
      </c>
    </row>
    <row r="89" spans="1:6">
      <c r="A89" s="40">
        <f>'[1]Pigmentos Desconsiderados'!A88</f>
        <v>0</v>
      </c>
      <c r="B89" s="72">
        <f ca="1">SUMIF('Ordem de Serviço'!$A$20:$B$45,A89,'Ordem de Serviço'!$C$20:$C$45)</f>
        <v>0</v>
      </c>
      <c r="C89" s="72">
        <f ca="1">SUMIF('Ordem de Serviço'!$A$20:$B$45,A89,'Ordem de Serviço'!$D$20:$D$45)</f>
        <v>0</v>
      </c>
      <c r="D89" s="72">
        <f ca="1">SUMIF('Ordem de Serviço'!$A$20:$B$45,A89,'Ordem de Serviço'!$E$20:$E$45)</f>
        <v>0</v>
      </c>
      <c r="E89" s="72">
        <f ca="1">SUMIF('Ordem de Serviço'!$A$20:$B$45,A89,'Ordem de Serviço'!$F$20:$F$45)</f>
        <v>0</v>
      </c>
      <c r="F89" s="72">
        <f ca="1">SUMIF('Ordem de Serviço'!$A$20:$B$45,A89,'Ordem de Serviço'!$G$20:$G$45)</f>
        <v>0</v>
      </c>
    </row>
    <row r="90" spans="1:6">
      <c r="A90" s="40">
        <f>'[1]Pigmentos Desconsiderados'!A89</f>
        <v>0</v>
      </c>
      <c r="B90" s="72">
        <f ca="1">SUMIF('Ordem de Serviço'!$A$20:$B$45,A90,'Ordem de Serviço'!$C$20:$C$45)</f>
        <v>0</v>
      </c>
      <c r="C90" s="72">
        <f ca="1">SUMIF('Ordem de Serviço'!$A$20:$B$45,A90,'Ordem de Serviço'!$D$20:$D$45)</f>
        <v>0</v>
      </c>
      <c r="D90" s="72">
        <f ca="1">SUMIF('Ordem de Serviço'!$A$20:$B$45,A90,'Ordem de Serviço'!$E$20:$E$45)</f>
        <v>0</v>
      </c>
      <c r="E90" s="72">
        <f ca="1">SUMIF('Ordem de Serviço'!$A$20:$B$45,A90,'Ordem de Serviço'!$F$20:$F$45)</f>
        <v>0</v>
      </c>
      <c r="F90" s="72">
        <f ca="1">SUMIF('Ordem de Serviço'!$A$20:$B$45,A90,'Ordem de Serviço'!$G$20:$G$45)</f>
        <v>0</v>
      </c>
    </row>
    <row r="91" spans="1:6">
      <c r="A91" s="40">
        <f>'[1]Pigmentos Desconsiderados'!A90</f>
        <v>0</v>
      </c>
      <c r="B91" s="72">
        <f ca="1">SUMIF('Ordem de Serviço'!$A$20:$B$45,A91,'Ordem de Serviço'!$C$20:$C$45)</f>
        <v>0</v>
      </c>
      <c r="C91" s="72">
        <f ca="1">SUMIF('Ordem de Serviço'!$A$20:$B$45,A91,'Ordem de Serviço'!$D$20:$D$45)</f>
        <v>0</v>
      </c>
      <c r="D91" s="72">
        <f ca="1">SUMIF('Ordem de Serviço'!$A$20:$B$45,A91,'Ordem de Serviço'!$E$20:$E$45)</f>
        <v>0</v>
      </c>
      <c r="E91" s="72">
        <f ca="1">SUMIF('Ordem de Serviço'!$A$20:$B$45,A91,'Ordem de Serviço'!$F$20:$F$45)</f>
        <v>0</v>
      </c>
      <c r="F91" s="72">
        <f ca="1">SUMIF('Ordem de Serviço'!$A$20:$B$45,A91,'Ordem de Serviço'!$G$20:$G$45)</f>
        <v>0</v>
      </c>
    </row>
    <row r="92" spans="1:6">
      <c r="A92" s="40">
        <f>'[1]Pigmentos Desconsiderados'!A91</f>
        <v>0</v>
      </c>
      <c r="B92" s="72">
        <f ca="1">SUMIF('Ordem de Serviço'!$A$20:$B$45,A92,'Ordem de Serviço'!$C$20:$C$45)</f>
        <v>0</v>
      </c>
      <c r="C92" s="72">
        <f ca="1">SUMIF('Ordem de Serviço'!$A$20:$B$45,A92,'Ordem de Serviço'!$D$20:$D$45)</f>
        <v>0</v>
      </c>
      <c r="D92" s="72">
        <f ca="1">SUMIF('Ordem de Serviço'!$A$20:$B$45,A92,'Ordem de Serviço'!$E$20:$E$45)</f>
        <v>0</v>
      </c>
      <c r="E92" s="72">
        <f ca="1">SUMIF('Ordem de Serviço'!$A$20:$B$45,A92,'Ordem de Serviço'!$F$20:$F$45)</f>
        <v>0</v>
      </c>
      <c r="F92" s="72">
        <f ca="1">SUMIF('Ordem de Serviço'!$A$20:$B$45,A92,'Ordem de Serviço'!$G$20:$G$45)</f>
        <v>0</v>
      </c>
    </row>
    <row r="93" spans="1:6">
      <c r="A93" s="40">
        <f>'[1]Pigmentos Desconsiderados'!A92</f>
        <v>0</v>
      </c>
      <c r="B93" s="72">
        <f ca="1">SUMIF('Ordem de Serviço'!$A$20:$B$45,A93,'Ordem de Serviço'!$C$20:$C$45)</f>
        <v>0</v>
      </c>
      <c r="C93" s="72">
        <f ca="1">SUMIF('Ordem de Serviço'!$A$20:$B$45,A93,'Ordem de Serviço'!$D$20:$D$45)</f>
        <v>0</v>
      </c>
      <c r="D93" s="72">
        <f ca="1">SUMIF('Ordem de Serviço'!$A$20:$B$45,A93,'Ordem de Serviço'!$E$20:$E$45)</f>
        <v>0</v>
      </c>
      <c r="E93" s="72">
        <f ca="1">SUMIF('Ordem de Serviço'!$A$20:$B$45,A93,'Ordem de Serviço'!$F$20:$F$45)</f>
        <v>0</v>
      </c>
      <c r="F93" s="72">
        <f ca="1">SUMIF('Ordem de Serviço'!$A$20:$B$45,A93,'Ordem de Serviço'!$G$20:$G$45)</f>
        <v>0</v>
      </c>
    </row>
    <row r="94" spans="1:6">
      <c r="A94" s="40">
        <f>'[1]Pigmentos Desconsiderados'!A93</f>
        <v>0</v>
      </c>
      <c r="B94" s="72">
        <f ca="1">SUMIF('Ordem de Serviço'!$A$20:$B$45,A94,'Ordem de Serviço'!$C$20:$C$45)</f>
        <v>0</v>
      </c>
      <c r="C94" s="72">
        <f ca="1">SUMIF('Ordem de Serviço'!$A$20:$B$45,A94,'Ordem de Serviço'!$D$20:$D$45)</f>
        <v>0</v>
      </c>
      <c r="D94" s="72">
        <f ca="1">SUMIF('Ordem de Serviço'!$A$20:$B$45,A94,'Ordem de Serviço'!$E$20:$E$45)</f>
        <v>0</v>
      </c>
      <c r="E94" s="72">
        <f ca="1">SUMIF('Ordem de Serviço'!$A$20:$B$45,A94,'Ordem de Serviço'!$F$20:$F$45)</f>
        <v>0</v>
      </c>
      <c r="F94" s="72">
        <f ca="1">SUMIF('Ordem de Serviço'!$A$20:$B$45,A94,'Ordem de Serviço'!$G$20:$G$45)</f>
        <v>0</v>
      </c>
    </row>
    <row r="95" spans="1:6">
      <c r="A95" s="40">
        <f>'[1]Pigmentos Desconsiderados'!A94</f>
        <v>0</v>
      </c>
      <c r="B95" s="72">
        <f ca="1">SUMIF('Ordem de Serviço'!$A$20:$B$45,A95,'Ordem de Serviço'!$C$20:$C$45)</f>
        <v>0</v>
      </c>
      <c r="C95" s="72">
        <f ca="1">SUMIF('Ordem de Serviço'!$A$20:$B$45,A95,'Ordem de Serviço'!$D$20:$D$45)</f>
        <v>0</v>
      </c>
      <c r="D95" s="72">
        <f ca="1">SUMIF('Ordem de Serviço'!$A$20:$B$45,A95,'Ordem de Serviço'!$E$20:$E$45)</f>
        <v>0</v>
      </c>
      <c r="E95" s="72">
        <f ca="1">SUMIF('Ordem de Serviço'!$A$20:$B$45,A95,'Ordem de Serviço'!$F$20:$F$45)</f>
        <v>0</v>
      </c>
      <c r="F95" s="72">
        <f ca="1">SUMIF('Ordem de Serviço'!$A$20:$B$45,A95,'Ordem de Serviço'!$G$20:$G$45)</f>
        <v>0</v>
      </c>
    </row>
    <row r="96" spans="1:6">
      <c r="A96" s="40">
        <f>'[1]Pigmentos Desconsiderados'!A95</f>
        <v>0</v>
      </c>
      <c r="B96" s="72">
        <f ca="1">SUMIF('Ordem de Serviço'!$A$20:$B$45,A96,'Ordem de Serviço'!$C$20:$C$45)</f>
        <v>0</v>
      </c>
      <c r="C96" s="72">
        <f ca="1">SUMIF('Ordem de Serviço'!$A$20:$B$45,A96,'Ordem de Serviço'!$D$20:$D$45)</f>
        <v>0</v>
      </c>
      <c r="D96" s="72">
        <f ca="1">SUMIF('Ordem de Serviço'!$A$20:$B$45,A96,'Ordem de Serviço'!$E$20:$E$45)</f>
        <v>0</v>
      </c>
      <c r="E96" s="72">
        <f ca="1">SUMIF('Ordem de Serviço'!$A$20:$B$45,A96,'Ordem de Serviço'!$F$20:$F$45)</f>
        <v>0</v>
      </c>
      <c r="F96" s="72">
        <f ca="1">SUMIF('Ordem de Serviço'!$A$20:$B$45,A96,'Ordem de Serviço'!$G$20:$G$45)</f>
        <v>0</v>
      </c>
    </row>
    <row r="97" spans="1:6">
      <c r="A97" s="40">
        <f>'[1]Pigmentos Desconsiderados'!A96</f>
        <v>0</v>
      </c>
      <c r="B97" s="72">
        <f ca="1">SUMIF('Ordem de Serviço'!$A$20:$B$45,A97,'Ordem de Serviço'!$C$20:$C$45)</f>
        <v>0</v>
      </c>
      <c r="C97" s="72">
        <f ca="1">SUMIF('Ordem de Serviço'!$A$20:$B$45,A97,'Ordem de Serviço'!$D$20:$D$45)</f>
        <v>0</v>
      </c>
      <c r="D97" s="72">
        <f ca="1">SUMIF('Ordem de Serviço'!$A$20:$B$45,A97,'Ordem de Serviço'!$E$20:$E$45)</f>
        <v>0</v>
      </c>
      <c r="E97" s="72">
        <f ca="1">SUMIF('Ordem de Serviço'!$A$20:$B$45,A97,'Ordem de Serviço'!$F$20:$F$45)</f>
        <v>0</v>
      </c>
      <c r="F97" s="72">
        <f ca="1">SUMIF('Ordem de Serviço'!$A$20:$B$45,A97,'Ordem de Serviço'!$G$20:$G$45)</f>
        <v>0</v>
      </c>
    </row>
    <row r="98" spans="1:6">
      <c r="A98" s="40">
        <f>'[1]Pigmentos Desconsiderados'!A97</f>
        <v>0</v>
      </c>
      <c r="B98" s="72">
        <f ca="1">SUMIF('Ordem de Serviço'!$A$20:$B$45,A98,'Ordem de Serviço'!$C$20:$C$45)</f>
        <v>0</v>
      </c>
      <c r="C98" s="72">
        <f ca="1">SUMIF('Ordem de Serviço'!$A$20:$B$45,A98,'Ordem de Serviço'!$D$20:$D$45)</f>
        <v>0</v>
      </c>
      <c r="D98" s="72">
        <f ca="1">SUMIF('Ordem de Serviço'!$A$20:$B$45,A98,'Ordem de Serviço'!$E$20:$E$45)</f>
        <v>0</v>
      </c>
      <c r="E98" s="72">
        <f ca="1">SUMIF('Ordem de Serviço'!$A$20:$B$45,A98,'Ordem de Serviço'!$F$20:$F$45)</f>
        <v>0</v>
      </c>
      <c r="F98" s="72">
        <f ca="1">SUMIF('Ordem de Serviço'!$A$20:$B$45,A98,'Ordem de Serviço'!$G$20:$G$45)</f>
        <v>0</v>
      </c>
    </row>
    <row r="99" spans="1:6">
      <c r="A99" s="40">
        <f>'[1]Pigmentos Desconsiderados'!A98</f>
        <v>0</v>
      </c>
      <c r="B99" s="72">
        <f ca="1">SUMIF('Ordem de Serviço'!$A$20:$B$45,A99,'Ordem de Serviço'!$C$20:$C$45)</f>
        <v>0</v>
      </c>
      <c r="C99" s="72">
        <f ca="1">SUMIF('Ordem de Serviço'!$A$20:$B$45,A99,'Ordem de Serviço'!$D$20:$D$45)</f>
        <v>0</v>
      </c>
      <c r="D99" s="72">
        <f ca="1">SUMIF('Ordem de Serviço'!$A$20:$B$45,A99,'Ordem de Serviço'!$E$20:$E$45)</f>
        <v>0</v>
      </c>
      <c r="E99" s="72">
        <f ca="1">SUMIF('Ordem de Serviço'!$A$20:$B$45,A99,'Ordem de Serviço'!$F$20:$F$45)</f>
        <v>0</v>
      </c>
      <c r="F99" s="72">
        <f ca="1">SUMIF('Ordem de Serviço'!$A$20:$B$45,A99,'Ordem de Serviço'!$G$20:$G$45)</f>
        <v>0</v>
      </c>
    </row>
    <row r="100" spans="1:6">
      <c r="A100" s="40">
        <f>'[1]Pigmentos Desconsiderados'!A99</f>
        <v>0</v>
      </c>
      <c r="B100" s="72">
        <f ca="1">SUMIF('Ordem de Serviço'!$A$20:$B$45,A100,'Ordem de Serviço'!$C$20:$C$45)</f>
        <v>0</v>
      </c>
      <c r="C100" s="72">
        <f ca="1">SUMIF('Ordem de Serviço'!$A$20:$B$45,A100,'Ordem de Serviço'!$D$20:$D$45)</f>
        <v>0</v>
      </c>
      <c r="D100" s="72">
        <f ca="1">SUMIF('Ordem de Serviço'!$A$20:$B$45,A100,'Ordem de Serviço'!$E$20:$E$45)</f>
        <v>0</v>
      </c>
      <c r="E100" s="72">
        <f ca="1">SUMIF('Ordem de Serviço'!$A$20:$B$45,A100,'Ordem de Serviço'!$F$20:$F$45)</f>
        <v>0</v>
      </c>
      <c r="F100" s="72">
        <f ca="1">SUMIF('Ordem de Serviço'!$A$20:$B$45,A100,'Ordem de Serviço'!$G$20:$G$45)</f>
        <v>0</v>
      </c>
    </row>
    <row r="101" spans="1:6">
      <c r="A101" s="40">
        <f>'[1]Pigmentos Desconsiderados'!A100</f>
        <v>0</v>
      </c>
      <c r="B101" s="72">
        <f ca="1">SUMIF('Ordem de Serviço'!$A$20:$B$45,A101,'Ordem de Serviço'!$C$20:$C$45)</f>
        <v>0</v>
      </c>
      <c r="C101" s="72">
        <f ca="1">SUMIF('Ordem de Serviço'!$A$20:$B$45,A101,'Ordem de Serviço'!$D$20:$D$45)</f>
        <v>0</v>
      </c>
      <c r="D101" s="72">
        <f ca="1">SUMIF('Ordem de Serviço'!$A$20:$B$45,A101,'Ordem de Serviço'!$E$20:$E$45)</f>
        <v>0</v>
      </c>
      <c r="E101" s="72">
        <f ca="1">SUMIF('Ordem de Serviço'!$A$20:$B$45,A101,'Ordem de Serviço'!$F$20:$F$45)</f>
        <v>0</v>
      </c>
      <c r="F101" s="72">
        <f ca="1">SUMIF('Ordem de Serviço'!$A$20:$B$45,A101,'Ordem de Serviço'!$G$20:$G$45)</f>
        <v>0</v>
      </c>
    </row>
    <row r="102" spans="1:6">
      <c r="A102" s="40">
        <f>'[1]Pigmentos Desconsiderados'!A101</f>
        <v>0</v>
      </c>
      <c r="B102" s="72">
        <f ca="1">SUMIF('Ordem de Serviço'!$A$20:$B$45,A102,'Ordem de Serviço'!$C$20:$C$45)</f>
        <v>0</v>
      </c>
      <c r="C102" s="72">
        <f ca="1">SUMIF('Ordem de Serviço'!$A$20:$B$45,A102,'Ordem de Serviço'!$D$20:$D$45)</f>
        <v>0</v>
      </c>
      <c r="D102" s="72">
        <f ca="1">SUMIF('Ordem de Serviço'!$A$20:$B$45,A102,'Ordem de Serviço'!$E$20:$E$45)</f>
        <v>0</v>
      </c>
      <c r="E102" s="72">
        <f ca="1">SUMIF('Ordem de Serviço'!$A$20:$B$45,A102,'Ordem de Serviço'!$F$20:$F$45)</f>
        <v>0</v>
      </c>
      <c r="F102" s="72">
        <f ca="1">SUMIF('Ordem de Serviço'!$A$20:$B$45,A102,'Ordem de Serviço'!$G$20:$G$45)</f>
        <v>0</v>
      </c>
    </row>
    <row r="103" spans="1:6">
      <c r="A103" s="40">
        <f>'[1]Pigmentos Desconsiderados'!A102</f>
        <v>0</v>
      </c>
      <c r="B103" s="72">
        <f ca="1">SUMIF('Ordem de Serviço'!$A$20:$B$45,A103,'Ordem de Serviço'!$C$20:$C$45)</f>
        <v>0</v>
      </c>
      <c r="C103" s="72">
        <f ca="1">SUMIF('Ordem de Serviço'!$A$20:$B$45,A103,'Ordem de Serviço'!$D$20:$D$45)</f>
        <v>0</v>
      </c>
      <c r="D103" s="72">
        <f ca="1">SUMIF('Ordem de Serviço'!$A$20:$B$45,A103,'Ordem de Serviço'!$E$20:$E$45)</f>
        <v>0</v>
      </c>
      <c r="E103" s="72">
        <f ca="1">SUMIF('Ordem de Serviço'!$A$20:$B$45,A103,'Ordem de Serviço'!$F$20:$F$45)</f>
        <v>0</v>
      </c>
      <c r="F103" s="72">
        <f ca="1">SUMIF('Ordem de Serviço'!$A$20:$B$45,A103,'Ordem de Serviço'!$G$20:$G$45)</f>
        <v>0</v>
      </c>
    </row>
    <row r="104" spans="1:6">
      <c r="A104" s="40">
        <f>'[1]Pigmentos Desconsiderados'!A103</f>
        <v>0</v>
      </c>
      <c r="B104" s="72">
        <f ca="1">SUMIF('Ordem de Serviço'!$A$20:$B$45,A104,'Ordem de Serviço'!$C$20:$C$45)</f>
        <v>0</v>
      </c>
      <c r="C104" s="72">
        <f ca="1">SUMIF('Ordem de Serviço'!$A$20:$B$45,A104,'Ordem de Serviço'!$D$20:$D$45)</f>
        <v>0</v>
      </c>
      <c r="D104" s="72">
        <f ca="1">SUMIF('Ordem de Serviço'!$A$20:$B$45,A104,'Ordem de Serviço'!$E$20:$E$45)</f>
        <v>0</v>
      </c>
      <c r="E104" s="72">
        <f ca="1">SUMIF('Ordem de Serviço'!$A$20:$B$45,A104,'Ordem de Serviço'!$F$20:$F$45)</f>
        <v>0</v>
      </c>
      <c r="F104" s="72">
        <f ca="1">SUMIF('Ordem de Serviço'!$A$20:$B$45,A104,'Ordem de Serviço'!$G$20:$G$45)</f>
        <v>0</v>
      </c>
    </row>
    <row r="105" spans="1:6">
      <c r="A105" s="40">
        <f>'[1]Pigmentos Desconsiderados'!A104</f>
        <v>0</v>
      </c>
      <c r="B105" s="72">
        <f ca="1">SUMIF('Ordem de Serviço'!$A$20:$B$45,A105,'Ordem de Serviço'!$C$20:$C$45)</f>
        <v>0</v>
      </c>
      <c r="C105" s="72">
        <f ca="1">SUMIF('Ordem de Serviço'!$A$20:$B$45,A105,'Ordem de Serviço'!$D$20:$D$45)</f>
        <v>0</v>
      </c>
      <c r="D105" s="72">
        <f ca="1">SUMIF('Ordem de Serviço'!$A$20:$B$45,A105,'Ordem de Serviço'!$E$20:$E$45)</f>
        <v>0</v>
      </c>
      <c r="E105" s="72">
        <f ca="1">SUMIF('Ordem de Serviço'!$A$20:$B$45,A105,'Ordem de Serviço'!$F$20:$F$45)</f>
        <v>0</v>
      </c>
      <c r="F105" s="72">
        <f ca="1">SUMIF('Ordem de Serviço'!$A$20:$B$45,A105,'Ordem de Serviço'!$G$20:$G$45)</f>
        <v>0</v>
      </c>
    </row>
    <row r="106" spans="1:6">
      <c r="A106" s="40">
        <f>'[1]Pigmentos Desconsiderados'!A105</f>
        <v>0</v>
      </c>
      <c r="B106" s="72">
        <f ca="1">SUMIF('Ordem de Serviço'!$A$20:$B$45,A106,'Ordem de Serviço'!$C$20:$C$45)</f>
        <v>0</v>
      </c>
      <c r="C106" s="72">
        <f ca="1">SUMIF('Ordem de Serviço'!$A$20:$B$45,A106,'Ordem de Serviço'!$D$20:$D$45)</f>
        <v>0</v>
      </c>
      <c r="D106" s="72">
        <f ca="1">SUMIF('Ordem de Serviço'!$A$20:$B$45,A106,'Ordem de Serviço'!$E$20:$E$45)</f>
        <v>0</v>
      </c>
      <c r="E106" s="72">
        <f ca="1">SUMIF('Ordem de Serviço'!$A$20:$B$45,A106,'Ordem de Serviço'!$F$20:$F$45)</f>
        <v>0</v>
      </c>
      <c r="F106" s="72">
        <f ca="1">SUMIF('Ordem de Serviço'!$A$20:$B$45,A106,'Ordem de Serviço'!$G$20:$G$45)</f>
        <v>0</v>
      </c>
    </row>
    <row r="107" spans="1:6">
      <c r="A107" s="40">
        <f>'[1]Pigmentos Desconsiderados'!A106</f>
        <v>0</v>
      </c>
      <c r="B107" s="72">
        <f ca="1">SUMIF('Ordem de Serviço'!$A$20:$B$45,A107,'Ordem de Serviço'!$C$20:$C$45)</f>
        <v>0</v>
      </c>
      <c r="C107" s="72">
        <f ca="1">SUMIF('Ordem de Serviço'!$A$20:$B$45,A107,'Ordem de Serviço'!$D$20:$D$45)</f>
        <v>0</v>
      </c>
      <c r="D107" s="72">
        <f ca="1">SUMIF('Ordem de Serviço'!$A$20:$B$45,A107,'Ordem de Serviço'!$E$20:$E$45)</f>
        <v>0</v>
      </c>
      <c r="E107" s="72">
        <f ca="1">SUMIF('Ordem de Serviço'!$A$20:$B$45,A107,'Ordem de Serviço'!$F$20:$F$45)</f>
        <v>0</v>
      </c>
      <c r="F107" s="72">
        <f ca="1">SUMIF('Ordem de Serviço'!$A$20:$B$45,A107,'Ordem de Serviço'!$G$20:$G$45)</f>
        <v>0</v>
      </c>
    </row>
    <row r="108" spans="1:6">
      <c r="A108" s="40">
        <f>'[1]Pigmentos Desconsiderados'!A107</f>
        <v>0</v>
      </c>
      <c r="B108" s="72">
        <f ca="1">SUMIF('Ordem de Serviço'!$A$20:$B$45,A108,'Ordem de Serviço'!$C$20:$C$45)</f>
        <v>0</v>
      </c>
      <c r="C108" s="72">
        <f ca="1">SUMIF('Ordem de Serviço'!$A$20:$B$45,A108,'Ordem de Serviço'!$D$20:$D$45)</f>
        <v>0</v>
      </c>
      <c r="D108" s="72">
        <f ca="1">SUMIF('Ordem de Serviço'!$A$20:$B$45,A108,'Ordem de Serviço'!$E$20:$E$45)</f>
        <v>0</v>
      </c>
      <c r="E108" s="72">
        <f ca="1">SUMIF('Ordem de Serviço'!$A$20:$B$45,A108,'Ordem de Serviço'!$F$20:$F$45)</f>
        <v>0</v>
      </c>
      <c r="F108" s="72">
        <f ca="1">SUMIF('Ordem de Serviço'!$A$20:$B$45,A108,'Ordem de Serviço'!$G$20:$G$45)</f>
        <v>0</v>
      </c>
    </row>
    <row r="109" spans="1:6">
      <c r="A109" s="40">
        <f>'[1]Pigmentos Desconsiderados'!A108</f>
        <v>0</v>
      </c>
      <c r="B109" s="72">
        <f ca="1">SUMIF('Ordem de Serviço'!$A$20:$B$45,A109,'Ordem de Serviço'!$C$20:$C$45)</f>
        <v>0</v>
      </c>
      <c r="C109" s="72">
        <f ca="1">SUMIF('Ordem de Serviço'!$A$20:$B$45,A109,'Ordem de Serviço'!$D$20:$D$45)</f>
        <v>0</v>
      </c>
      <c r="D109" s="72">
        <f ca="1">SUMIF('Ordem de Serviço'!$A$20:$B$45,A109,'Ordem de Serviço'!$E$20:$E$45)</f>
        <v>0</v>
      </c>
      <c r="E109" s="72">
        <f ca="1">SUMIF('Ordem de Serviço'!$A$20:$B$45,A109,'Ordem de Serviço'!$F$20:$F$45)</f>
        <v>0</v>
      </c>
      <c r="F109" s="72">
        <f ca="1">SUMIF('Ordem de Serviço'!$A$20:$B$45,A109,'Ordem de Serviço'!$G$20:$G$45)</f>
        <v>0</v>
      </c>
    </row>
    <row r="110" spans="1:6">
      <c r="A110" s="40">
        <f>'[1]Pigmentos Desconsiderados'!A109</f>
        <v>0</v>
      </c>
      <c r="B110" s="72">
        <f ca="1">SUMIF('Ordem de Serviço'!$A$20:$B$45,A110,'Ordem de Serviço'!$C$20:$C$45)</f>
        <v>0</v>
      </c>
      <c r="C110" s="72">
        <f ca="1">SUMIF('Ordem de Serviço'!$A$20:$B$45,A110,'Ordem de Serviço'!$D$20:$D$45)</f>
        <v>0</v>
      </c>
      <c r="D110" s="72">
        <f ca="1">SUMIF('Ordem de Serviço'!$A$20:$B$45,A110,'Ordem de Serviço'!$E$20:$E$45)</f>
        <v>0</v>
      </c>
      <c r="E110" s="72">
        <f ca="1">SUMIF('Ordem de Serviço'!$A$20:$B$45,A110,'Ordem de Serviço'!$F$20:$F$45)</f>
        <v>0</v>
      </c>
      <c r="F110" s="72">
        <f ca="1">SUMIF('Ordem de Serviço'!$A$20:$B$45,A110,'Ordem de Serviço'!$G$20:$G$45)</f>
        <v>0</v>
      </c>
    </row>
    <row r="111" spans="1:6">
      <c r="A111" s="40">
        <f>'[1]Pigmentos Desconsiderados'!A110</f>
        <v>0</v>
      </c>
      <c r="B111" s="72">
        <f ca="1">SUMIF('Ordem de Serviço'!$A$20:$B$45,A111,'Ordem de Serviço'!$C$20:$C$45)</f>
        <v>0</v>
      </c>
      <c r="C111" s="72">
        <f ca="1">SUMIF('Ordem de Serviço'!$A$20:$B$45,A111,'Ordem de Serviço'!$D$20:$D$45)</f>
        <v>0</v>
      </c>
      <c r="D111" s="72">
        <f ca="1">SUMIF('Ordem de Serviço'!$A$20:$B$45,A111,'Ordem de Serviço'!$E$20:$E$45)</f>
        <v>0</v>
      </c>
      <c r="E111" s="72">
        <f ca="1">SUMIF('Ordem de Serviço'!$A$20:$B$45,A111,'Ordem de Serviço'!$F$20:$F$45)</f>
        <v>0</v>
      </c>
      <c r="F111" s="72">
        <f ca="1">SUMIF('Ordem de Serviço'!$A$20:$B$45,A111,'Ordem de Serviço'!$G$20:$G$45)</f>
        <v>0</v>
      </c>
    </row>
    <row r="112" spans="1:6">
      <c r="A112" s="40">
        <f>'[1]Pigmentos Desconsiderados'!A111</f>
        <v>0</v>
      </c>
      <c r="B112" s="72">
        <f ca="1">SUMIF('Ordem de Serviço'!$A$20:$B$45,A112,'Ordem de Serviço'!$C$20:$C$45)</f>
        <v>0</v>
      </c>
      <c r="C112" s="72">
        <f ca="1">SUMIF('Ordem de Serviço'!$A$20:$B$45,A112,'Ordem de Serviço'!$D$20:$D$45)</f>
        <v>0</v>
      </c>
      <c r="D112" s="72">
        <f ca="1">SUMIF('Ordem de Serviço'!$A$20:$B$45,A112,'Ordem de Serviço'!$E$20:$E$45)</f>
        <v>0</v>
      </c>
      <c r="E112" s="72">
        <f ca="1">SUMIF('Ordem de Serviço'!$A$20:$B$45,A112,'Ordem de Serviço'!$F$20:$F$45)</f>
        <v>0</v>
      </c>
      <c r="F112" s="72">
        <f ca="1">SUMIF('Ordem de Serviço'!$A$20:$B$45,A112,'Ordem de Serviço'!$G$20:$G$45)</f>
        <v>0</v>
      </c>
    </row>
    <row r="113" spans="1:6">
      <c r="A113" s="40">
        <f>'[1]Pigmentos Desconsiderados'!A112</f>
        <v>0</v>
      </c>
      <c r="B113" s="72">
        <f ca="1">SUMIF('Ordem de Serviço'!$A$20:$B$45,A113,'Ordem de Serviço'!$C$20:$C$45)</f>
        <v>0</v>
      </c>
      <c r="C113" s="72">
        <f ca="1">SUMIF('Ordem de Serviço'!$A$20:$B$45,A113,'Ordem de Serviço'!$D$20:$D$45)</f>
        <v>0</v>
      </c>
      <c r="D113" s="72">
        <f ca="1">SUMIF('Ordem de Serviço'!$A$20:$B$45,A113,'Ordem de Serviço'!$E$20:$E$45)</f>
        <v>0</v>
      </c>
      <c r="E113" s="72">
        <f ca="1">SUMIF('Ordem de Serviço'!$A$20:$B$45,A113,'Ordem de Serviço'!$F$20:$F$45)</f>
        <v>0</v>
      </c>
      <c r="F113" s="72">
        <f ca="1">SUMIF('Ordem de Serviço'!$A$20:$B$45,A113,'Ordem de Serviço'!$G$20:$G$45)</f>
        <v>0</v>
      </c>
    </row>
    <row r="114" spans="1:6">
      <c r="A114" s="40">
        <f>'[1]Pigmentos Desconsiderados'!A113</f>
        <v>0</v>
      </c>
      <c r="B114" s="72">
        <f ca="1">SUMIF('Ordem de Serviço'!$A$20:$B$45,A114,'Ordem de Serviço'!$C$20:$C$45)</f>
        <v>0</v>
      </c>
      <c r="C114" s="72">
        <f ca="1">SUMIF('Ordem de Serviço'!$A$20:$B$45,A114,'Ordem de Serviço'!$D$20:$D$45)</f>
        <v>0</v>
      </c>
      <c r="D114" s="72">
        <f ca="1">SUMIF('Ordem de Serviço'!$A$20:$B$45,A114,'Ordem de Serviço'!$E$20:$E$45)</f>
        <v>0</v>
      </c>
      <c r="E114" s="72">
        <f ca="1">SUMIF('Ordem de Serviço'!$A$20:$B$45,A114,'Ordem de Serviço'!$F$20:$F$45)</f>
        <v>0</v>
      </c>
      <c r="F114" s="72">
        <f ca="1">SUMIF('Ordem de Serviço'!$A$20:$B$45,A114,'Ordem de Serviço'!$G$20:$G$45)</f>
        <v>0</v>
      </c>
    </row>
    <row r="115" spans="1:6">
      <c r="A115" s="40">
        <f>'[1]Pigmentos Desconsiderados'!A114</f>
        <v>0</v>
      </c>
      <c r="B115" s="72">
        <f ca="1">SUMIF('Ordem de Serviço'!$A$20:$B$45,A115,'Ordem de Serviço'!$C$20:$C$45)</f>
        <v>0</v>
      </c>
      <c r="C115" s="72">
        <f ca="1">SUMIF('Ordem de Serviço'!$A$20:$B$45,A115,'Ordem de Serviço'!$D$20:$D$45)</f>
        <v>0</v>
      </c>
      <c r="D115" s="72">
        <f ca="1">SUMIF('Ordem de Serviço'!$A$20:$B$45,A115,'Ordem de Serviço'!$E$20:$E$45)</f>
        <v>0</v>
      </c>
      <c r="E115" s="72">
        <f ca="1">SUMIF('Ordem de Serviço'!$A$20:$B$45,A115,'Ordem de Serviço'!$F$20:$F$45)</f>
        <v>0</v>
      </c>
      <c r="F115" s="72">
        <f ca="1">SUMIF('Ordem de Serviço'!$A$20:$B$45,A115,'Ordem de Serviço'!$G$20:$G$45)</f>
        <v>0</v>
      </c>
    </row>
    <row r="116" spans="1:6">
      <c r="A116" s="40">
        <f>'[1]Pigmentos Desconsiderados'!A115</f>
        <v>0</v>
      </c>
      <c r="B116" s="72">
        <f ca="1">SUMIF('Ordem de Serviço'!$A$20:$B$45,A116,'Ordem de Serviço'!$C$20:$C$45)</f>
        <v>0</v>
      </c>
      <c r="C116" s="72">
        <f ca="1">SUMIF('Ordem de Serviço'!$A$20:$B$45,A116,'Ordem de Serviço'!$D$20:$D$45)</f>
        <v>0</v>
      </c>
      <c r="D116" s="72">
        <f ca="1">SUMIF('Ordem de Serviço'!$A$20:$B$45,A116,'Ordem de Serviço'!$E$20:$E$45)</f>
        <v>0</v>
      </c>
      <c r="E116" s="72">
        <f ca="1">SUMIF('Ordem de Serviço'!$A$20:$B$45,A116,'Ordem de Serviço'!$F$20:$F$45)</f>
        <v>0</v>
      </c>
      <c r="F116" s="72">
        <f ca="1">SUMIF('Ordem de Serviço'!$A$20:$B$45,A116,'Ordem de Serviço'!$G$20:$G$45)</f>
        <v>0</v>
      </c>
    </row>
    <row r="117" spans="1:6">
      <c r="A117" s="40">
        <f>'[1]Pigmentos Desconsiderados'!A116</f>
        <v>0</v>
      </c>
      <c r="B117" s="72">
        <f ca="1">SUMIF('Ordem de Serviço'!$A$20:$B$45,A117,'Ordem de Serviço'!$C$20:$C$45)</f>
        <v>0</v>
      </c>
      <c r="C117" s="72">
        <f ca="1">SUMIF('Ordem de Serviço'!$A$20:$B$45,A117,'Ordem de Serviço'!$D$20:$D$45)</f>
        <v>0</v>
      </c>
      <c r="D117" s="72">
        <f ca="1">SUMIF('Ordem de Serviço'!$A$20:$B$45,A117,'Ordem de Serviço'!$E$20:$E$45)</f>
        <v>0</v>
      </c>
      <c r="E117" s="72">
        <f ca="1">SUMIF('Ordem de Serviço'!$A$20:$B$45,A117,'Ordem de Serviço'!$F$20:$F$45)</f>
        <v>0</v>
      </c>
      <c r="F117" s="72">
        <f ca="1">SUMIF('Ordem de Serviço'!$A$20:$B$45,A117,'Ordem de Serviço'!$G$20:$G$45)</f>
        <v>0</v>
      </c>
    </row>
    <row r="118" spans="1:6">
      <c r="A118" s="40">
        <f>'[1]Pigmentos Desconsiderados'!A117</f>
        <v>0</v>
      </c>
      <c r="B118" s="72">
        <f ca="1">SUMIF('Ordem de Serviço'!$A$20:$B$45,A118,'Ordem de Serviço'!$C$20:$C$45)</f>
        <v>0</v>
      </c>
      <c r="C118" s="72">
        <f ca="1">SUMIF('Ordem de Serviço'!$A$20:$B$45,A118,'Ordem de Serviço'!$D$20:$D$45)</f>
        <v>0</v>
      </c>
      <c r="D118" s="72">
        <f ca="1">SUMIF('Ordem de Serviço'!$A$20:$B$45,A118,'Ordem de Serviço'!$E$20:$E$45)</f>
        <v>0</v>
      </c>
      <c r="E118" s="72">
        <f ca="1">SUMIF('Ordem de Serviço'!$A$20:$B$45,A118,'Ordem de Serviço'!$F$20:$F$45)</f>
        <v>0</v>
      </c>
      <c r="F118" s="72">
        <f ca="1">SUMIF('Ordem de Serviço'!$A$20:$B$45,A118,'Ordem de Serviço'!$G$20:$G$45)</f>
        <v>0</v>
      </c>
    </row>
    <row r="119" spans="1:6">
      <c r="A119" s="40">
        <f>'[1]Pigmentos Desconsiderados'!A118</f>
        <v>0</v>
      </c>
      <c r="B119" s="72">
        <f ca="1">SUMIF('Ordem de Serviço'!$A$20:$B$45,A119,'Ordem de Serviço'!$C$20:$C$45)</f>
        <v>0</v>
      </c>
      <c r="C119" s="72">
        <f ca="1">SUMIF('Ordem de Serviço'!$A$20:$B$45,A119,'Ordem de Serviço'!$D$20:$D$45)</f>
        <v>0</v>
      </c>
      <c r="D119" s="72">
        <f ca="1">SUMIF('Ordem de Serviço'!$A$20:$B$45,A119,'Ordem de Serviço'!$E$20:$E$45)</f>
        <v>0</v>
      </c>
      <c r="E119" s="72">
        <f ca="1">SUMIF('Ordem de Serviço'!$A$20:$B$45,A119,'Ordem de Serviço'!$F$20:$F$45)</f>
        <v>0</v>
      </c>
      <c r="F119" s="72">
        <f ca="1">SUMIF('Ordem de Serviço'!$A$20:$B$45,A119,'Ordem de Serviço'!$G$20:$G$45)</f>
        <v>0</v>
      </c>
    </row>
    <row r="120" spans="1:6">
      <c r="A120" s="40">
        <f>'[1]Pigmentos Desconsiderados'!A119</f>
        <v>0</v>
      </c>
      <c r="B120" s="72">
        <f ca="1">SUMIF('Ordem de Serviço'!$A$20:$B$45,A120,'Ordem de Serviço'!$C$20:$C$45)</f>
        <v>0</v>
      </c>
      <c r="C120" s="72">
        <f ca="1">SUMIF('Ordem de Serviço'!$A$20:$B$45,A120,'Ordem de Serviço'!$D$20:$D$45)</f>
        <v>0</v>
      </c>
      <c r="D120" s="72">
        <f ca="1">SUMIF('Ordem de Serviço'!$A$20:$B$45,A120,'Ordem de Serviço'!$E$20:$E$45)</f>
        <v>0</v>
      </c>
      <c r="E120" s="72">
        <f ca="1">SUMIF('Ordem de Serviço'!$A$20:$B$45,A120,'Ordem de Serviço'!$F$20:$F$45)</f>
        <v>0</v>
      </c>
      <c r="F120" s="72">
        <f ca="1">SUMIF('Ordem de Serviço'!$A$20:$B$45,A120,'Ordem de Serviço'!$G$20:$G$45)</f>
        <v>0</v>
      </c>
    </row>
    <row r="121" spans="1:6">
      <c r="A121" s="40">
        <f>'[1]Pigmentos Desconsiderados'!A120</f>
        <v>0</v>
      </c>
      <c r="B121" s="72">
        <f ca="1">SUMIF('Ordem de Serviço'!$A$20:$B$45,A121,'Ordem de Serviço'!$C$20:$C$45)</f>
        <v>0</v>
      </c>
      <c r="C121" s="72">
        <f ca="1">SUMIF('Ordem de Serviço'!$A$20:$B$45,A121,'Ordem de Serviço'!$D$20:$D$45)</f>
        <v>0</v>
      </c>
      <c r="D121" s="72">
        <f ca="1">SUMIF('Ordem de Serviço'!$A$20:$B$45,A121,'Ordem de Serviço'!$E$20:$E$45)</f>
        <v>0</v>
      </c>
      <c r="E121" s="72">
        <f ca="1">SUMIF('Ordem de Serviço'!$A$20:$B$45,A121,'Ordem de Serviço'!$F$20:$F$45)</f>
        <v>0</v>
      </c>
      <c r="F121" s="72">
        <f ca="1">SUMIF('Ordem de Serviço'!$A$20:$B$45,A121,'Ordem de Serviço'!$G$20:$G$45)</f>
        <v>0</v>
      </c>
    </row>
    <row r="122" spans="1:6">
      <c r="A122" s="40">
        <f>'[1]Pigmentos Desconsiderados'!A121</f>
        <v>0</v>
      </c>
      <c r="B122" s="72">
        <f ca="1">SUMIF('Ordem de Serviço'!$A$20:$B$45,A122,'Ordem de Serviço'!$C$20:$C$45)</f>
        <v>0</v>
      </c>
      <c r="C122" s="72">
        <f ca="1">SUMIF('Ordem de Serviço'!$A$20:$B$45,A122,'Ordem de Serviço'!$D$20:$D$45)</f>
        <v>0</v>
      </c>
      <c r="D122" s="72">
        <f ca="1">SUMIF('Ordem de Serviço'!$A$20:$B$45,A122,'Ordem de Serviço'!$E$20:$E$45)</f>
        <v>0</v>
      </c>
      <c r="E122" s="72">
        <f ca="1">SUMIF('Ordem de Serviço'!$A$20:$B$45,A122,'Ordem de Serviço'!$F$20:$F$45)</f>
        <v>0</v>
      </c>
      <c r="F122" s="72">
        <f ca="1">SUMIF('Ordem de Serviço'!$A$20:$B$45,A122,'Ordem de Serviço'!$G$20:$G$45)</f>
        <v>0</v>
      </c>
    </row>
    <row r="123" spans="1:6">
      <c r="A123" s="40">
        <f>'[1]Pigmentos Desconsiderados'!A122</f>
        <v>0</v>
      </c>
      <c r="B123" s="72">
        <f ca="1">SUMIF('Ordem de Serviço'!$A$20:$B$45,A123,'Ordem de Serviço'!$C$20:$C$45)</f>
        <v>0</v>
      </c>
      <c r="C123" s="72">
        <f ca="1">SUMIF('Ordem de Serviço'!$A$20:$B$45,A123,'Ordem de Serviço'!$D$20:$D$45)</f>
        <v>0</v>
      </c>
      <c r="D123" s="72">
        <f ca="1">SUMIF('Ordem de Serviço'!$A$20:$B$45,A123,'Ordem de Serviço'!$E$20:$E$45)</f>
        <v>0</v>
      </c>
      <c r="E123" s="72">
        <f ca="1">SUMIF('Ordem de Serviço'!$A$20:$B$45,A123,'Ordem de Serviço'!$F$20:$F$45)</f>
        <v>0</v>
      </c>
      <c r="F123" s="72">
        <f ca="1">SUMIF('Ordem de Serviço'!$A$20:$B$45,A123,'Ordem de Serviço'!$G$20:$G$45)</f>
        <v>0</v>
      </c>
    </row>
    <row r="124" spans="1:6">
      <c r="A124" s="40">
        <f>'[1]Pigmentos Desconsiderados'!A123</f>
        <v>0</v>
      </c>
      <c r="B124" s="72">
        <f ca="1">SUMIF('Ordem de Serviço'!$A$20:$B$45,A124,'Ordem de Serviço'!$C$20:$C$45)</f>
        <v>0</v>
      </c>
      <c r="C124" s="72">
        <f ca="1">SUMIF('Ordem de Serviço'!$A$20:$B$45,A124,'Ordem de Serviço'!$D$20:$D$45)</f>
        <v>0</v>
      </c>
      <c r="D124" s="72">
        <f ca="1">SUMIF('Ordem de Serviço'!$A$20:$B$45,A124,'Ordem de Serviço'!$E$20:$E$45)</f>
        <v>0</v>
      </c>
      <c r="E124" s="72">
        <f ca="1">SUMIF('Ordem de Serviço'!$A$20:$B$45,A124,'Ordem de Serviço'!$F$20:$F$45)</f>
        <v>0</v>
      </c>
      <c r="F124" s="72">
        <f ca="1">SUMIF('Ordem de Serviço'!$A$20:$B$45,A124,'Ordem de Serviço'!$G$20:$G$45)</f>
        <v>0</v>
      </c>
    </row>
    <row r="125" spans="1:6">
      <c r="A125" s="40">
        <f>'[1]Pigmentos Desconsiderados'!A124</f>
        <v>0</v>
      </c>
      <c r="B125" s="72">
        <f ca="1">SUMIF('Ordem de Serviço'!$A$20:$B$45,A125,'Ordem de Serviço'!$C$20:$C$45)</f>
        <v>0</v>
      </c>
      <c r="C125" s="72">
        <f ca="1">SUMIF('Ordem de Serviço'!$A$20:$B$45,A125,'Ordem de Serviço'!$D$20:$D$45)</f>
        <v>0</v>
      </c>
      <c r="D125" s="72">
        <f ca="1">SUMIF('Ordem de Serviço'!$A$20:$B$45,A125,'Ordem de Serviço'!$E$20:$E$45)</f>
        <v>0</v>
      </c>
      <c r="E125" s="72">
        <f ca="1">SUMIF('Ordem de Serviço'!$A$20:$B$45,A125,'Ordem de Serviço'!$F$20:$F$45)</f>
        <v>0</v>
      </c>
      <c r="F125" s="72">
        <f ca="1">SUMIF('Ordem de Serviço'!$A$20:$B$45,A125,'Ordem de Serviço'!$G$20:$G$45)</f>
        <v>0</v>
      </c>
    </row>
    <row r="126" spans="1:6">
      <c r="A126" s="40">
        <f>'[1]Pigmentos Desconsiderados'!A125</f>
        <v>0</v>
      </c>
      <c r="B126" s="72">
        <f ca="1">SUMIF('Ordem de Serviço'!$A$20:$B$45,A126,'Ordem de Serviço'!$C$20:$C$45)</f>
        <v>0</v>
      </c>
      <c r="C126" s="72">
        <f ca="1">SUMIF('Ordem de Serviço'!$A$20:$B$45,A126,'Ordem de Serviço'!$D$20:$D$45)</f>
        <v>0</v>
      </c>
      <c r="D126" s="72">
        <f ca="1">SUMIF('Ordem de Serviço'!$A$20:$B$45,A126,'Ordem de Serviço'!$E$20:$E$45)</f>
        <v>0</v>
      </c>
      <c r="E126" s="72">
        <f ca="1">SUMIF('Ordem de Serviço'!$A$20:$B$45,A126,'Ordem de Serviço'!$F$20:$F$45)</f>
        <v>0</v>
      </c>
      <c r="F126" s="72">
        <f ca="1">SUMIF('Ordem de Serviço'!$A$20:$B$45,A126,'Ordem de Serviço'!$G$20:$G$45)</f>
        <v>0</v>
      </c>
    </row>
    <row r="127" spans="1:6">
      <c r="A127" s="40">
        <f>'[1]Pigmentos Desconsiderados'!A126</f>
        <v>0</v>
      </c>
      <c r="B127" s="72">
        <f ca="1">SUMIF('Ordem de Serviço'!$A$20:$B$45,A127,'Ordem de Serviço'!$C$20:$C$45)</f>
        <v>0</v>
      </c>
      <c r="C127" s="72">
        <f ca="1">SUMIF('Ordem de Serviço'!$A$20:$B$45,A127,'Ordem de Serviço'!$D$20:$D$45)</f>
        <v>0</v>
      </c>
      <c r="D127" s="72">
        <f ca="1">SUMIF('Ordem de Serviço'!$A$20:$B$45,A127,'Ordem de Serviço'!$E$20:$E$45)</f>
        <v>0</v>
      </c>
      <c r="E127" s="72">
        <f ca="1">SUMIF('Ordem de Serviço'!$A$20:$B$45,A127,'Ordem de Serviço'!$F$20:$F$45)</f>
        <v>0</v>
      </c>
      <c r="F127" s="72">
        <f ca="1">SUMIF('Ordem de Serviço'!$A$20:$B$45,A127,'Ordem de Serviço'!$G$20:$G$45)</f>
        <v>0</v>
      </c>
    </row>
    <row r="128" spans="1:6">
      <c r="A128" s="40">
        <f>'[1]Pigmentos Desconsiderados'!A127</f>
        <v>0</v>
      </c>
      <c r="B128" s="72">
        <f ca="1">SUMIF('Ordem de Serviço'!$A$20:$B$45,A128,'Ordem de Serviço'!$C$20:$C$45)</f>
        <v>0</v>
      </c>
      <c r="C128" s="72">
        <f ca="1">SUMIF('Ordem de Serviço'!$A$20:$B$45,A128,'Ordem de Serviço'!$D$20:$D$45)</f>
        <v>0</v>
      </c>
      <c r="D128" s="72">
        <f ca="1">SUMIF('Ordem de Serviço'!$A$20:$B$45,A128,'Ordem de Serviço'!$E$20:$E$45)</f>
        <v>0</v>
      </c>
      <c r="E128" s="72">
        <f ca="1">SUMIF('Ordem de Serviço'!$A$20:$B$45,A128,'Ordem de Serviço'!$F$20:$F$45)</f>
        <v>0</v>
      </c>
      <c r="F128" s="72">
        <f ca="1">SUMIF('Ordem de Serviço'!$A$20:$B$45,A128,'Ordem de Serviço'!$G$20:$G$45)</f>
        <v>0</v>
      </c>
    </row>
    <row r="129" spans="1:6">
      <c r="A129" s="40">
        <f>'[1]Pigmentos Desconsiderados'!A128</f>
        <v>0</v>
      </c>
      <c r="B129" s="72">
        <f ca="1">SUMIF('Ordem de Serviço'!$A$20:$B$45,A129,'Ordem de Serviço'!$C$20:$C$45)</f>
        <v>0</v>
      </c>
      <c r="C129" s="72">
        <f ca="1">SUMIF('Ordem de Serviço'!$A$20:$B$45,A129,'Ordem de Serviço'!$D$20:$D$45)</f>
        <v>0</v>
      </c>
      <c r="D129" s="72">
        <f ca="1">SUMIF('Ordem de Serviço'!$A$20:$B$45,A129,'Ordem de Serviço'!$E$20:$E$45)</f>
        <v>0</v>
      </c>
      <c r="E129" s="72">
        <f ca="1">SUMIF('Ordem de Serviço'!$A$20:$B$45,A129,'Ordem de Serviço'!$F$20:$F$45)</f>
        <v>0</v>
      </c>
      <c r="F129" s="72">
        <f ca="1">SUMIF('Ordem de Serviço'!$A$20:$B$45,A129,'Ordem de Serviço'!$G$20:$G$45)</f>
        <v>0</v>
      </c>
    </row>
    <row r="130" spans="1:6">
      <c r="A130" s="40">
        <f>'[1]Pigmentos Desconsiderados'!A129</f>
        <v>0</v>
      </c>
      <c r="B130" s="72">
        <f ca="1">SUMIF('Ordem de Serviço'!$A$20:$B$45,A130,'Ordem de Serviço'!$C$20:$C$45)</f>
        <v>0</v>
      </c>
      <c r="C130" s="72">
        <f ca="1">SUMIF('Ordem de Serviço'!$A$20:$B$45,A130,'Ordem de Serviço'!$D$20:$D$45)</f>
        <v>0</v>
      </c>
      <c r="D130" s="72">
        <f ca="1">SUMIF('Ordem de Serviço'!$A$20:$B$45,A130,'Ordem de Serviço'!$E$20:$E$45)</f>
        <v>0</v>
      </c>
      <c r="E130" s="72">
        <f ca="1">SUMIF('Ordem de Serviço'!$A$20:$B$45,A130,'Ordem de Serviço'!$F$20:$F$45)</f>
        <v>0</v>
      </c>
      <c r="F130" s="72">
        <f ca="1">SUMIF('Ordem de Serviço'!$A$20:$B$45,A130,'Ordem de Serviço'!$G$20:$G$45)</f>
        <v>0</v>
      </c>
    </row>
    <row r="131" spans="1:6">
      <c r="A131" s="40">
        <f>'[1]Pigmentos Desconsiderados'!A130</f>
        <v>0</v>
      </c>
      <c r="B131" s="72">
        <f ca="1">SUMIF('Ordem de Serviço'!$A$20:$B$45,A131,'Ordem de Serviço'!$C$20:$C$45)</f>
        <v>0</v>
      </c>
      <c r="C131" s="72">
        <f ca="1">SUMIF('Ordem de Serviço'!$A$20:$B$45,A131,'Ordem de Serviço'!$D$20:$D$45)</f>
        <v>0</v>
      </c>
      <c r="D131" s="72">
        <f ca="1">SUMIF('Ordem de Serviço'!$A$20:$B$45,A131,'Ordem de Serviço'!$E$20:$E$45)</f>
        <v>0</v>
      </c>
      <c r="E131" s="72">
        <f ca="1">SUMIF('Ordem de Serviço'!$A$20:$B$45,A131,'Ordem de Serviço'!$F$20:$F$45)</f>
        <v>0</v>
      </c>
      <c r="F131" s="72">
        <f ca="1">SUMIF('Ordem de Serviço'!$A$20:$B$45,A131,'Ordem de Serviço'!$G$20:$G$45)</f>
        <v>0</v>
      </c>
    </row>
    <row r="132" spans="1:6">
      <c r="A132" s="40">
        <f>'[1]Pigmentos Desconsiderados'!A131</f>
        <v>0</v>
      </c>
      <c r="B132" s="72">
        <f ca="1">SUMIF('Ordem de Serviço'!$A$20:$B$45,A132,'Ordem de Serviço'!$C$20:$C$45)</f>
        <v>0</v>
      </c>
      <c r="C132" s="72">
        <f ca="1">SUMIF('Ordem de Serviço'!$A$20:$B$45,A132,'Ordem de Serviço'!$D$20:$D$45)</f>
        <v>0</v>
      </c>
      <c r="D132" s="72">
        <f ca="1">SUMIF('Ordem de Serviço'!$A$20:$B$45,A132,'Ordem de Serviço'!$E$20:$E$45)</f>
        <v>0</v>
      </c>
      <c r="E132" s="72">
        <f ca="1">SUMIF('Ordem de Serviço'!$A$20:$B$45,A132,'Ordem de Serviço'!$F$20:$F$45)</f>
        <v>0</v>
      </c>
      <c r="F132" s="72">
        <f ca="1">SUMIF('Ordem de Serviço'!$A$20:$B$45,A132,'Ordem de Serviço'!$G$20:$G$45)</f>
        <v>0</v>
      </c>
    </row>
    <row r="133" spans="1:6">
      <c r="A133" s="40">
        <f>'[1]Pigmentos Desconsiderados'!A132</f>
        <v>0</v>
      </c>
      <c r="B133" s="72">
        <f ca="1">SUMIF('Ordem de Serviço'!$A$20:$B$45,A133,'Ordem de Serviço'!$C$20:$C$45)</f>
        <v>0</v>
      </c>
      <c r="C133" s="72">
        <f ca="1">SUMIF('Ordem de Serviço'!$A$20:$B$45,A133,'Ordem de Serviço'!$D$20:$D$45)</f>
        <v>0</v>
      </c>
      <c r="D133" s="72">
        <f ca="1">SUMIF('Ordem de Serviço'!$A$20:$B$45,A133,'Ordem de Serviço'!$E$20:$E$45)</f>
        <v>0</v>
      </c>
      <c r="E133" s="72">
        <f ca="1">SUMIF('Ordem de Serviço'!$A$20:$B$45,A133,'Ordem de Serviço'!$F$20:$F$45)</f>
        <v>0</v>
      </c>
      <c r="F133" s="72">
        <f ca="1">SUMIF('Ordem de Serviço'!$A$20:$B$45,A133,'Ordem de Serviço'!$G$20:$G$45)</f>
        <v>0</v>
      </c>
    </row>
    <row r="134" spans="1:6">
      <c r="A134" s="40">
        <f>'[1]Pigmentos Desconsiderados'!A133</f>
        <v>0</v>
      </c>
      <c r="B134" s="72">
        <f ca="1">SUMIF('Ordem de Serviço'!$A$20:$B$45,A134,'Ordem de Serviço'!$C$20:$C$45)</f>
        <v>0</v>
      </c>
      <c r="C134" s="72">
        <f ca="1">SUMIF('Ordem de Serviço'!$A$20:$B$45,A134,'Ordem de Serviço'!$D$20:$D$45)</f>
        <v>0</v>
      </c>
      <c r="D134" s="72">
        <f ca="1">SUMIF('Ordem de Serviço'!$A$20:$B$45,A134,'Ordem de Serviço'!$E$20:$E$45)</f>
        <v>0</v>
      </c>
      <c r="E134" s="72">
        <f ca="1">SUMIF('Ordem de Serviço'!$A$20:$B$45,A134,'Ordem de Serviço'!$F$20:$F$45)</f>
        <v>0</v>
      </c>
      <c r="F134" s="72">
        <f ca="1">SUMIF('Ordem de Serviço'!$A$20:$B$45,A134,'Ordem de Serviço'!$G$20:$G$45)</f>
        <v>0</v>
      </c>
    </row>
    <row r="135" spans="1:6">
      <c r="A135" s="40">
        <f>'[1]Pigmentos Desconsiderados'!A134</f>
        <v>0</v>
      </c>
      <c r="B135" s="72">
        <f ca="1">SUMIF('Ordem de Serviço'!$A$20:$B$45,A135,'Ordem de Serviço'!$C$20:$C$45)</f>
        <v>0</v>
      </c>
      <c r="C135" s="72">
        <f ca="1">SUMIF('Ordem de Serviço'!$A$20:$B$45,A135,'Ordem de Serviço'!$D$20:$D$45)</f>
        <v>0</v>
      </c>
      <c r="D135" s="72">
        <f ca="1">SUMIF('Ordem de Serviço'!$A$20:$B$45,A135,'Ordem de Serviço'!$E$20:$E$45)</f>
        <v>0</v>
      </c>
      <c r="E135" s="72">
        <f ca="1">SUMIF('Ordem de Serviço'!$A$20:$B$45,A135,'Ordem de Serviço'!$F$20:$F$45)</f>
        <v>0</v>
      </c>
      <c r="F135" s="72">
        <f ca="1">SUMIF('Ordem de Serviço'!$A$20:$B$45,A135,'Ordem de Serviço'!$G$20:$G$45)</f>
        <v>0</v>
      </c>
    </row>
    <row r="136" spans="1:6">
      <c r="A136" s="40">
        <f>'[1]Pigmentos Desconsiderados'!A135</f>
        <v>0</v>
      </c>
      <c r="B136" s="72">
        <f ca="1">SUMIF('Ordem de Serviço'!$A$20:$B$45,A136,'Ordem de Serviço'!$C$20:$C$45)</f>
        <v>0</v>
      </c>
      <c r="C136" s="72">
        <f ca="1">SUMIF('Ordem de Serviço'!$A$20:$B$45,A136,'Ordem de Serviço'!$D$20:$D$45)</f>
        <v>0</v>
      </c>
      <c r="D136" s="72">
        <f ca="1">SUMIF('Ordem de Serviço'!$A$20:$B$45,A136,'Ordem de Serviço'!$E$20:$E$45)</f>
        <v>0</v>
      </c>
      <c r="E136" s="72">
        <f ca="1">SUMIF('Ordem de Serviço'!$A$20:$B$45,A136,'Ordem de Serviço'!$F$20:$F$45)</f>
        <v>0</v>
      </c>
      <c r="F136" s="72">
        <f ca="1">SUMIF('Ordem de Serviço'!$A$20:$B$45,A136,'Ordem de Serviço'!$G$20:$G$45)</f>
        <v>0</v>
      </c>
    </row>
    <row r="137" spans="1:6">
      <c r="A137" s="40">
        <f>'[1]Pigmentos Desconsiderados'!A136</f>
        <v>0</v>
      </c>
      <c r="B137" s="72">
        <f ca="1">SUMIF('Ordem de Serviço'!$A$20:$B$45,A137,'Ordem de Serviço'!$C$20:$C$45)</f>
        <v>0</v>
      </c>
      <c r="C137" s="72">
        <f ca="1">SUMIF('Ordem de Serviço'!$A$20:$B$45,A137,'Ordem de Serviço'!$D$20:$D$45)</f>
        <v>0</v>
      </c>
      <c r="D137" s="72">
        <f ca="1">SUMIF('Ordem de Serviço'!$A$20:$B$45,A137,'Ordem de Serviço'!$E$20:$E$45)</f>
        <v>0</v>
      </c>
      <c r="E137" s="72">
        <f ca="1">SUMIF('Ordem de Serviço'!$A$20:$B$45,A137,'Ordem de Serviço'!$F$20:$F$45)</f>
        <v>0</v>
      </c>
      <c r="F137" s="72">
        <f ca="1">SUMIF('Ordem de Serviço'!$A$20:$B$45,A137,'Ordem de Serviço'!$G$20:$G$45)</f>
        <v>0</v>
      </c>
    </row>
    <row r="138" spans="1:6">
      <c r="A138" s="40">
        <f>'[1]Pigmentos Desconsiderados'!A137</f>
        <v>0</v>
      </c>
      <c r="B138" s="72">
        <f ca="1">SUMIF('Ordem de Serviço'!$A$20:$B$45,A138,'Ordem de Serviço'!$C$20:$C$45)</f>
        <v>0</v>
      </c>
      <c r="C138" s="72">
        <f ca="1">SUMIF('Ordem de Serviço'!$A$20:$B$45,A138,'Ordem de Serviço'!$D$20:$D$45)</f>
        <v>0</v>
      </c>
      <c r="D138" s="72">
        <f ca="1">SUMIF('Ordem de Serviço'!$A$20:$B$45,A138,'Ordem de Serviço'!$E$20:$E$45)</f>
        <v>0</v>
      </c>
      <c r="E138" s="72">
        <f ca="1">SUMIF('Ordem de Serviço'!$A$20:$B$45,A138,'Ordem de Serviço'!$F$20:$F$45)</f>
        <v>0</v>
      </c>
      <c r="F138" s="72">
        <f ca="1">SUMIF('Ordem de Serviço'!$A$20:$B$45,A138,'Ordem de Serviço'!$G$20:$G$45)</f>
        <v>0</v>
      </c>
    </row>
    <row r="139" spans="1:6">
      <c r="A139" s="40">
        <f>'[1]Pigmentos Desconsiderados'!A138</f>
        <v>0</v>
      </c>
      <c r="B139" s="72">
        <f ca="1">SUMIF('Ordem de Serviço'!$A$20:$B$45,A139,'Ordem de Serviço'!$C$20:$C$45)</f>
        <v>0</v>
      </c>
      <c r="C139" s="72">
        <f ca="1">SUMIF('Ordem de Serviço'!$A$20:$B$45,A139,'Ordem de Serviço'!$D$20:$D$45)</f>
        <v>0</v>
      </c>
      <c r="D139" s="72">
        <f ca="1">SUMIF('Ordem de Serviço'!$A$20:$B$45,A139,'Ordem de Serviço'!$E$20:$E$45)</f>
        <v>0</v>
      </c>
      <c r="E139" s="72">
        <f ca="1">SUMIF('Ordem de Serviço'!$A$20:$B$45,A139,'Ordem de Serviço'!$F$20:$F$45)</f>
        <v>0</v>
      </c>
      <c r="F139" s="72">
        <f ca="1">SUMIF('Ordem de Serviço'!$A$20:$B$45,A139,'Ordem de Serviço'!$G$20:$G$45)</f>
        <v>0</v>
      </c>
    </row>
    <row r="140" spans="1:6">
      <c r="A140" s="40">
        <f>'[1]Pigmentos Desconsiderados'!A139</f>
        <v>0</v>
      </c>
      <c r="B140" s="72">
        <f ca="1">SUMIF('Ordem de Serviço'!$A$20:$B$45,A140,'Ordem de Serviço'!$C$20:$C$45)</f>
        <v>0</v>
      </c>
      <c r="C140" s="72">
        <f ca="1">SUMIF('Ordem de Serviço'!$A$20:$B$45,A140,'Ordem de Serviço'!$D$20:$D$45)</f>
        <v>0</v>
      </c>
      <c r="D140" s="72">
        <f ca="1">SUMIF('Ordem de Serviço'!$A$20:$B$45,A140,'Ordem de Serviço'!$E$20:$E$45)</f>
        <v>0</v>
      </c>
      <c r="E140" s="72">
        <f ca="1">SUMIF('Ordem de Serviço'!$A$20:$B$45,A140,'Ordem de Serviço'!$F$20:$F$45)</f>
        <v>0</v>
      </c>
      <c r="F140" s="72">
        <f ca="1">SUMIF('Ordem de Serviço'!$A$20:$B$45,A140,'Ordem de Serviço'!$G$20:$G$45)</f>
        <v>0</v>
      </c>
    </row>
    <row r="141" spans="1:6">
      <c r="A141" s="40">
        <f>'[1]Pigmentos Desconsiderados'!A140</f>
        <v>0</v>
      </c>
      <c r="B141" s="72">
        <f ca="1">SUMIF('Ordem de Serviço'!$A$20:$B$45,A141,'Ordem de Serviço'!$C$20:$C$45)</f>
        <v>0</v>
      </c>
      <c r="C141" s="72">
        <f ca="1">SUMIF('Ordem de Serviço'!$A$20:$B$45,A141,'Ordem de Serviço'!$D$20:$D$45)</f>
        <v>0</v>
      </c>
      <c r="D141" s="72">
        <f ca="1">SUMIF('Ordem de Serviço'!$A$20:$B$45,A141,'Ordem de Serviço'!$E$20:$E$45)</f>
        <v>0</v>
      </c>
      <c r="E141" s="72">
        <f ca="1">SUMIF('Ordem de Serviço'!$A$20:$B$45,A141,'Ordem de Serviço'!$F$20:$F$45)</f>
        <v>0</v>
      </c>
      <c r="F141" s="72">
        <f ca="1">SUMIF('Ordem de Serviço'!$A$20:$B$45,A141,'Ordem de Serviço'!$G$20:$G$45)</f>
        <v>0</v>
      </c>
    </row>
    <row r="142" spans="1:6">
      <c r="A142" s="40">
        <f>'[1]Pigmentos Desconsiderados'!A141</f>
        <v>0</v>
      </c>
      <c r="B142" s="72">
        <f ca="1">SUMIF('Ordem de Serviço'!$A$20:$B$45,A142,'Ordem de Serviço'!$C$20:$C$45)</f>
        <v>0</v>
      </c>
      <c r="C142" s="72">
        <f ca="1">SUMIF('Ordem de Serviço'!$A$20:$B$45,A142,'Ordem de Serviço'!$D$20:$D$45)</f>
        <v>0</v>
      </c>
      <c r="D142" s="72">
        <f ca="1">SUMIF('Ordem de Serviço'!$A$20:$B$45,A142,'Ordem de Serviço'!$E$20:$E$45)</f>
        <v>0</v>
      </c>
      <c r="E142" s="72">
        <f ca="1">SUMIF('Ordem de Serviço'!$A$20:$B$45,A142,'Ordem de Serviço'!$F$20:$F$45)</f>
        <v>0</v>
      </c>
      <c r="F142" s="72">
        <f ca="1">SUMIF('Ordem de Serviço'!$A$20:$B$45,A142,'Ordem de Serviço'!$G$20:$G$45)</f>
        <v>0</v>
      </c>
    </row>
    <row r="143" spans="1:6">
      <c r="A143" s="40">
        <f>'[1]Pigmentos Desconsiderados'!A142</f>
        <v>0</v>
      </c>
      <c r="B143" s="72">
        <f ca="1">SUMIF('Ordem de Serviço'!$A$20:$B$45,A143,'Ordem de Serviço'!$C$20:$C$45)</f>
        <v>0</v>
      </c>
      <c r="C143" s="72">
        <f ca="1">SUMIF('Ordem de Serviço'!$A$20:$B$45,A143,'Ordem de Serviço'!$D$20:$D$45)</f>
        <v>0</v>
      </c>
      <c r="D143" s="72">
        <f ca="1">SUMIF('Ordem de Serviço'!$A$20:$B$45,A143,'Ordem de Serviço'!$E$20:$E$45)</f>
        <v>0</v>
      </c>
      <c r="E143" s="72">
        <f ca="1">SUMIF('Ordem de Serviço'!$A$20:$B$45,A143,'Ordem de Serviço'!$F$20:$F$45)</f>
        <v>0</v>
      </c>
      <c r="F143" s="72">
        <f ca="1">SUMIF('Ordem de Serviço'!$A$20:$B$45,A143,'Ordem de Serviço'!$G$20:$G$45)</f>
        <v>0</v>
      </c>
    </row>
    <row r="144" spans="1:6">
      <c r="A144" s="40">
        <f>'[1]Pigmentos Desconsiderados'!A143</f>
        <v>0</v>
      </c>
      <c r="B144" s="72">
        <f ca="1">SUMIF('Ordem de Serviço'!$A$20:$B$45,A144,'Ordem de Serviço'!$C$20:$C$45)</f>
        <v>0</v>
      </c>
      <c r="C144" s="72">
        <f ca="1">SUMIF('Ordem de Serviço'!$A$20:$B$45,A144,'Ordem de Serviço'!$D$20:$D$45)</f>
        <v>0</v>
      </c>
      <c r="D144" s="72">
        <f ca="1">SUMIF('Ordem de Serviço'!$A$20:$B$45,A144,'Ordem de Serviço'!$E$20:$E$45)</f>
        <v>0</v>
      </c>
      <c r="E144" s="72">
        <f ca="1">SUMIF('Ordem de Serviço'!$A$20:$B$45,A144,'Ordem de Serviço'!$F$20:$F$45)</f>
        <v>0</v>
      </c>
      <c r="F144" s="72">
        <f ca="1">SUMIF('Ordem de Serviço'!$A$20:$B$45,A144,'Ordem de Serviço'!$G$20:$G$45)</f>
        <v>0</v>
      </c>
    </row>
    <row r="145" spans="1:6">
      <c r="A145" s="40">
        <f>'[1]Pigmentos Desconsiderados'!A144</f>
        <v>0</v>
      </c>
      <c r="B145" s="72">
        <f ca="1">SUMIF('Ordem de Serviço'!$A$20:$B$45,A145,'Ordem de Serviço'!$C$20:$C$45)</f>
        <v>0</v>
      </c>
      <c r="C145" s="72">
        <f ca="1">SUMIF('Ordem de Serviço'!$A$20:$B$45,A145,'Ordem de Serviço'!$D$20:$D$45)</f>
        <v>0</v>
      </c>
      <c r="D145" s="72">
        <f ca="1">SUMIF('Ordem de Serviço'!$A$20:$B$45,A145,'Ordem de Serviço'!$E$20:$E$45)</f>
        <v>0</v>
      </c>
      <c r="E145" s="72">
        <f ca="1">SUMIF('Ordem de Serviço'!$A$20:$B$45,A145,'Ordem de Serviço'!$F$20:$F$45)</f>
        <v>0</v>
      </c>
      <c r="F145" s="72">
        <f ca="1">SUMIF('Ordem de Serviço'!$A$20:$B$45,A145,'Ordem de Serviço'!$G$20:$G$45)</f>
        <v>0</v>
      </c>
    </row>
    <row r="146" spans="1:6">
      <c r="A146" s="40">
        <f>'[1]Pigmentos Desconsiderados'!A145</f>
        <v>0</v>
      </c>
      <c r="B146" s="72">
        <f ca="1">SUMIF('Ordem de Serviço'!$A$20:$B$45,A146,'Ordem de Serviço'!$C$20:$C$45)</f>
        <v>0</v>
      </c>
      <c r="C146" s="72">
        <f ca="1">SUMIF('Ordem de Serviço'!$A$20:$B$45,A146,'Ordem de Serviço'!$D$20:$D$45)</f>
        <v>0</v>
      </c>
      <c r="D146" s="72">
        <f ca="1">SUMIF('Ordem de Serviço'!$A$20:$B$45,A146,'Ordem de Serviço'!$E$20:$E$45)</f>
        <v>0</v>
      </c>
      <c r="E146" s="72">
        <f ca="1">SUMIF('Ordem de Serviço'!$A$20:$B$45,A146,'Ordem de Serviço'!$F$20:$F$45)</f>
        <v>0</v>
      </c>
      <c r="F146" s="72">
        <f ca="1">SUMIF('Ordem de Serviço'!$A$20:$B$45,A146,'Ordem de Serviço'!$G$20:$G$45)</f>
        <v>0</v>
      </c>
    </row>
    <row r="147" spans="1:6">
      <c r="A147" s="40">
        <f>'[1]Pigmentos Desconsiderados'!A146</f>
        <v>0</v>
      </c>
      <c r="B147" s="72">
        <f ca="1">SUMIF('Ordem de Serviço'!$A$20:$B$45,A147,'Ordem de Serviço'!$C$20:$C$45)</f>
        <v>0</v>
      </c>
      <c r="C147" s="72">
        <f ca="1">SUMIF('Ordem de Serviço'!$A$20:$B$45,A147,'Ordem de Serviço'!$D$20:$D$45)</f>
        <v>0</v>
      </c>
      <c r="D147" s="72">
        <f ca="1">SUMIF('Ordem de Serviço'!$A$20:$B$45,A147,'Ordem de Serviço'!$E$20:$E$45)</f>
        <v>0</v>
      </c>
      <c r="E147" s="72">
        <f ca="1">SUMIF('Ordem de Serviço'!$A$20:$B$45,A147,'Ordem de Serviço'!$F$20:$F$45)</f>
        <v>0</v>
      </c>
      <c r="F147" s="72">
        <f ca="1">SUMIF('Ordem de Serviço'!$A$20:$B$45,A147,'Ordem de Serviço'!$G$20:$G$45)</f>
        <v>0</v>
      </c>
    </row>
    <row r="148" spans="1:6">
      <c r="A148" s="40">
        <f>'[1]Pigmentos Desconsiderados'!A147</f>
        <v>0</v>
      </c>
      <c r="B148" s="72">
        <f ca="1">SUMIF('Ordem de Serviço'!$A$20:$B$45,A148,'Ordem de Serviço'!$C$20:$C$45)</f>
        <v>0</v>
      </c>
      <c r="C148" s="72">
        <f ca="1">SUMIF('Ordem de Serviço'!$A$20:$B$45,A148,'Ordem de Serviço'!$D$20:$D$45)</f>
        <v>0</v>
      </c>
      <c r="D148" s="72">
        <f ca="1">SUMIF('Ordem de Serviço'!$A$20:$B$45,A148,'Ordem de Serviço'!$E$20:$E$45)</f>
        <v>0</v>
      </c>
      <c r="E148" s="72">
        <f ca="1">SUMIF('Ordem de Serviço'!$A$20:$B$45,A148,'Ordem de Serviço'!$F$20:$F$45)</f>
        <v>0</v>
      </c>
      <c r="F148" s="72">
        <f ca="1">SUMIF('Ordem de Serviço'!$A$20:$B$45,A148,'Ordem de Serviço'!$G$20:$G$45)</f>
        <v>0</v>
      </c>
    </row>
    <row r="149" spans="1:6">
      <c r="A149" s="40">
        <f>'[1]Pigmentos Desconsiderados'!A148</f>
        <v>0</v>
      </c>
      <c r="B149" s="72">
        <f ca="1">SUMIF('Ordem de Serviço'!$A$20:$B$45,A149,'Ordem de Serviço'!$C$20:$C$45)</f>
        <v>0</v>
      </c>
      <c r="C149" s="72">
        <f ca="1">SUMIF('Ordem de Serviço'!$A$20:$B$45,A149,'Ordem de Serviço'!$D$20:$D$45)</f>
        <v>0</v>
      </c>
      <c r="D149" s="72">
        <f ca="1">SUMIF('Ordem de Serviço'!$A$20:$B$45,A149,'Ordem de Serviço'!$E$20:$E$45)</f>
        <v>0</v>
      </c>
      <c r="E149" s="72">
        <f ca="1">SUMIF('Ordem de Serviço'!$A$20:$B$45,A149,'Ordem de Serviço'!$F$20:$F$45)</f>
        <v>0</v>
      </c>
      <c r="F149" s="72">
        <f ca="1">SUMIF('Ordem de Serviço'!$A$20:$B$45,A149,'Ordem de Serviço'!$G$20:$G$45)</f>
        <v>0</v>
      </c>
    </row>
    <row r="150" spans="1:6">
      <c r="A150" s="40">
        <f>'[1]Pigmentos Desconsiderados'!A149</f>
        <v>0</v>
      </c>
      <c r="B150" s="72">
        <f ca="1">SUMIF('Ordem de Serviço'!$A$20:$B$45,A150,'Ordem de Serviço'!$C$20:$C$45)</f>
        <v>0</v>
      </c>
      <c r="C150" s="72">
        <f ca="1">SUMIF('Ordem de Serviço'!$A$20:$B$45,A150,'Ordem de Serviço'!$D$20:$D$45)</f>
        <v>0</v>
      </c>
      <c r="D150" s="72">
        <f ca="1">SUMIF('Ordem de Serviço'!$A$20:$B$45,A150,'Ordem de Serviço'!$E$20:$E$45)</f>
        <v>0</v>
      </c>
      <c r="E150" s="72">
        <f ca="1">SUMIF('Ordem de Serviço'!$A$20:$B$45,A150,'Ordem de Serviço'!$F$20:$F$45)</f>
        <v>0</v>
      </c>
      <c r="F150" s="72">
        <f ca="1">SUMIF('Ordem de Serviço'!$A$20:$B$45,A150,'Ordem de Serviço'!$G$20:$G$45)</f>
        <v>0</v>
      </c>
    </row>
    <row r="151" spans="1:6">
      <c r="A151" s="40">
        <f>'[1]Pigmentos Desconsiderados'!A150</f>
        <v>0</v>
      </c>
      <c r="B151" s="72">
        <f ca="1">SUMIF('Ordem de Serviço'!$A$20:$B$45,A151,'Ordem de Serviço'!$C$20:$C$45)</f>
        <v>0</v>
      </c>
      <c r="C151" s="72">
        <f ca="1">SUMIF('Ordem de Serviço'!$A$20:$B$45,A151,'Ordem de Serviço'!$D$20:$D$45)</f>
        <v>0</v>
      </c>
      <c r="D151" s="72">
        <f ca="1">SUMIF('Ordem de Serviço'!$A$20:$B$45,A151,'Ordem de Serviço'!$E$20:$E$45)</f>
        <v>0</v>
      </c>
      <c r="E151" s="72">
        <f ca="1">SUMIF('Ordem de Serviço'!$A$20:$B$45,A151,'Ordem de Serviço'!$F$20:$F$45)</f>
        <v>0</v>
      </c>
      <c r="F151" s="72">
        <f ca="1">SUMIF('Ordem de Serviço'!$A$20:$B$45,A151,'Ordem de Serviço'!$G$20:$G$45)</f>
        <v>0</v>
      </c>
    </row>
    <row r="152" spans="1:6">
      <c r="A152" s="40">
        <f>'[1]Pigmentos Desconsiderados'!A151</f>
        <v>0</v>
      </c>
      <c r="B152" s="72">
        <f ca="1">SUMIF('Ordem de Serviço'!$A$20:$B$45,A152,'Ordem de Serviço'!$C$20:$C$45)</f>
        <v>0</v>
      </c>
      <c r="C152" s="72">
        <f ca="1">SUMIF('Ordem de Serviço'!$A$20:$B$45,A152,'Ordem de Serviço'!$D$20:$D$45)</f>
        <v>0</v>
      </c>
      <c r="D152" s="72">
        <f ca="1">SUMIF('Ordem de Serviço'!$A$20:$B$45,A152,'Ordem de Serviço'!$E$20:$E$45)</f>
        <v>0</v>
      </c>
      <c r="E152" s="72">
        <f ca="1">SUMIF('Ordem de Serviço'!$A$20:$B$45,A152,'Ordem de Serviço'!$F$20:$F$45)</f>
        <v>0</v>
      </c>
      <c r="F152" s="72">
        <f ca="1">SUMIF('Ordem de Serviço'!$A$20:$B$45,A152,'Ordem de Serviço'!$G$20:$G$45)</f>
        <v>0</v>
      </c>
    </row>
    <row r="153" spans="1:6">
      <c r="A153" s="40">
        <f>'[1]Pigmentos Desconsiderados'!A152</f>
        <v>0</v>
      </c>
      <c r="B153" s="72">
        <f ca="1">SUMIF('Ordem de Serviço'!$A$20:$B$45,A153,'Ordem de Serviço'!$C$20:$C$45)</f>
        <v>0</v>
      </c>
      <c r="C153" s="72">
        <f ca="1">SUMIF('Ordem de Serviço'!$A$20:$B$45,A153,'Ordem de Serviço'!$D$20:$D$45)</f>
        <v>0</v>
      </c>
      <c r="D153" s="72">
        <f ca="1">SUMIF('Ordem de Serviço'!$A$20:$B$45,A153,'Ordem de Serviço'!$E$20:$E$45)</f>
        <v>0</v>
      </c>
      <c r="E153" s="72">
        <f ca="1">SUMIF('Ordem de Serviço'!$A$20:$B$45,A153,'Ordem de Serviço'!$F$20:$F$45)</f>
        <v>0</v>
      </c>
      <c r="F153" s="72">
        <f ca="1">SUMIF('Ordem de Serviço'!$A$20:$B$45,A153,'Ordem de Serviço'!$G$20:$G$45)</f>
        <v>0</v>
      </c>
    </row>
    <row r="154" spans="1:6">
      <c r="A154" s="40">
        <f>'[1]Pigmentos Desconsiderados'!A153</f>
        <v>0</v>
      </c>
      <c r="B154" s="72">
        <f ca="1">SUMIF('Ordem de Serviço'!$A$20:$B$45,A154,'Ordem de Serviço'!$C$20:$C$45)</f>
        <v>0</v>
      </c>
      <c r="C154" s="72">
        <f ca="1">SUMIF('Ordem de Serviço'!$A$20:$B$45,A154,'Ordem de Serviço'!$D$20:$D$45)</f>
        <v>0</v>
      </c>
      <c r="D154" s="72">
        <f ca="1">SUMIF('Ordem de Serviço'!$A$20:$B$45,A154,'Ordem de Serviço'!$E$20:$E$45)</f>
        <v>0</v>
      </c>
      <c r="E154" s="72">
        <f ca="1">SUMIF('Ordem de Serviço'!$A$20:$B$45,A154,'Ordem de Serviço'!$F$20:$F$45)</f>
        <v>0</v>
      </c>
      <c r="F154" s="72">
        <f ca="1">SUMIF('Ordem de Serviço'!$A$20:$B$45,A154,'Ordem de Serviço'!$G$20:$G$45)</f>
        <v>0</v>
      </c>
    </row>
    <row r="155" spans="1:6">
      <c r="A155" s="40">
        <f>'[1]Pigmentos Desconsiderados'!A154</f>
        <v>0</v>
      </c>
      <c r="B155" s="72">
        <f ca="1">SUMIF('Ordem de Serviço'!$A$20:$B$45,A155,'Ordem de Serviço'!$C$20:$C$45)</f>
        <v>0</v>
      </c>
      <c r="C155" s="72">
        <f ca="1">SUMIF('Ordem de Serviço'!$A$20:$B$45,A155,'Ordem de Serviço'!$D$20:$D$45)</f>
        <v>0</v>
      </c>
      <c r="D155" s="72">
        <f ca="1">SUMIF('Ordem de Serviço'!$A$20:$B$45,A155,'Ordem de Serviço'!$E$20:$E$45)</f>
        <v>0</v>
      </c>
      <c r="E155" s="72">
        <f ca="1">SUMIF('Ordem de Serviço'!$A$20:$B$45,A155,'Ordem de Serviço'!$F$20:$F$45)</f>
        <v>0</v>
      </c>
      <c r="F155" s="72">
        <f ca="1">SUMIF('Ordem de Serviço'!$A$20:$B$45,A155,'Ordem de Serviço'!$G$20:$G$45)</f>
        <v>0</v>
      </c>
    </row>
    <row r="156" spans="1:6">
      <c r="A156" s="40">
        <f>'[1]Pigmentos Desconsiderados'!A155</f>
        <v>0</v>
      </c>
      <c r="B156" s="72">
        <f ca="1">SUMIF('Ordem de Serviço'!$A$20:$B$45,A156,'Ordem de Serviço'!$C$20:$C$45)</f>
        <v>0</v>
      </c>
      <c r="C156" s="72">
        <f ca="1">SUMIF('Ordem de Serviço'!$A$20:$B$45,A156,'Ordem de Serviço'!$D$20:$D$45)</f>
        <v>0</v>
      </c>
      <c r="D156" s="72">
        <f ca="1">SUMIF('Ordem de Serviço'!$A$20:$B$45,A156,'Ordem de Serviço'!$E$20:$E$45)</f>
        <v>0</v>
      </c>
      <c r="E156" s="72">
        <f ca="1">SUMIF('Ordem de Serviço'!$A$20:$B$45,A156,'Ordem de Serviço'!$F$20:$F$45)</f>
        <v>0</v>
      </c>
      <c r="F156" s="72">
        <f ca="1">SUMIF('Ordem de Serviço'!$A$20:$B$45,A156,'Ordem de Serviço'!$G$20:$G$45)</f>
        <v>0</v>
      </c>
    </row>
    <row r="157" spans="1:6">
      <c r="A157" s="40">
        <f>'[1]Pigmentos Desconsiderados'!A156</f>
        <v>0</v>
      </c>
      <c r="B157" s="72">
        <f ca="1">SUMIF('Ordem de Serviço'!$A$20:$B$45,A157,'Ordem de Serviço'!$C$20:$C$45)</f>
        <v>0</v>
      </c>
      <c r="C157" s="72">
        <f ca="1">SUMIF('Ordem de Serviço'!$A$20:$B$45,A157,'Ordem de Serviço'!$D$20:$D$45)</f>
        <v>0</v>
      </c>
      <c r="D157" s="72">
        <f ca="1">SUMIF('Ordem de Serviço'!$A$20:$B$45,A157,'Ordem de Serviço'!$E$20:$E$45)</f>
        <v>0</v>
      </c>
      <c r="E157" s="72">
        <f ca="1">SUMIF('Ordem de Serviço'!$A$20:$B$45,A157,'Ordem de Serviço'!$F$20:$F$45)</f>
        <v>0</v>
      </c>
      <c r="F157" s="72">
        <f ca="1">SUMIF('Ordem de Serviço'!$A$20:$B$45,A157,'Ordem de Serviço'!$G$20:$G$45)</f>
        <v>0</v>
      </c>
    </row>
    <row r="158" spans="1:6">
      <c r="A158" s="40">
        <f>'[1]Pigmentos Desconsiderados'!A157</f>
        <v>0</v>
      </c>
      <c r="B158" s="72">
        <f ca="1">SUMIF('Ordem de Serviço'!$A$20:$B$45,A158,'Ordem de Serviço'!$C$20:$C$45)</f>
        <v>0</v>
      </c>
      <c r="C158" s="72">
        <f ca="1">SUMIF('Ordem de Serviço'!$A$20:$B$45,A158,'Ordem de Serviço'!$D$20:$D$45)</f>
        <v>0</v>
      </c>
      <c r="D158" s="72">
        <f ca="1">SUMIF('Ordem de Serviço'!$A$20:$B$45,A158,'Ordem de Serviço'!$E$20:$E$45)</f>
        <v>0</v>
      </c>
      <c r="E158" s="72">
        <f ca="1">SUMIF('Ordem de Serviço'!$A$20:$B$45,A158,'Ordem de Serviço'!$F$20:$F$45)</f>
        <v>0</v>
      </c>
      <c r="F158" s="72">
        <f ca="1">SUMIF('Ordem de Serviço'!$A$20:$B$45,A158,'Ordem de Serviço'!$G$20:$G$45)</f>
        <v>0</v>
      </c>
    </row>
    <row r="159" spans="1:6">
      <c r="A159" s="40">
        <f>'[1]Pigmentos Desconsiderados'!A158</f>
        <v>0</v>
      </c>
      <c r="B159" s="72">
        <f ca="1">SUMIF('Ordem de Serviço'!$A$20:$B$45,A159,'Ordem de Serviço'!$C$20:$C$45)</f>
        <v>0</v>
      </c>
      <c r="C159" s="72">
        <f ca="1">SUMIF('Ordem de Serviço'!$A$20:$B$45,A159,'Ordem de Serviço'!$D$20:$D$45)</f>
        <v>0</v>
      </c>
      <c r="D159" s="72">
        <f ca="1">SUMIF('Ordem de Serviço'!$A$20:$B$45,A159,'Ordem de Serviço'!$E$20:$E$45)</f>
        <v>0</v>
      </c>
      <c r="E159" s="72">
        <f ca="1">SUMIF('Ordem de Serviço'!$A$20:$B$45,A159,'Ordem de Serviço'!$F$20:$F$45)</f>
        <v>0</v>
      </c>
      <c r="F159" s="72">
        <f ca="1">SUMIF('Ordem de Serviço'!$A$20:$B$45,A159,'Ordem de Serviço'!$G$20:$G$45)</f>
        <v>0</v>
      </c>
    </row>
    <row r="160" spans="1:6">
      <c r="A160" s="40">
        <f>'[1]Pigmentos Desconsiderados'!A159</f>
        <v>0</v>
      </c>
      <c r="B160" s="72">
        <f ca="1">SUMIF('Ordem de Serviço'!$A$20:$B$45,A160,'Ordem de Serviço'!$C$20:$C$45)</f>
        <v>0</v>
      </c>
      <c r="C160" s="72">
        <f ca="1">SUMIF('Ordem de Serviço'!$A$20:$B$45,A160,'Ordem de Serviço'!$D$20:$D$45)</f>
        <v>0</v>
      </c>
      <c r="D160" s="72">
        <f ca="1">SUMIF('Ordem de Serviço'!$A$20:$B$45,A160,'Ordem de Serviço'!$E$20:$E$45)</f>
        <v>0</v>
      </c>
      <c r="E160" s="72">
        <f ca="1">SUMIF('Ordem de Serviço'!$A$20:$B$45,A160,'Ordem de Serviço'!$F$20:$F$45)</f>
        <v>0</v>
      </c>
      <c r="F160" s="72">
        <f ca="1">SUMIF('Ordem de Serviço'!$A$20:$B$45,A160,'Ordem de Serviço'!$G$20:$G$45)</f>
        <v>0</v>
      </c>
    </row>
    <row r="161" spans="1:6">
      <c r="A161" s="40">
        <f>'[1]Pigmentos Desconsiderados'!A160</f>
        <v>0</v>
      </c>
      <c r="B161" s="72">
        <f ca="1">SUMIF('Ordem de Serviço'!$A$20:$B$45,A161,'Ordem de Serviço'!$C$20:$C$45)</f>
        <v>0</v>
      </c>
      <c r="C161" s="72">
        <f ca="1">SUMIF('Ordem de Serviço'!$A$20:$B$45,A161,'Ordem de Serviço'!$D$20:$D$45)</f>
        <v>0</v>
      </c>
      <c r="D161" s="72">
        <f ca="1">SUMIF('Ordem de Serviço'!$A$20:$B$45,A161,'Ordem de Serviço'!$E$20:$E$45)</f>
        <v>0</v>
      </c>
      <c r="E161" s="72">
        <f ca="1">SUMIF('Ordem de Serviço'!$A$20:$B$45,A161,'Ordem de Serviço'!$F$20:$F$45)</f>
        <v>0</v>
      </c>
      <c r="F161" s="72">
        <f ca="1">SUMIF('Ordem de Serviço'!$A$20:$B$45,A161,'Ordem de Serviço'!$G$20:$G$45)</f>
        <v>0</v>
      </c>
    </row>
    <row r="162" spans="1:6">
      <c r="A162" s="40">
        <f>'[1]Pigmentos Desconsiderados'!A161</f>
        <v>0</v>
      </c>
      <c r="B162" s="72">
        <f ca="1">SUMIF('Ordem de Serviço'!$A$20:$B$45,A162,'Ordem de Serviço'!$C$20:$C$45)</f>
        <v>0</v>
      </c>
      <c r="C162" s="72">
        <f ca="1">SUMIF('Ordem de Serviço'!$A$20:$B$45,A162,'Ordem de Serviço'!$D$20:$D$45)</f>
        <v>0</v>
      </c>
      <c r="D162" s="72">
        <f ca="1">SUMIF('Ordem de Serviço'!$A$20:$B$45,A162,'Ordem de Serviço'!$E$20:$E$45)</f>
        <v>0</v>
      </c>
      <c r="E162" s="72">
        <f ca="1">SUMIF('Ordem de Serviço'!$A$20:$B$45,A162,'Ordem de Serviço'!$F$20:$F$45)</f>
        <v>0</v>
      </c>
      <c r="F162" s="72">
        <f ca="1">SUMIF('Ordem de Serviço'!$A$20:$B$45,A162,'Ordem de Serviço'!$G$20:$G$45)</f>
        <v>0</v>
      </c>
    </row>
    <row r="163" spans="1:6">
      <c r="A163" s="40">
        <f>'[1]Pigmentos Desconsiderados'!A162</f>
        <v>0</v>
      </c>
      <c r="B163" s="72">
        <f ca="1">SUMIF('Ordem de Serviço'!$A$20:$B$45,A163,'Ordem de Serviço'!$C$20:$C$45)</f>
        <v>0</v>
      </c>
      <c r="C163" s="72">
        <f ca="1">SUMIF('Ordem de Serviço'!$A$20:$B$45,A163,'Ordem de Serviço'!$D$20:$D$45)</f>
        <v>0</v>
      </c>
      <c r="D163" s="72">
        <f ca="1">SUMIF('Ordem de Serviço'!$A$20:$B$45,A163,'Ordem de Serviço'!$E$20:$E$45)</f>
        <v>0</v>
      </c>
      <c r="E163" s="72">
        <f ca="1">SUMIF('Ordem de Serviço'!$A$20:$B$45,A163,'Ordem de Serviço'!$F$20:$F$45)</f>
        <v>0</v>
      </c>
      <c r="F163" s="72">
        <f ca="1">SUMIF('Ordem de Serviço'!$A$20:$B$45,A163,'Ordem de Serviço'!$G$20:$G$45)</f>
        <v>0</v>
      </c>
    </row>
    <row r="164" spans="1:6">
      <c r="A164" s="40">
        <f>'[1]Pigmentos Desconsiderados'!A163</f>
        <v>0</v>
      </c>
      <c r="B164" s="72">
        <f ca="1">SUMIF('Ordem de Serviço'!$A$20:$B$45,A164,'Ordem de Serviço'!$C$20:$C$45)</f>
        <v>0</v>
      </c>
      <c r="C164" s="72">
        <f ca="1">SUMIF('Ordem de Serviço'!$A$20:$B$45,A164,'Ordem de Serviço'!$D$20:$D$45)</f>
        <v>0</v>
      </c>
      <c r="D164" s="72">
        <f ca="1">SUMIF('Ordem de Serviço'!$A$20:$B$45,A164,'Ordem de Serviço'!$E$20:$E$45)</f>
        <v>0</v>
      </c>
      <c r="E164" s="72">
        <f ca="1">SUMIF('Ordem de Serviço'!$A$20:$B$45,A164,'Ordem de Serviço'!$F$20:$F$45)</f>
        <v>0</v>
      </c>
      <c r="F164" s="72">
        <f ca="1">SUMIF('Ordem de Serviço'!$A$20:$B$45,A164,'Ordem de Serviço'!$G$20:$G$45)</f>
        <v>0</v>
      </c>
    </row>
    <row r="165" spans="1:6">
      <c r="A165" s="40">
        <f>'[1]Pigmentos Desconsiderados'!A164</f>
        <v>0</v>
      </c>
      <c r="B165" s="72">
        <f ca="1">SUMIF('Ordem de Serviço'!$A$20:$B$45,A165,'Ordem de Serviço'!$C$20:$C$45)</f>
        <v>0</v>
      </c>
      <c r="C165" s="72">
        <f ca="1">SUMIF('Ordem de Serviço'!$A$20:$B$45,A165,'Ordem de Serviço'!$D$20:$D$45)</f>
        <v>0</v>
      </c>
      <c r="D165" s="72">
        <f ca="1">SUMIF('Ordem de Serviço'!$A$20:$B$45,A165,'Ordem de Serviço'!$E$20:$E$45)</f>
        <v>0</v>
      </c>
      <c r="E165" s="72">
        <f ca="1">SUMIF('Ordem de Serviço'!$A$20:$B$45,A165,'Ordem de Serviço'!$F$20:$F$45)</f>
        <v>0</v>
      </c>
      <c r="F165" s="72">
        <f ca="1">SUMIF('Ordem de Serviço'!$A$20:$B$45,A165,'Ordem de Serviço'!$G$20:$G$45)</f>
        <v>0</v>
      </c>
    </row>
    <row r="166" spans="1:6">
      <c r="A166" s="40">
        <f>'[1]Pigmentos Desconsiderados'!A165</f>
        <v>0</v>
      </c>
      <c r="B166" s="72">
        <f ca="1">SUMIF('Ordem de Serviço'!$A$20:$B$45,A166,'Ordem de Serviço'!$C$20:$C$45)</f>
        <v>0</v>
      </c>
      <c r="C166" s="72">
        <f ca="1">SUMIF('Ordem de Serviço'!$A$20:$B$45,A166,'Ordem de Serviço'!$D$20:$D$45)</f>
        <v>0</v>
      </c>
      <c r="D166" s="72">
        <f ca="1">SUMIF('Ordem de Serviço'!$A$20:$B$45,A166,'Ordem de Serviço'!$E$20:$E$45)</f>
        <v>0</v>
      </c>
      <c r="E166" s="72">
        <f ca="1">SUMIF('Ordem de Serviço'!$A$20:$B$45,A166,'Ordem de Serviço'!$F$20:$F$45)</f>
        <v>0</v>
      </c>
      <c r="F166" s="72">
        <f ca="1">SUMIF('Ordem de Serviço'!$A$20:$B$45,A166,'Ordem de Serviço'!$G$20:$G$45)</f>
        <v>0</v>
      </c>
    </row>
    <row r="167" spans="1:6">
      <c r="A167" s="40">
        <f>'[1]Pigmentos Desconsiderados'!A166</f>
        <v>0</v>
      </c>
      <c r="B167" s="72">
        <f ca="1">SUMIF('Ordem de Serviço'!$A$20:$B$45,A167,'Ordem de Serviço'!$C$20:$C$45)</f>
        <v>0</v>
      </c>
      <c r="C167" s="72">
        <f ca="1">SUMIF('Ordem de Serviço'!$A$20:$B$45,A167,'Ordem de Serviço'!$D$20:$D$45)</f>
        <v>0</v>
      </c>
      <c r="D167" s="72">
        <f ca="1">SUMIF('Ordem de Serviço'!$A$20:$B$45,A167,'Ordem de Serviço'!$E$20:$E$45)</f>
        <v>0</v>
      </c>
      <c r="E167" s="72">
        <f ca="1">SUMIF('Ordem de Serviço'!$A$20:$B$45,A167,'Ordem de Serviço'!$F$20:$F$45)</f>
        <v>0</v>
      </c>
      <c r="F167" s="72">
        <f ca="1">SUMIF('Ordem de Serviço'!$A$20:$B$45,A167,'Ordem de Serviço'!$G$20:$G$45)</f>
        <v>0</v>
      </c>
    </row>
    <row r="168" spans="1:6">
      <c r="A168" s="40">
        <f>'[1]Pigmentos Desconsiderados'!A167</f>
        <v>0</v>
      </c>
      <c r="B168" s="72">
        <f ca="1">SUMIF('Ordem de Serviço'!$A$20:$B$45,A168,'Ordem de Serviço'!$C$20:$C$45)</f>
        <v>0</v>
      </c>
      <c r="C168" s="72">
        <f ca="1">SUMIF('Ordem de Serviço'!$A$20:$B$45,A168,'Ordem de Serviço'!$D$20:$D$45)</f>
        <v>0</v>
      </c>
      <c r="D168" s="72">
        <f ca="1">SUMIF('Ordem de Serviço'!$A$20:$B$45,A168,'Ordem de Serviço'!$E$20:$E$45)</f>
        <v>0</v>
      </c>
      <c r="E168" s="72">
        <f ca="1">SUMIF('Ordem de Serviço'!$A$20:$B$45,A168,'Ordem de Serviço'!$F$20:$F$45)</f>
        <v>0</v>
      </c>
      <c r="F168" s="72">
        <f ca="1">SUMIF('Ordem de Serviço'!$A$20:$B$45,A168,'Ordem de Serviço'!$G$20:$G$45)</f>
        <v>0</v>
      </c>
    </row>
    <row r="169" spans="1:6">
      <c r="A169" s="40">
        <f>'[1]Pigmentos Desconsiderados'!A168</f>
        <v>0</v>
      </c>
      <c r="B169" s="72">
        <f ca="1">SUMIF('Ordem de Serviço'!$A$20:$B$45,A169,'Ordem de Serviço'!$C$20:$C$45)</f>
        <v>0</v>
      </c>
      <c r="C169" s="72">
        <f ca="1">SUMIF('Ordem de Serviço'!$A$20:$B$45,A169,'Ordem de Serviço'!$D$20:$D$45)</f>
        <v>0</v>
      </c>
      <c r="D169" s="72">
        <f ca="1">SUMIF('Ordem de Serviço'!$A$20:$B$45,A169,'Ordem de Serviço'!$E$20:$E$45)</f>
        <v>0</v>
      </c>
      <c r="E169" s="72">
        <f ca="1">SUMIF('Ordem de Serviço'!$A$20:$B$45,A169,'Ordem de Serviço'!$F$20:$F$45)</f>
        <v>0</v>
      </c>
      <c r="F169" s="72">
        <f ca="1">SUMIF('Ordem de Serviço'!$A$20:$B$45,A169,'Ordem de Serviço'!$G$20:$G$45)</f>
        <v>0</v>
      </c>
    </row>
    <row r="170" spans="1:6">
      <c r="A170" s="40">
        <f>'[1]Pigmentos Desconsiderados'!A169</f>
        <v>0</v>
      </c>
      <c r="B170" s="72">
        <f ca="1">SUMIF('Ordem de Serviço'!$A$20:$B$45,A170,'Ordem de Serviço'!$C$20:$C$45)</f>
        <v>0</v>
      </c>
      <c r="C170" s="72">
        <f ca="1">SUMIF('Ordem de Serviço'!$A$20:$B$45,A170,'Ordem de Serviço'!$D$20:$D$45)</f>
        <v>0</v>
      </c>
      <c r="D170" s="72">
        <f ca="1">SUMIF('Ordem de Serviço'!$A$20:$B$45,A170,'Ordem de Serviço'!$E$20:$E$45)</f>
        <v>0</v>
      </c>
      <c r="E170" s="72">
        <f ca="1">SUMIF('Ordem de Serviço'!$A$20:$B$45,A170,'Ordem de Serviço'!$F$20:$F$45)</f>
        <v>0</v>
      </c>
      <c r="F170" s="72">
        <f ca="1">SUMIF('Ordem de Serviço'!$A$20:$B$45,A170,'Ordem de Serviço'!$G$20:$G$45)</f>
        <v>0</v>
      </c>
    </row>
    <row r="171" spans="1:6">
      <c r="A171" s="40">
        <f>'[1]Pigmentos Desconsiderados'!A170</f>
        <v>0</v>
      </c>
      <c r="B171" s="72">
        <f ca="1">SUMIF('Ordem de Serviço'!$A$20:$B$45,A171,'Ordem de Serviço'!$C$20:$C$45)</f>
        <v>0</v>
      </c>
      <c r="C171" s="72">
        <f ca="1">SUMIF('Ordem de Serviço'!$A$20:$B$45,A171,'Ordem de Serviço'!$D$20:$D$45)</f>
        <v>0</v>
      </c>
      <c r="D171" s="72">
        <f ca="1">SUMIF('Ordem de Serviço'!$A$20:$B$45,A171,'Ordem de Serviço'!$E$20:$E$45)</f>
        <v>0</v>
      </c>
      <c r="E171" s="72">
        <f ca="1">SUMIF('Ordem de Serviço'!$A$20:$B$45,A171,'Ordem de Serviço'!$F$20:$F$45)</f>
        <v>0</v>
      </c>
      <c r="F171" s="72">
        <f ca="1">SUMIF('Ordem de Serviço'!$A$20:$B$45,A171,'Ordem de Serviço'!$G$20:$G$45)</f>
        <v>0</v>
      </c>
    </row>
    <row r="172" spans="1:6">
      <c r="A172" s="40">
        <f>'[1]Pigmentos Desconsiderados'!A171</f>
        <v>0</v>
      </c>
      <c r="B172" s="72">
        <f ca="1">SUMIF('Ordem de Serviço'!$A$20:$B$45,A172,'Ordem de Serviço'!$C$20:$C$45)</f>
        <v>0</v>
      </c>
      <c r="C172" s="72">
        <f ca="1">SUMIF('Ordem de Serviço'!$A$20:$B$45,A172,'Ordem de Serviço'!$D$20:$D$45)</f>
        <v>0</v>
      </c>
      <c r="D172" s="72">
        <f ca="1">SUMIF('Ordem de Serviço'!$A$20:$B$45,A172,'Ordem de Serviço'!$E$20:$E$45)</f>
        <v>0</v>
      </c>
      <c r="E172" s="72">
        <f ca="1">SUMIF('Ordem de Serviço'!$A$20:$B$45,A172,'Ordem de Serviço'!$F$20:$F$45)</f>
        <v>0</v>
      </c>
      <c r="F172" s="72">
        <f ca="1">SUMIF('Ordem de Serviço'!$A$20:$B$45,A172,'Ordem de Serviço'!$G$20:$G$45)</f>
        <v>0</v>
      </c>
    </row>
    <row r="173" spans="1:6">
      <c r="A173" s="40">
        <f>'[1]Pigmentos Desconsiderados'!A172</f>
        <v>0</v>
      </c>
      <c r="B173" s="72">
        <f ca="1">SUMIF('Ordem de Serviço'!$A$20:$B$45,A173,'Ordem de Serviço'!$C$20:$C$45)</f>
        <v>0</v>
      </c>
      <c r="C173" s="72">
        <f ca="1">SUMIF('Ordem de Serviço'!$A$20:$B$45,A173,'Ordem de Serviço'!$D$20:$D$45)</f>
        <v>0</v>
      </c>
      <c r="D173" s="72">
        <f ca="1">SUMIF('Ordem de Serviço'!$A$20:$B$45,A173,'Ordem de Serviço'!$E$20:$E$45)</f>
        <v>0</v>
      </c>
      <c r="E173" s="72">
        <f ca="1">SUMIF('Ordem de Serviço'!$A$20:$B$45,A173,'Ordem de Serviço'!$F$20:$F$45)</f>
        <v>0</v>
      </c>
      <c r="F173" s="72">
        <f ca="1">SUMIF('Ordem de Serviço'!$A$20:$B$45,A173,'Ordem de Serviço'!$G$20:$G$45)</f>
        <v>0</v>
      </c>
    </row>
    <row r="174" spans="1:6">
      <c r="A174" s="40">
        <f>'[1]Pigmentos Desconsiderados'!A173</f>
        <v>0</v>
      </c>
      <c r="B174" s="72">
        <f ca="1">SUMIF('Ordem de Serviço'!$A$20:$B$45,A174,'Ordem de Serviço'!$C$20:$C$45)</f>
        <v>0</v>
      </c>
      <c r="C174" s="72">
        <f ca="1">SUMIF('Ordem de Serviço'!$A$20:$B$45,A174,'Ordem de Serviço'!$D$20:$D$45)</f>
        <v>0</v>
      </c>
      <c r="D174" s="72">
        <f ca="1">SUMIF('Ordem de Serviço'!$A$20:$B$45,A174,'Ordem de Serviço'!$E$20:$E$45)</f>
        <v>0</v>
      </c>
      <c r="E174" s="72">
        <f ca="1">SUMIF('Ordem de Serviço'!$A$20:$B$45,A174,'Ordem de Serviço'!$F$20:$F$45)</f>
        <v>0</v>
      </c>
      <c r="F174" s="72">
        <f ca="1">SUMIF('Ordem de Serviço'!$A$20:$B$45,A174,'Ordem de Serviço'!$G$20:$G$45)</f>
        <v>0</v>
      </c>
    </row>
    <row r="175" spans="1:6">
      <c r="A175" s="40">
        <f>'[1]Pigmentos Desconsiderados'!A174</f>
        <v>0</v>
      </c>
      <c r="B175" s="72">
        <f ca="1">SUMIF('Ordem de Serviço'!$A$20:$B$45,A175,'Ordem de Serviço'!$C$20:$C$45)</f>
        <v>0</v>
      </c>
      <c r="C175" s="72">
        <f ca="1">SUMIF('Ordem de Serviço'!$A$20:$B$45,A175,'Ordem de Serviço'!$D$20:$D$45)</f>
        <v>0</v>
      </c>
      <c r="D175" s="72">
        <f ca="1">SUMIF('Ordem de Serviço'!$A$20:$B$45,A175,'Ordem de Serviço'!$E$20:$E$45)</f>
        <v>0</v>
      </c>
      <c r="E175" s="72">
        <f ca="1">SUMIF('Ordem de Serviço'!$A$20:$B$45,A175,'Ordem de Serviço'!$F$20:$F$45)</f>
        <v>0</v>
      </c>
      <c r="F175" s="72">
        <f ca="1">SUMIF('Ordem de Serviço'!$A$20:$B$45,A175,'Ordem de Serviço'!$G$20:$G$45)</f>
        <v>0</v>
      </c>
    </row>
    <row r="176" spans="1:6">
      <c r="A176" s="40">
        <f>'[1]Pigmentos Desconsiderados'!A175</f>
        <v>0</v>
      </c>
      <c r="B176" s="72">
        <f ca="1">SUMIF('Ordem de Serviço'!$A$20:$B$45,A176,'Ordem de Serviço'!$C$20:$C$45)</f>
        <v>0</v>
      </c>
      <c r="C176" s="72">
        <f ca="1">SUMIF('Ordem de Serviço'!$A$20:$B$45,A176,'Ordem de Serviço'!$D$20:$D$45)</f>
        <v>0</v>
      </c>
      <c r="D176" s="72">
        <f ca="1">SUMIF('Ordem de Serviço'!$A$20:$B$45,A176,'Ordem de Serviço'!$E$20:$E$45)</f>
        <v>0</v>
      </c>
      <c r="E176" s="72">
        <f ca="1">SUMIF('Ordem de Serviço'!$A$20:$B$45,A176,'Ordem de Serviço'!$F$20:$F$45)</f>
        <v>0</v>
      </c>
      <c r="F176" s="72">
        <f ca="1">SUMIF('Ordem de Serviço'!$A$20:$B$45,A176,'Ordem de Serviço'!$G$20:$G$45)</f>
        <v>0</v>
      </c>
    </row>
    <row r="177" spans="1:6">
      <c r="A177" s="40">
        <f>'[1]Pigmentos Desconsiderados'!A176</f>
        <v>0</v>
      </c>
      <c r="B177" s="72">
        <f ca="1">SUMIF('Ordem de Serviço'!$A$20:$B$45,A177,'Ordem de Serviço'!$C$20:$C$45)</f>
        <v>0</v>
      </c>
      <c r="C177" s="72">
        <f ca="1">SUMIF('Ordem de Serviço'!$A$20:$B$45,A177,'Ordem de Serviço'!$D$20:$D$45)</f>
        <v>0</v>
      </c>
      <c r="D177" s="72">
        <f ca="1">SUMIF('Ordem de Serviço'!$A$20:$B$45,A177,'Ordem de Serviço'!$E$20:$E$45)</f>
        <v>0</v>
      </c>
      <c r="E177" s="72">
        <f ca="1">SUMIF('Ordem de Serviço'!$A$20:$B$45,A177,'Ordem de Serviço'!$F$20:$F$45)</f>
        <v>0</v>
      </c>
      <c r="F177" s="72">
        <f ca="1">SUMIF('Ordem de Serviço'!$A$20:$B$45,A177,'Ordem de Serviço'!$G$20:$G$45)</f>
        <v>0</v>
      </c>
    </row>
    <row r="178" spans="1:6">
      <c r="A178" s="40">
        <f>'[1]Pigmentos Desconsiderados'!A177</f>
        <v>0</v>
      </c>
      <c r="B178" s="72">
        <f ca="1">SUMIF('Ordem de Serviço'!$A$20:$B$45,A178,'Ordem de Serviço'!$C$20:$C$45)</f>
        <v>0</v>
      </c>
      <c r="C178" s="72">
        <f ca="1">SUMIF('Ordem de Serviço'!$A$20:$B$45,A178,'Ordem de Serviço'!$D$20:$D$45)</f>
        <v>0</v>
      </c>
      <c r="D178" s="72">
        <f ca="1">SUMIF('Ordem de Serviço'!$A$20:$B$45,A178,'Ordem de Serviço'!$E$20:$E$45)</f>
        <v>0</v>
      </c>
      <c r="E178" s="72">
        <f ca="1">SUMIF('Ordem de Serviço'!$A$20:$B$45,A178,'Ordem de Serviço'!$F$20:$F$45)</f>
        <v>0</v>
      </c>
      <c r="F178" s="72">
        <f ca="1">SUMIF('Ordem de Serviço'!$A$20:$B$45,A178,'Ordem de Serviço'!$G$20:$G$45)</f>
        <v>0</v>
      </c>
    </row>
    <row r="179" spans="1:6">
      <c r="A179" s="40">
        <f>'[1]Pigmentos Desconsiderados'!A178</f>
        <v>0</v>
      </c>
      <c r="B179" s="72">
        <f ca="1">SUMIF('Ordem de Serviço'!$A$20:$B$45,A179,'Ordem de Serviço'!$C$20:$C$45)</f>
        <v>0</v>
      </c>
      <c r="C179" s="72">
        <f ca="1">SUMIF('Ordem de Serviço'!$A$20:$B$45,A179,'Ordem de Serviço'!$D$20:$D$45)</f>
        <v>0</v>
      </c>
      <c r="D179" s="72">
        <f ca="1">SUMIF('Ordem de Serviço'!$A$20:$B$45,A179,'Ordem de Serviço'!$E$20:$E$45)</f>
        <v>0</v>
      </c>
      <c r="E179" s="72">
        <f ca="1">SUMIF('Ordem de Serviço'!$A$20:$B$45,A179,'Ordem de Serviço'!$F$20:$F$45)</f>
        <v>0</v>
      </c>
      <c r="F179" s="72">
        <f ca="1">SUMIF('Ordem de Serviço'!$A$20:$B$45,A179,'Ordem de Serviço'!$G$20:$G$45)</f>
        <v>0</v>
      </c>
    </row>
    <row r="180" spans="1:6">
      <c r="A180" s="40">
        <f>'[1]Pigmentos Desconsiderados'!A179</f>
        <v>0</v>
      </c>
      <c r="B180" s="72">
        <f ca="1">SUMIF('Ordem de Serviço'!$A$20:$B$45,A180,'Ordem de Serviço'!$C$20:$C$45)</f>
        <v>0</v>
      </c>
      <c r="C180" s="72">
        <f ca="1">SUMIF('Ordem de Serviço'!$A$20:$B$45,A180,'Ordem de Serviço'!$D$20:$D$45)</f>
        <v>0</v>
      </c>
      <c r="D180" s="72">
        <f ca="1">SUMIF('Ordem de Serviço'!$A$20:$B$45,A180,'Ordem de Serviço'!$E$20:$E$45)</f>
        <v>0</v>
      </c>
      <c r="E180" s="72">
        <f ca="1">SUMIF('Ordem de Serviço'!$A$20:$B$45,A180,'Ordem de Serviço'!$F$20:$F$45)</f>
        <v>0</v>
      </c>
      <c r="F180" s="72">
        <f ca="1">SUMIF('Ordem de Serviço'!$A$20:$B$45,A180,'Ordem de Serviço'!$G$20:$G$45)</f>
        <v>0</v>
      </c>
    </row>
    <row r="181" spans="1:6">
      <c r="A181" s="40">
        <f>'[1]Pigmentos Desconsiderados'!A180</f>
        <v>0</v>
      </c>
      <c r="B181" s="72">
        <f ca="1">SUMIF('Ordem de Serviço'!$A$20:$B$45,A181,'Ordem de Serviço'!$C$20:$C$45)</f>
        <v>0</v>
      </c>
      <c r="C181" s="72">
        <f ca="1">SUMIF('Ordem de Serviço'!$A$20:$B$45,A181,'Ordem de Serviço'!$D$20:$D$45)</f>
        <v>0</v>
      </c>
      <c r="D181" s="72">
        <f ca="1">SUMIF('Ordem de Serviço'!$A$20:$B$45,A181,'Ordem de Serviço'!$E$20:$E$45)</f>
        <v>0</v>
      </c>
      <c r="E181" s="72">
        <f ca="1">SUMIF('Ordem de Serviço'!$A$20:$B$45,A181,'Ordem de Serviço'!$F$20:$F$45)</f>
        <v>0</v>
      </c>
      <c r="F181" s="72">
        <f ca="1">SUMIF('Ordem de Serviço'!$A$20:$B$45,A181,'Ordem de Serviço'!$G$20:$G$45)</f>
        <v>0</v>
      </c>
    </row>
    <row r="182" spans="1:6">
      <c r="A182" s="40">
        <f>'[1]Pigmentos Desconsiderados'!A181</f>
        <v>0</v>
      </c>
      <c r="B182" s="72">
        <f ca="1">SUMIF('Ordem de Serviço'!$A$20:$B$45,A182,'Ordem de Serviço'!$C$20:$C$45)</f>
        <v>0</v>
      </c>
      <c r="C182" s="72">
        <f ca="1">SUMIF('Ordem de Serviço'!$A$20:$B$45,A182,'Ordem de Serviço'!$D$20:$D$45)</f>
        <v>0</v>
      </c>
      <c r="D182" s="72">
        <f ca="1">SUMIF('Ordem de Serviço'!$A$20:$B$45,A182,'Ordem de Serviço'!$E$20:$E$45)</f>
        <v>0</v>
      </c>
      <c r="E182" s="72">
        <f ca="1">SUMIF('Ordem de Serviço'!$A$20:$B$45,A182,'Ordem de Serviço'!$F$20:$F$45)</f>
        <v>0</v>
      </c>
      <c r="F182" s="72">
        <f ca="1">SUMIF('Ordem de Serviço'!$A$20:$B$45,A182,'Ordem de Serviço'!$G$20:$G$45)</f>
        <v>0</v>
      </c>
    </row>
    <row r="183" spans="1:6">
      <c r="A183" s="40">
        <f>'[1]Pigmentos Desconsiderados'!A182</f>
        <v>0</v>
      </c>
      <c r="B183" s="72">
        <f ca="1">SUMIF('Ordem de Serviço'!$A$20:$B$45,A183,'Ordem de Serviço'!$C$20:$C$45)</f>
        <v>0</v>
      </c>
      <c r="C183" s="72">
        <f ca="1">SUMIF('Ordem de Serviço'!$A$20:$B$45,A183,'Ordem de Serviço'!$D$20:$D$45)</f>
        <v>0</v>
      </c>
      <c r="D183" s="72">
        <f ca="1">SUMIF('Ordem de Serviço'!$A$20:$B$45,A183,'Ordem de Serviço'!$E$20:$E$45)</f>
        <v>0</v>
      </c>
      <c r="E183" s="72">
        <f ca="1">SUMIF('Ordem de Serviço'!$A$20:$B$45,A183,'Ordem de Serviço'!$F$20:$F$45)</f>
        <v>0</v>
      </c>
      <c r="F183" s="72">
        <f ca="1">SUMIF('Ordem de Serviço'!$A$20:$B$45,A183,'Ordem de Serviço'!$G$20:$G$45)</f>
        <v>0</v>
      </c>
    </row>
    <row r="184" spans="1:6">
      <c r="A184" s="40">
        <f>'[1]Pigmentos Desconsiderados'!A183</f>
        <v>0</v>
      </c>
      <c r="B184" s="72">
        <f ca="1">SUMIF('Ordem de Serviço'!$A$20:$B$45,A184,'Ordem de Serviço'!$C$20:$C$45)</f>
        <v>0</v>
      </c>
      <c r="C184" s="72">
        <f ca="1">SUMIF('Ordem de Serviço'!$A$20:$B$45,A184,'Ordem de Serviço'!$D$20:$D$45)</f>
        <v>0</v>
      </c>
      <c r="D184" s="72">
        <f ca="1">SUMIF('Ordem de Serviço'!$A$20:$B$45,A184,'Ordem de Serviço'!$E$20:$E$45)</f>
        <v>0</v>
      </c>
      <c r="E184" s="72">
        <f ca="1">SUMIF('Ordem de Serviço'!$A$20:$B$45,A184,'Ordem de Serviço'!$F$20:$F$45)</f>
        <v>0</v>
      </c>
      <c r="F184" s="72">
        <f ca="1">SUMIF('Ordem de Serviço'!$A$20:$B$45,A184,'Ordem de Serviço'!$G$20:$G$45)</f>
        <v>0</v>
      </c>
    </row>
    <row r="185" spans="1:6">
      <c r="A185" s="40">
        <f>'[1]Pigmentos Desconsiderados'!A184</f>
        <v>0</v>
      </c>
      <c r="B185" s="72">
        <f ca="1">SUMIF('Ordem de Serviço'!$A$20:$B$45,A185,'Ordem de Serviço'!$C$20:$C$45)</f>
        <v>0</v>
      </c>
      <c r="C185" s="72">
        <f ca="1">SUMIF('Ordem de Serviço'!$A$20:$B$45,A185,'Ordem de Serviço'!$D$20:$D$45)</f>
        <v>0</v>
      </c>
      <c r="D185" s="72">
        <f ca="1">SUMIF('Ordem de Serviço'!$A$20:$B$45,A185,'Ordem de Serviço'!$E$20:$E$45)</f>
        <v>0</v>
      </c>
      <c r="E185" s="72">
        <f ca="1">SUMIF('Ordem de Serviço'!$A$20:$B$45,A185,'Ordem de Serviço'!$F$20:$F$45)</f>
        <v>0</v>
      </c>
      <c r="F185" s="72">
        <f ca="1">SUMIF('Ordem de Serviço'!$A$20:$B$45,A185,'Ordem de Serviço'!$G$20:$G$45)</f>
        <v>0</v>
      </c>
    </row>
    <row r="186" spans="1:6">
      <c r="A186" s="40">
        <f>'[1]Pigmentos Desconsiderados'!A185</f>
        <v>0</v>
      </c>
      <c r="B186" s="72">
        <f ca="1">SUMIF('Ordem de Serviço'!$A$20:$B$45,A186,'Ordem de Serviço'!$C$20:$C$45)</f>
        <v>0</v>
      </c>
      <c r="C186" s="72">
        <f ca="1">SUMIF('Ordem de Serviço'!$A$20:$B$45,A186,'Ordem de Serviço'!$D$20:$D$45)</f>
        <v>0</v>
      </c>
      <c r="D186" s="72">
        <f ca="1">SUMIF('Ordem de Serviço'!$A$20:$B$45,A186,'Ordem de Serviço'!$E$20:$E$45)</f>
        <v>0</v>
      </c>
      <c r="E186" s="72">
        <f ca="1">SUMIF('Ordem de Serviço'!$A$20:$B$45,A186,'Ordem de Serviço'!$F$20:$F$45)</f>
        <v>0</v>
      </c>
      <c r="F186" s="72">
        <f ca="1">SUMIF('Ordem de Serviço'!$A$20:$B$45,A186,'Ordem de Serviço'!$G$20:$G$45)</f>
        <v>0</v>
      </c>
    </row>
    <row r="187" spans="1:6">
      <c r="A187" s="40">
        <f>'[1]Pigmentos Desconsiderados'!A186</f>
        <v>0</v>
      </c>
      <c r="B187" s="72">
        <f ca="1">SUMIF('Ordem de Serviço'!$A$20:$B$45,A187,'Ordem de Serviço'!$C$20:$C$45)</f>
        <v>0</v>
      </c>
      <c r="C187" s="72">
        <f ca="1">SUMIF('Ordem de Serviço'!$A$20:$B$45,A187,'Ordem de Serviço'!$D$20:$D$45)</f>
        <v>0</v>
      </c>
      <c r="D187" s="72">
        <f ca="1">SUMIF('Ordem de Serviço'!$A$20:$B$45,A187,'Ordem de Serviço'!$E$20:$E$45)</f>
        <v>0</v>
      </c>
      <c r="E187" s="72">
        <f ca="1">SUMIF('Ordem de Serviço'!$A$20:$B$45,A187,'Ordem de Serviço'!$F$20:$F$45)</f>
        <v>0</v>
      </c>
      <c r="F187" s="72">
        <f ca="1">SUMIF('Ordem de Serviço'!$A$20:$B$45,A187,'Ordem de Serviço'!$G$20:$G$45)</f>
        <v>0</v>
      </c>
    </row>
    <row r="188" spans="1:6">
      <c r="A188" s="40">
        <f>'[1]Pigmentos Desconsiderados'!A187</f>
        <v>0</v>
      </c>
      <c r="B188" s="72">
        <f ca="1">SUMIF('Ordem de Serviço'!$A$20:$B$45,A188,'Ordem de Serviço'!$C$20:$C$45)</f>
        <v>0</v>
      </c>
      <c r="C188" s="72">
        <f ca="1">SUMIF('Ordem de Serviço'!$A$20:$B$45,A188,'Ordem de Serviço'!$D$20:$D$45)</f>
        <v>0</v>
      </c>
      <c r="D188" s="72">
        <f ca="1">SUMIF('Ordem de Serviço'!$A$20:$B$45,A188,'Ordem de Serviço'!$E$20:$E$45)</f>
        <v>0</v>
      </c>
      <c r="E188" s="72">
        <f ca="1">SUMIF('Ordem de Serviço'!$A$20:$B$45,A188,'Ordem de Serviço'!$F$20:$F$45)</f>
        <v>0</v>
      </c>
      <c r="F188" s="72">
        <f ca="1">SUMIF('Ordem de Serviço'!$A$20:$B$45,A188,'Ordem de Serviço'!$G$20:$G$45)</f>
        <v>0</v>
      </c>
    </row>
    <row r="189" spans="1:6">
      <c r="A189" s="40">
        <f>'[1]Pigmentos Desconsiderados'!A188</f>
        <v>0</v>
      </c>
      <c r="B189" s="72">
        <f ca="1">SUMIF('Ordem de Serviço'!$A$20:$B$45,A189,'Ordem de Serviço'!$C$20:$C$45)</f>
        <v>0</v>
      </c>
      <c r="C189" s="72">
        <f ca="1">SUMIF('Ordem de Serviço'!$A$20:$B$45,A189,'Ordem de Serviço'!$D$20:$D$45)</f>
        <v>0</v>
      </c>
      <c r="D189" s="72">
        <f ca="1">SUMIF('Ordem de Serviço'!$A$20:$B$45,A189,'Ordem de Serviço'!$E$20:$E$45)</f>
        <v>0</v>
      </c>
      <c r="E189" s="72">
        <f ca="1">SUMIF('Ordem de Serviço'!$A$20:$B$45,A189,'Ordem de Serviço'!$F$20:$F$45)</f>
        <v>0</v>
      </c>
      <c r="F189" s="72">
        <f ca="1">SUMIF('Ordem de Serviço'!$A$20:$B$45,A189,'Ordem de Serviço'!$G$20:$G$45)</f>
        <v>0</v>
      </c>
    </row>
    <row r="190" spans="1:6">
      <c r="A190" s="40">
        <f>'[1]Pigmentos Desconsiderados'!A189</f>
        <v>0</v>
      </c>
      <c r="B190" s="72">
        <f ca="1">SUMIF('Ordem de Serviço'!$A$20:$B$45,A190,'Ordem de Serviço'!$C$20:$C$45)</f>
        <v>0</v>
      </c>
      <c r="C190" s="72">
        <f ca="1">SUMIF('Ordem de Serviço'!$A$20:$B$45,A190,'Ordem de Serviço'!$D$20:$D$45)</f>
        <v>0</v>
      </c>
      <c r="D190" s="72">
        <f ca="1">SUMIF('Ordem de Serviço'!$A$20:$B$45,A190,'Ordem de Serviço'!$E$20:$E$45)</f>
        <v>0</v>
      </c>
      <c r="E190" s="72">
        <f ca="1">SUMIF('Ordem de Serviço'!$A$20:$B$45,A190,'Ordem de Serviço'!$F$20:$F$45)</f>
        <v>0</v>
      </c>
      <c r="F190" s="72">
        <f ca="1">SUMIF('Ordem de Serviço'!$A$20:$B$45,A190,'Ordem de Serviço'!$G$20:$G$45)</f>
        <v>0</v>
      </c>
    </row>
    <row r="191" spans="1:6">
      <c r="A191" s="40">
        <f>'[1]Pigmentos Desconsiderados'!A190</f>
        <v>0</v>
      </c>
      <c r="B191" s="72">
        <f ca="1">SUMIF('Ordem de Serviço'!$A$20:$B$45,A191,'Ordem de Serviço'!$C$20:$C$45)</f>
        <v>0</v>
      </c>
      <c r="C191" s="72">
        <f ca="1">SUMIF('Ordem de Serviço'!$A$20:$B$45,A191,'Ordem de Serviço'!$D$20:$D$45)</f>
        <v>0</v>
      </c>
      <c r="D191" s="72">
        <f ca="1">SUMIF('Ordem de Serviço'!$A$20:$B$45,A191,'Ordem de Serviço'!$E$20:$E$45)</f>
        <v>0</v>
      </c>
      <c r="E191" s="72">
        <f ca="1">SUMIF('Ordem de Serviço'!$A$20:$B$45,A191,'Ordem de Serviço'!$F$20:$F$45)</f>
        <v>0</v>
      </c>
      <c r="F191" s="72">
        <f ca="1">SUMIF('Ordem de Serviço'!$A$20:$B$45,A191,'Ordem de Serviço'!$G$20:$G$45)</f>
        <v>0</v>
      </c>
    </row>
    <row r="192" spans="1:6">
      <c r="A192" s="40">
        <f>'[1]Pigmentos Desconsiderados'!A191</f>
        <v>0</v>
      </c>
      <c r="B192" s="72">
        <f ca="1">SUMIF('Ordem de Serviço'!$A$20:$B$45,A192,'Ordem de Serviço'!$C$20:$C$45)</f>
        <v>0</v>
      </c>
      <c r="C192" s="72">
        <f ca="1">SUMIF('Ordem de Serviço'!$A$20:$B$45,A192,'Ordem de Serviço'!$D$20:$D$45)</f>
        <v>0</v>
      </c>
      <c r="D192" s="72">
        <f ca="1">SUMIF('Ordem de Serviço'!$A$20:$B$45,A192,'Ordem de Serviço'!$E$20:$E$45)</f>
        <v>0</v>
      </c>
      <c r="E192" s="72">
        <f ca="1">SUMIF('Ordem de Serviço'!$A$20:$B$45,A192,'Ordem de Serviço'!$F$20:$F$45)</f>
        <v>0</v>
      </c>
      <c r="F192" s="72">
        <f ca="1">SUMIF('Ordem de Serviço'!$A$20:$B$45,A192,'Ordem de Serviço'!$G$20:$G$45)</f>
        <v>0</v>
      </c>
    </row>
    <row r="193" spans="1:6">
      <c r="A193" s="40">
        <f>'[1]Pigmentos Desconsiderados'!A192</f>
        <v>0</v>
      </c>
      <c r="B193" s="72">
        <f ca="1">SUMIF('Ordem de Serviço'!$A$20:$B$45,A193,'Ordem de Serviço'!$C$20:$C$45)</f>
        <v>0</v>
      </c>
      <c r="C193" s="72">
        <f ca="1">SUMIF('Ordem de Serviço'!$A$20:$B$45,A193,'Ordem de Serviço'!$D$20:$D$45)</f>
        <v>0</v>
      </c>
      <c r="D193" s="72">
        <f ca="1">SUMIF('Ordem de Serviço'!$A$20:$B$45,A193,'Ordem de Serviço'!$E$20:$E$45)</f>
        <v>0</v>
      </c>
      <c r="E193" s="72">
        <f ca="1">SUMIF('Ordem de Serviço'!$A$20:$B$45,A193,'Ordem de Serviço'!$F$20:$F$45)</f>
        <v>0</v>
      </c>
      <c r="F193" s="72">
        <f ca="1">SUMIF('Ordem de Serviço'!$A$20:$B$45,A193,'Ordem de Serviço'!$G$20:$G$45)</f>
        <v>0</v>
      </c>
    </row>
    <row r="194" spans="1:6">
      <c r="A194" s="40">
        <f>'[1]Pigmentos Desconsiderados'!A193</f>
        <v>0</v>
      </c>
      <c r="B194" s="72">
        <f ca="1">SUMIF('Ordem de Serviço'!$A$20:$B$45,A194,'Ordem de Serviço'!$C$20:$C$45)</f>
        <v>0</v>
      </c>
      <c r="C194" s="72">
        <f ca="1">SUMIF('Ordem de Serviço'!$A$20:$B$45,A194,'Ordem de Serviço'!$D$20:$D$45)</f>
        <v>0</v>
      </c>
      <c r="D194" s="72">
        <f ca="1">SUMIF('Ordem de Serviço'!$A$20:$B$45,A194,'Ordem de Serviço'!$E$20:$E$45)</f>
        <v>0</v>
      </c>
      <c r="E194" s="72">
        <f ca="1">SUMIF('Ordem de Serviço'!$A$20:$B$45,A194,'Ordem de Serviço'!$F$20:$F$45)</f>
        <v>0</v>
      </c>
      <c r="F194" s="72">
        <f ca="1">SUMIF('Ordem de Serviço'!$A$20:$B$45,A194,'Ordem de Serviço'!$G$20:$G$45)</f>
        <v>0</v>
      </c>
    </row>
    <row r="195" spans="1:6">
      <c r="A195" s="40">
        <f>'[1]Pigmentos Desconsiderados'!A194</f>
        <v>0</v>
      </c>
      <c r="B195" s="72">
        <f ca="1">SUMIF('Ordem de Serviço'!$A$20:$B$45,A195,'Ordem de Serviço'!$C$20:$C$45)</f>
        <v>0</v>
      </c>
      <c r="C195" s="72">
        <f ca="1">SUMIF('Ordem de Serviço'!$A$20:$B$45,A195,'Ordem de Serviço'!$D$20:$D$45)</f>
        <v>0</v>
      </c>
      <c r="D195" s="72">
        <f ca="1">SUMIF('Ordem de Serviço'!$A$20:$B$45,A195,'Ordem de Serviço'!$E$20:$E$45)</f>
        <v>0</v>
      </c>
      <c r="E195" s="72">
        <f ca="1">SUMIF('Ordem de Serviço'!$A$20:$B$45,A195,'Ordem de Serviço'!$F$20:$F$45)</f>
        <v>0</v>
      </c>
      <c r="F195" s="72">
        <f ca="1">SUMIF('Ordem de Serviço'!$A$20:$B$45,A195,'Ordem de Serviço'!$G$20:$G$45)</f>
        <v>0</v>
      </c>
    </row>
    <row r="196" spans="1:6">
      <c r="A196" s="40">
        <f>'[1]Pigmentos Desconsiderados'!A195</f>
        <v>0</v>
      </c>
      <c r="B196" s="72">
        <f ca="1">SUMIF('Ordem de Serviço'!$A$20:$B$45,A196,'Ordem de Serviço'!$C$20:$C$45)</f>
        <v>0</v>
      </c>
      <c r="C196" s="72">
        <f ca="1">SUMIF('Ordem de Serviço'!$A$20:$B$45,A196,'Ordem de Serviço'!$D$20:$D$45)</f>
        <v>0</v>
      </c>
      <c r="D196" s="72">
        <f ca="1">SUMIF('Ordem de Serviço'!$A$20:$B$45,A196,'Ordem de Serviço'!$E$20:$E$45)</f>
        <v>0</v>
      </c>
      <c r="E196" s="72">
        <f ca="1">SUMIF('Ordem de Serviço'!$A$20:$B$45,A196,'Ordem de Serviço'!$F$20:$F$45)</f>
        <v>0</v>
      </c>
      <c r="F196" s="72">
        <f ca="1">SUMIF('Ordem de Serviço'!$A$20:$B$45,A196,'Ordem de Serviço'!$G$20:$G$45)</f>
        <v>0</v>
      </c>
    </row>
    <row r="197" spans="1:6">
      <c r="A197" s="40">
        <f>'[1]Pigmentos Desconsiderados'!A196</f>
        <v>0</v>
      </c>
      <c r="B197" s="72">
        <f ca="1">SUMIF('Ordem de Serviço'!$A$20:$B$45,A197,'Ordem de Serviço'!$C$20:$C$45)</f>
        <v>0</v>
      </c>
      <c r="C197" s="72">
        <f ca="1">SUMIF('Ordem de Serviço'!$A$20:$B$45,A197,'Ordem de Serviço'!$D$20:$D$45)</f>
        <v>0</v>
      </c>
      <c r="D197" s="72">
        <f ca="1">SUMIF('Ordem de Serviço'!$A$20:$B$45,A197,'Ordem de Serviço'!$E$20:$E$45)</f>
        <v>0</v>
      </c>
      <c r="E197" s="72">
        <f ca="1">SUMIF('Ordem de Serviço'!$A$20:$B$45,A197,'Ordem de Serviço'!$F$20:$F$45)</f>
        <v>0</v>
      </c>
      <c r="F197" s="72">
        <f ca="1">SUMIF('Ordem de Serviço'!$A$20:$B$45,A197,'Ordem de Serviço'!$G$20:$G$45)</f>
        <v>0</v>
      </c>
    </row>
    <row r="198" spans="1:6">
      <c r="A198" s="40">
        <f>'[1]Pigmentos Desconsiderados'!A197</f>
        <v>0</v>
      </c>
      <c r="B198" s="72">
        <f ca="1">SUMIF('Ordem de Serviço'!$A$20:$B$45,A198,'Ordem de Serviço'!$C$20:$C$45)</f>
        <v>0</v>
      </c>
      <c r="C198" s="72">
        <f ca="1">SUMIF('Ordem de Serviço'!$A$20:$B$45,A198,'Ordem de Serviço'!$D$20:$D$45)</f>
        <v>0</v>
      </c>
      <c r="D198" s="72">
        <f ca="1">SUMIF('Ordem de Serviço'!$A$20:$B$45,A198,'Ordem de Serviço'!$E$20:$E$45)</f>
        <v>0</v>
      </c>
      <c r="E198" s="72">
        <f ca="1">SUMIF('Ordem de Serviço'!$A$20:$B$45,A198,'Ordem de Serviço'!$F$20:$F$45)</f>
        <v>0</v>
      </c>
      <c r="F198" s="72">
        <f ca="1">SUMIF('Ordem de Serviço'!$A$20:$B$45,A198,'Ordem de Serviço'!$G$20:$G$45)</f>
        <v>0</v>
      </c>
    </row>
    <row r="199" spans="1:6">
      <c r="A199" s="40">
        <f>'[1]Pigmentos Desconsiderados'!A198</f>
        <v>0</v>
      </c>
      <c r="B199" s="72">
        <f ca="1">SUMIF('Ordem de Serviço'!$A$20:$B$45,A199,'Ordem de Serviço'!$C$20:$C$45)</f>
        <v>0</v>
      </c>
      <c r="C199" s="72">
        <f ca="1">SUMIF('Ordem de Serviço'!$A$20:$B$45,A199,'Ordem de Serviço'!$D$20:$D$45)</f>
        <v>0</v>
      </c>
      <c r="D199" s="72">
        <f ca="1">SUMIF('Ordem de Serviço'!$A$20:$B$45,A199,'Ordem de Serviço'!$E$20:$E$45)</f>
        <v>0</v>
      </c>
      <c r="E199" s="72">
        <f ca="1">SUMIF('Ordem de Serviço'!$A$20:$B$45,A199,'Ordem de Serviço'!$F$20:$F$45)</f>
        <v>0</v>
      </c>
      <c r="F199" s="72">
        <f ca="1">SUMIF('Ordem de Serviço'!$A$20:$B$45,A199,'Ordem de Serviço'!$G$20:$G$45)</f>
        <v>0</v>
      </c>
    </row>
    <row r="200" spans="1:6">
      <c r="A200" s="40">
        <f>'[1]Pigmentos Desconsiderados'!A199</f>
        <v>0</v>
      </c>
      <c r="B200" s="72">
        <f ca="1">SUMIF('Ordem de Serviço'!$A$20:$B$45,A200,'Ordem de Serviço'!$C$20:$C$45)</f>
        <v>0</v>
      </c>
      <c r="C200" s="72">
        <f ca="1">SUMIF('Ordem de Serviço'!$A$20:$B$45,A200,'Ordem de Serviço'!$D$20:$D$45)</f>
        <v>0</v>
      </c>
      <c r="D200" s="72">
        <f ca="1">SUMIF('Ordem de Serviço'!$A$20:$B$45,A200,'Ordem de Serviço'!$E$20:$E$45)</f>
        <v>0</v>
      </c>
      <c r="E200" s="72">
        <f ca="1">SUMIF('Ordem de Serviço'!$A$20:$B$45,A200,'Ordem de Serviço'!$F$20:$F$45)</f>
        <v>0</v>
      </c>
      <c r="F200" s="72">
        <f ca="1">SUMIF('Ordem de Serviço'!$A$20:$B$45,A200,'Ordem de Serviço'!$G$20:$G$45)</f>
        <v>0</v>
      </c>
    </row>
    <row r="201" spans="1:6">
      <c r="A201" s="40">
        <f>'[1]Pigmentos Desconsiderados'!A200</f>
        <v>0</v>
      </c>
      <c r="B201" s="72">
        <f ca="1">SUMIF('Ordem de Serviço'!$A$20:$B$45,A201,'Ordem de Serviço'!$C$20:$C$45)</f>
        <v>0</v>
      </c>
      <c r="C201" s="72">
        <f ca="1">SUMIF('Ordem de Serviço'!$A$20:$B$45,A201,'Ordem de Serviço'!$D$20:$D$45)</f>
        <v>0</v>
      </c>
      <c r="D201" s="72">
        <f ca="1">SUMIF('Ordem de Serviço'!$A$20:$B$45,A201,'Ordem de Serviço'!$E$20:$E$45)</f>
        <v>0</v>
      </c>
      <c r="E201" s="72">
        <f ca="1">SUMIF('Ordem de Serviço'!$A$20:$B$45,A201,'Ordem de Serviço'!$F$20:$F$45)</f>
        <v>0</v>
      </c>
      <c r="F201" s="72">
        <f ca="1">SUMIF('Ordem de Serviço'!$A$20:$B$45,A201,'Ordem de Serviço'!$G$20:$G$45)</f>
        <v>0</v>
      </c>
    </row>
    <row r="202" spans="1:6">
      <c r="A202" s="40">
        <f>'[1]Pigmentos Desconsiderados'!A201</f>
        <v>0</v>
      </c>
      <c r="B202" s="72">
        <f ca="1">SUMIF('Ordem de Serviço'!$A$20:$B$45,A202,'Ordem de Serviço'!$C$20:$C$45)</f>
        <v>0</v>
      </c>
      <c r="C202" s="72">
        <f ca="1">SUMIF('Ordem de Serviço'!$A$20:$B$45,A202,'Ordem de Serviço'!$D$20:$D$45)</f>
        <v>0</v>
      </c>
      <c r="D202" s="72">
        <f ca="1">SUMIF('Ordem de Serviço'!$A$20:$B$45,A202,'Ordem de Serviço'!$E$20:$E$45)</f>
        <v>0</v>
      </c>
      <c r="E202" s="72">
        <f ca="1">SUMIF('Ordem de Serviço'!$A$20:$B$45,A202,'Ordem de Serviço'!$F$20:$F$45)</f>
        <v>0</v>
      </c>
      <c r="F202" s="72">
        <f ca="1">SUMIF('Ordem de Serviço'!$A$20:$B$45,A202,'Ordem de Serviço'!$G$20:$G$45)</f>
        <v>0</v>
      </c>
    </row>
    <row r="203" spans="1:6">
      <c r="A203" s="40">
        <f>'[1]Pigmentos Desconsiderados'!A202</f>
        <v>0</v>
      </c>
      <c r="B203" s="72">
        <f ca="1">SUMIF('Ordem de Serviço'!$A$20:$B$45,A203,'Ordem de Serviço'!$C$20:$C$45)</f>
        <v>0</v>
      </c>
      <c r="C203" s="72">
        <f ca="1">SUMIF('Ordem de Serviço'!$A$20:$B$45,A203,'Ordem de Serviço'!$D$20:$D$45)</f>
        <v>0</v>
      </c>
      <c r="D203" s="72">
        <f ca="1">SUMIF('Ordem de Serviço'!$A$20:$B$45,A203,'Ordem de Serviço'!$E$20:$E$45)</f>
        <v>0</v>
      </c>
      <c r="E203" s="72">
        <f ca="1">SUMIF('Ordem de Serviço'!$A$20:$B$45,A203,'Ordem de Serviço'!$F$20:$F$45)</f>
        <v>0</v>
      </c>
      <c r="F203" s="72">
        <f ca="1">SUMIF('Ordem de Serviço'!$A$20:$B$45,A203,'Ordem de Serviço'!$G$20:$G$45)</f>
        <v>0</v>
      </c>
    </row>
    <row r="204" spans="1:6">
      <c r="A204" s="40">
        <f>'[1]Pigmentos Desconsiderados'!A203</f>
        <v>0</v>
      </c>
      <c r="B204" s="72">
        <f ca="1">SUMIF('Ordem de Serviço'!$A$20:$B$45,A204,'Ordem de Serviço'!$C$20:$C$45)</f>
        <v>0</v>
      </c>
      <c r="C204" s="72">
        <f ca="1">SUMIF('Ordem de Serviço'!$A$20:$B$45,A204,'Ordem de Serviço'!$D$20:$D$45)</f>
        <v>0</v>
      </c>
      <c r="D204" s="72">
        <f ca="1">SUMIF('Ordem de Serviço'!$A$20:$B$45,A204,'Ordem de Serviço'!$E$20:$E$45)</f>
        <v>0</v>
      </c>
      <c r="E204" s="72">
        <f ca="1">SUMIF('Ordem de Serviço'!$A$20:$B$45,A204,'Ordem de Serviço'!$F$20:$F$45)</f>
        <v>0</v>
      </c>
      <c r="F204" s="72">
        <f ca="1">SUMIF('Ordem de Serviço'!$A$20:$B$45,A204,'Ordem de Serviço'!$G$20:$G$45)</f>
        <v>0</v>
      </c>
    </row>
    <row r="205" spans="1:6">
      <c r="A205" s="40">
        <f>'[1]Pigmentos Desconsiderados'!A204</f>
        <v>0</v>
      </c>
      <c r="B205" s="72">
        <f ca="1">SUMIF('Ordem de Serviço'!$A$20:$B$45,A205,'Ordem de Serviço'!$C$20:$C$45)</f>
        <v>0</v>
      </c>
      <c r="C205" s="72">
        <f ca="1">SUMIF('Ordem de Serviço'!$A$20:$B$45,A205,'Ordem de Serviço'!$D$20:$D$45)</f>
        <v>0</v>
      </c>
      <c r="D205" s="72">
        <f ca="1">SUMIF('Ordem de Serviço'!$A$20:$B$45,A205,'Ordem de Serviço'!$E$20:$E$45)</f>
        <v>0</v>
      </c>
      <c r="E205" s="72">
        <f ca="1">SUMIF('Ordem de Serviço'!$A$20:$B$45,A205,'Ordem de Serviço'!$F$20:$F$45)</f>
        <v>0</v>
      </c>
      <c r="F205" s="72">
        <f ca="1">SUMIF('Ordem de Serviço'!$A$20:$B$45,A205,'Ordem de Serviço'!$G$20:$G$45)</f>
        <v>0</v>
      </c>
    </row>
    <row r="206" spans="1:6">
      <c r="A206" s="40">
        <f>'[1]Pigmentos Desconsiderados'!A205</f>
        <v>0</v>
      </c>
      <c r="B206" s="72">
        <f ca="1">SUMIF('Ordem de Serviço'!$A$20:$B$45,A206,'Ordem de Serviço'!$C$20:$C$45)</f>
        <v>0</v>
      </c>
      <c r="C206" s="72">
        <f ca="1">SUMIF('Ordem de Serviço'!$A$20:$B$45,A206,'Ordem de Serviço'!$D$20:$D$45)</f>
        <v>0</v>
      </c>
      <c r="D206" s="72">
        <f ca="1">SUMIF('Ordem de Serviço'!$A$20:$B$45,A206,'Ordem de Serviço'!$E$20:$E$45)</f>
        <v>0</v>
      </c>
      <c r="E206" s="72">
        <f ca="1">SUMIF('Ordem de Serviço'!$A$20:$B$45,A206,'Ordem de Serviço'!$F$20:$F$45)</f>
        <v>0</v>
      </c>
      <c r="F206" s="72">
        <f ca="1">SUMIF('Ordem de Serviço'!$A$20:$B$45,A206,'Ordem de Serviço'!$G$20:$G$45)</f>
        <v>0</v>
      </c>
    </row>
  </sheetData>
  <sheetProtection password="EE3E" sheet="1" objects="1" scenarios="1" selectLockedCells="1"/>
  <mergeCells count="1">
    <mergeCell ref="A1:G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F11"/>
  <sheetViews>
    <sheetView zoomScaleNormal="100" workbookViewId="0">
      <selection activeCell="A15" sqref="A15"/>
    </sheetView>
  </sheetViews>
  <sheetFormatPr defaultRowHeight="15"/>
  <cols>
    <col min="1" max="1" width="9.85546875" style="1" customWidth="1"/>
    <col min="2" max="2" width="5" style="1" customWidth="1"/>
    <col min="3" max="3" width="8.5703125" style="1" customWidth="1"/>
    <col min="4" max="4" width="5.7109375" style="1" customWidth="1"/>
    <col min="5" max="5" width="6.5703125" style="1" customWidth="1"/>
    <col min="6" max="6" width="12.28515625" style="1" customWidth="1"/>
    <col min="7" max="16384" width="9.140625" style="1"/>
  </cols>
  <sheetData>
    <row r="1" spans="1:6" ht="18" customHeight="1">
      <c r="A1" s="238" t="s">
        <v>21</v>
      </c>
      <c r="B1" s="238"/>
      <c r="C1" s="238"/>
      <c r="D1" s="238"/>
      <c r="E1" s="238"/>
      <c r="F1" s="238"/>
    </row>
    <row r="2" spans="1:6" s="2" customFormat="1" ht="16.5" customHeight="1">
      <c r="A2" s="59" t="s">
        <v>12</v>
      </c>
      <c r="B2" s="240" t="str">
        <f>IF('Ordem de Serviço'!C10&gt;0,'Ordem de Serviço'!C10,"")</f>
        <v/>
      </c>
      <c r="C2" s="240"/>
      <c r="D2" s="240"/>
      <c r="E2" s="240"/>
      <c r="F2" s="240"/>
    </row>
    <row r="3" spans="1:6" s="2" customFormat="1" ht="14.25" customHeight="1">
      <c r="A3" s="5" t="s">
        <v>13</v>
      </c>
      <c r="B3" s="237" t="str">
        <f>IF('Ordem de Serviço'!C11&gt;0,'Ordem de Serviço'!C11,"")</f>
        <v/>
      </c>
      <c r="C3" s="237"/>
      <c r="D3" s="5" t="s">
        <v>22</v>
      </c>
      <c r="E3" s="10" t="str">
        <f>IF(IF('Ordem de Serviço'!H18="",'Ordem de Serviço'!C14,'Ordem de Serviço'!H18)&gt;0,IF('Ordem de Serviço'!H18="",'Ordem de Serviço'!C14,'Ordem de Serviço'!H18),"")</f>
        <v/>
      </c>
      <c r="F3" s="3" t="s">
        <v>36</v>
      </c>
    </row>
    <row r="4" spans="1:6" s="2" customFormat="1" ht="14.25" customHeight="1">
      <c r="A4" s="5" t="s">
        <v>39</v>
      </c>
      <c r="B4" s="239" t="str">
        <f>IF('Ordem de Serviço'!C12&gt;0,'Ordem de Serviço'!C12,"")</f>
        <v/>
      </c>
      <c r="C4" s="239"/>
      <c r="D4" s="5" t="s">
        <v>23</v>
      </c>
      <c r="E4" s="241" t="str">
        <f>IF('Ordem de Serviço'!C13&gt;0,'Ordem de Serviço'!C13,"")</f>
        <v/>
      </c>
      <c r="F4" s="241"/>
    </row>
    <row r="5" spans="1:6" s="2" customFormat="1" ht="14.25" customHeight="1">
      <c r="A5" s="5" t="s">
        <v>17</v>
      </c>
      <c r="B5" s="237" t="str">
        <f>IF('Ordem de Serviço'!C6&gt;0,'Ordem de Serviço'!C6,"")</f>
        <v/>
      </c>
      <c r="C5" s="237"/>
      <c r="D5" s="6" t="s">
        <v>16</v>
      </c>
      <c r="E5" s="237" t="str">
        <f>IF('Ordem de Serviço'!C7&gt;0,'Ordem de Serviço'!C7,"")</f>
        <v/>
      </c>
      <c r="F5" s="237"/>
    </row>
    <row r="6" spans="1:6" s="2" customFormat="1" ht="14.25" customHeight="1">
      <c r="A6" s="5" t="s">
        <v>18</v>
      </c>
      <c r="B6" s="237" t="str">
        <f>IF('Ordem de Serviço'!C8&gt;0,'Ordem de Serviço'!C8,"")</f>
        <v/>
      </c>
      <c r="C6" s="237"/>
      <c r="D6" s="237"/>
      <c r="E6" s="63" t="s">
        <v>19</v>
      </c>
      <c r="F6" s="64">
        <f ca="1">TODAY()</f>
        <v>43172</v>
      </c>
    </row>
    <row r="7" spans="1:6" s="2" customFormat="1" ht="14.25" customHeight="1">
      <c r="A7" s="58" t="s">
        <v>107</v>
      </c>
      <c r="B7" s="242" t="str">
        <f>IF('Ordem de Serviço'!C4&gt;0,'Ordem de Serviço'!C4,"")</f>
        <v/>
      </c>
      <c r="C7" s="242"/>
      <c r="D7" s="242"/>
      <c r="E7" s="242"/>
      <c r="F7" s="242"/>
    </row>
    <row r="8" spans="1:6" ht="15.75" customHeight="1">
      <c r="A8" s="236" t="s">
        <v>106</v>
      </c>
      <c r="B8" s="236"/>
      <c r="C8" s="236"/>
      <c r="D8" s="236"/>
      <c r="E8" s="236"/>
      <c r="F8" s="236"/>
    </row>
    <row r="11" spans="1:6" ht="18.75">
      <c r="E11" s="4"/>
    </row>
  </sheetData>
  <sheetProtection password="AE21" sheet="1" objects="1" scenarios="1" selectLockedCells="1"/>
  <customSheetViews>
    <customSheetView guid="{D55CE6E8-65B5-4F63-A4E5-57C33F897D62}" showPageBreaks="1" view="pageLayout">
      <selection activeCell="E25" sqref="E25"/>
      <pageMargins left="0.51181102362204722" right="0.51181102362204722" top="0.78740157480314965" bottom="0.78740157480314965" header="0.31496062992125984" footer="0.31496062992125984"/>
      <pageSetup paperSize="40" orientation="portrait" horizontalDpi="120" verticalDpi="72" r:id="rId1"/>
      <headerFooter>
        <oddHeader>&amp;L&amp;G</oddHeader>
      </headerFooter>
    </customSheetView>
  </customSheetViews>
  <mergeCells count="10">
    <mergeCell ref="A8:F8"/>
    <mergeCell ref="E5:F5"/>
    <mergeCell ref="B5:C5"/>
    <mergeCell ref="B6:D6"/>
    <mergeCell ref="A1:F1"/>
    <mergeCell ref="B3:C3"/>
    <mergeCell ref="B4:C4"/>
    <mergeCell ref="B2:F2"/>
    <mergeCell ref="E4:F4"/>
    <mergeCell ref="B7:F7"/>
  </mergeCells>
  <pageMargins left="0.19685039370078741" right="0" top="0.19685039370078741" bottom="0" header="0" footer="0"/>
  <pageSetup paperSize="256" orientation="portrait" horizontalDpi="203" verticalDpi="20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975"/>
  <sheetViews>
    <sheetView workbookViewId="0">
      <selection activeCell="C2" sqref="C2"/>
    </sheetView>
  </sheetViews>
  <sheetFormatPr defaultRowHeight="15"/>
  <cols>
    <col min="1" max="1" width="27.140625" customWidth="1"/>
    <col min="2" max="2" width="27.42578125" customWidth="1"/>
    <col min="3" max="3" width="21.85546875" style="45" customWidth="1"/>
    <col min="4" max="4" width="27.140625" customWidth="1"/>
  </cols>
  <sheetData>
    <row r="1" spans="1:9">
      <c r="A1" s="46" t="s">
        <v>88</v>
      </c>
      <c r="B1" s="46" t="s">
        <v>89</v>
      </c>
      <c r="C1" s="47" t="s">
        <v>90</v>
      </c>
      <c r="D1" s="243" t="s">
        <v>91</v>
      </c>
      <c r="E1" s="243"/>
      <c r="F1" s="47" t="s">
        <v>93</v>
      </c>
      <c r="G1" s="1"/>
      <c r="H1" s="1"/>
      <c r="I1" s="1"/>
    </row>
    <row r="2" spans="1:9" ht="23.25">
      <c r="A2" s="48">
        <v>42887.915648148148</v>
      </c>
      <c r="B2" s="48">
        <v>42887.931516203702</v>
      </c>
      <c r="C2" s="49">
        <f>IF(B2=0,0,SUM(B2-A2))</f>
        <v>1.5868055554165039E-2</v>
      </c>
      <c r="D2" s="50">
        <f>SUM(C:C)</f>
        <v>8.0636574071832001E-2</v>
      </c>
      <c r="E2" s="1" t="s">
        <v>92</v>
      </c>
      <c r="F2" s="1" t="s">
        <v>313</v>
      </c>
      <c r="G2" s="1"/>
      <c r="H2" s="1"/>
      <c r="I2" s="1"/>
    </row>
    <row r="3" spans="1:9">
      <c r="A3" s="48">
        <v>42887.916296296295</v>
      </c>
      <c r="B3" s="48">
        <v>42887.944988425923</v>
      </c>
      <c r="C3" s="49">
        <f>IF(B3=0,0,SUM(B3-A3))</f>
        <v>2.8692129628325347E-2</v>
      </c>
      <c r="D3" s="53">
        <f>(D2*24)*D4</f>
        <v>60.961249998304993</v>
      </c>
      <c r="E3" s="1"/>
      <c r="F3" s="1"/>
      <c r="G3" s="1"/>
      <c r="H3" s="1"/>
      <c r="I3" s="1"/>
    </row>
    <row r="4" spans="1:9">
      <c r="A4" s="48">
        <v>42887.918692129628</v>
      </c>
      <c r="B4" s="48">
        <v>42887.945081018515</v>
      </c>
      <c r="C4" s="49">
        <f t="shared" ref="C4:C66" si="0">IF(B4=0,0,SUM(B4-A4))</f>
        <v>2.6388888887595385E-2</v>
      </c>
      <c r="D4" s="52">
        <f>[1]Preço!$I$2</f>
        <v>31.5</v>
      </c>
      <c r="E4" s="1"/>
      <c r="F4" s="1"/>
      <c r="G4" s="1"/>
      <c r="H4" s="1"/>
      <c r="I4" s="1"/>
    </row>
    <row r="5" spans="1:9">
      <c r="A5" s="48">
        <v>42887.937743055554</v>
      </c>
      <c r="B5" s="48">
        <v>42887.947430555556</v>
      </c>
      <c r="C5" s="49">
        <f t="shared" si="0"/>
        <v>9.6875000017462298E-3</v>
      </c>
      <c r="D5" s="1"/>
      <c r="E5" s="1"/>
      <c r="F5" s="1"/>
      <c r="G5" s="1"/>
      <c r="H5" s="1"/>
      <c r="I5" s="1"/>
    </row>
    <row r="6" spans="1:9">
      <c r="A6" s="48">
        <v>42887.938715277778</v>
      </c>
      <c r="B6" s="48"/>
      <c r="C6" s="49">
        <f t="shared" si="0"/>
        <v>0</v>
      </c>
      <c r="D6" s="1"/>
      <c r="E6" s="1"/>
      <c r="F6" s="1"/>
      <c r="G6" s="1"/>
      <c r="H6" s="1"/>
      <c r="I6" s="1"/>
    </row>
    <row r="7" spans="1:9">
      <c r="A7" s="48">
        <v>42887.944976851853</v>
      </c>
      <c r="B7" s="48"/>
      <c r="C7" s="49">
        <f t="shared" si="0"/>
        <v>0</v>
      </c>
      <c r="D7" s="1"/>
      <c r="E7" s="1"/>
      <c r="F7" s="1"/>
      <c r="G7" s="1"/>
      <c r="H7" s="1"/>
      <c r="I7" s="1"/>
    </row>
    <row r="8" spans="1:9">
      <c r="A8" s="48">
        <v>42887.945011574076</v>
      </c>
      <c r="B8" s="48"/>
      <c r="C8" s="49">
        <f t="shared" si="0"/>
        <v>0</v>
      </c>
      <c r="D8" s="1"/>
      <c r="E8" s="1"/>
      <c r="F8" s="1"/>
      <c r="G8" s="1"/>
      <c r="H8" s="1"/>
      <c r="I8" s="1"/>
    </row>
    <row r="9" spans="1:9">
      <c r="A9" s="48">
        <v>42887.947337962964</v>
      </c>
      <c r="B9" s="48"/>
      <c r="C9" s="49">
        <f t="shared" si="0"/>
        <v>0</v>
      </c>
      <c r="D9" s="1"/>
      <c r="E9" s="1"/>
      <c r="F9" s="1"/>
      <c r="G9" s="1"/>
      <c r="H9" s="1"/>
      <c r="I9" s="1"/>
    </row>
    <row r="10" spans="1:9">
      <c r="A10" s="48">
        <v>43172.940787037034</v>
      </c>
      <c r="B10" s="48"/>
      <c r="C10" s="49">
        <f t="shared" si="0"/>
        <v>0</v>
      </c>
      <c r="D10" s="1"/>
      <c r="E10" s="1"/>
      <c r="F10" s="1"/>
      <c r="G10" s="1"/>
      <c r="H10" s="1"/>
      <c r="I10" s="1"/>
    </row>
    <row r="11" spans="1:9">
      <c r="A11" s="48">
        <v>43172.941724537035</v>
      </c>
      <c r="B11" s="48"/>
      <c r="C11" s="49">
        <f t="shared" si="0"/>
        <v>0</v>
      </c>
      <c r="D11" s="1"/>
      <c r="E11" s="1"/>
      <c r="F11" s="1"/>
      <c r="G11" s="1"/>
      <c r="H11" s="1"/>
      <c r="I11" s="1"/>
    </row>
    <row r="12" spans="1:9">
      <c r="A12" s="48">
        <v>43172.945972222224</v>
      </c>
      <c r="B12" s="48"/>
      <c r="C12" s="49">
        <f t="shared" si="0"/>
        <v>0</v>
      </c>
      <c r="D12" s="1"/>
      <c r="E12" s="1"/>
      <c r="F12" s="1"/>
      <c r="G12" s="1"/>
      <c r="H12" s="1"/>
      <c r="I12" s="1"/>
    </row>
    <row r="13" spans="1:9">
      <c r="A13" s="48"/>
      <c r="B13" s="48"/>
      <c r="C13" s="49">
        <f t="shared" si="0"/>
        <v>0</v>
      </c>
      <c r="D13" s="1"/>
      <c r="E13" s="1"/>
      <c r="F13" s="1"/>
      <c r="G13" s="1"/>
      <c r="H13" s="1"/>
      <c r="I13" s="1"/>
    </row>
    <row r="14" spans="1:9">
      <c r="A14" s="48"/>
      <c r="B14" s="48"/>
      <c r="C14" s="49">
        <f t="shared" si="0"/>
        <v>0</v>
      </c>
      <c r="D14" s="1"/>
      <c r="E14" s="1"/>
      <c r="F14" s="1"/>
      <c r="G14" s="1"/>
      <c r="H14" s="1"/>
      <c r="I14" s="1"/>
    </row>
    <row r="15" spans="1:9">
      <c r="A15" s="48"/>
      <c r="B15" s="48"/>
      <c r="C15" s="49">
        <f t="shared" si="0"/>
        <v>0</v>
      </c>
      <c r="D15" s="1"/>
      <c r="E15" s="1"/>
      <c r="F15" s="1"/>
      <c r="G15" s="1"/>
      <c r="H15" s="1"/>
      <c r="I15" s="1"/>
    </row>
    <row r="16" spans="1:9">
      <c r="A16" s="48"/>
      <c r="B16" s="48"/>
      <c r="C16" s="49">
        <f t="shared" si="0"/>
        <v>0</v>
      </c>
      <c r="D16" s="1"/>
      <c r="E16" s="1"/>
      <c r="F16" s="1"/>
      <c r="G16" s="1"/>
      <c r="H16" s="1"/>
      <c r="I16" s="1"/>
    </row>
    <row r="17" spans="1:9">
      <c r="A17" s="48"/>
      <c r="B17" s="48"/>
      <c r="C17" s="49">
        <f t="shared" si="0"/>
        <v>0</v>
      </c>
      <c r="D17" s="1"/>
      <c r="E17" s="1"/>
      <c r="F17" s="1"/>
      <c r="G17" s="1"/>
      <c r="H17" s="1"/>
      <c r="I17" s="1"/>
    </row>
    <row r="18" spans="1:9">
      <c r="A18" s="48"/>
      <c r="B18" s="48"/>
      <c r="C18" s="49">
        <f t="shared" si="0"/>
        <v>0</v>
      </c>
      <c r="D18" s="1"/>
      <c r="E18" s="1"/>
      <c r="F18" s="1"/>
      <c r="G18" s="1"/>
      <c r="H18" s="1"/>
      <c r="I18" s="1"/>
    </row>
    <row r="19" spans="1:9">
      <c r="A19" s="48"/>
      <c r="B19" s="48"/>
      <c r="C19" s="49">
        <f t="shared" si="0"/>
        <v>0</v>
      </c>
      <c r="D19" s="1"/>
      <c r="E19" s="1"/>
      <c r="F19" s="1"/>
      <c r="G19" s="1"/>
      <c r="H19" s="1"/>
      <c r="I19" s="1"/>
    </row>
    <row r="20" spans="1:9">
      <c r="A20" s="48"/>
      <c r="B20" s="48"/>
      <c r="C20" s="49">
        <f t="shared" si="0"/>
        <v>0</v>
      </c>
      <c r="D20" s="1"/>
      <c r="E20" s="1"/>
      <c r="F20" s="1"/>
      <c r="G20" s="1"/>
      <c r="H20" s="1"/>
      <c r="I20" s="1"/>
    </row>
    <row r="21" spans="1:9">
      <c r="A21" s="48"/>
      <c r="B21" s="48"/>
      <c r="C21" s="49">
        <f t="shared" si="0"/>
        <v>0</v>
      </c>
      <c r="D21" s="1"/>
      <c r="E21" s="1"/>
      <c r="F21" s="1"/>
      <c r="G21" s="1"/>
      <c r="H21" s="1"/>
      <c r="I21" s="1"/>
    </row>
    <row r="22" spans="1:9">
      <c r="A22" s="48"/>
      <c r="B22" s="48"/>
      <c r="C22" s="49">
        <f t="shared" si="0"/>
        <v>0</v>
      </c>
      <c r="D22" s="1"/>
      <c r="E22" s="1"/>
      <c r="F22" s="1"/>
      <c r="G22" s="1"/>
      <c r="H22" s="1"/>
      <c r="I22" s="1"/>
    </row>
    <row r="23" spans="1:9">
      <c r="A23" s="48"/>
      <c r="B23" s="48"/>
      <c r="C23" s="49">
        <f t="shared" si="0"/>
        <v>0</v>
      </c>
      <c r="D23" s="1"/>
      <c r="E23" s="1"/>
      <c r="F23" s="1"/>
      <c r="G23" s="1"/>
      <c r="H23" s="1"/>
      <c r="I23" s="1"/>
    </row>
    <row r="24" spans="1:9">
      <c r="A24" s="48"/>
      <c r="B24" s="48"/>
      <c r="C24" s="49">
        <f t="shared" si="0"/>
        <v>0</v>
      </c>
      <c r="D24" s="1"/>
      <c r="E24" s="1"/>
      <c r="F24" s="1"/>
      <c r="G24" s="1"/>
      <c r="H24" s="1"/>
      <c r="I24" s="1"/>
    </row>
    <row r="25" spans="1:9">
      <c r="A25" s="48"/>
      <c r="B25" s="48"/>
      <c r="C25" s="49">
        <f t="shared" si="0"/>
        <v>0</v>
      </c>
      <c r="D25" s="1"/>
      <c r="E25" s="1"/>
      <c r="F25" s="1"/>
      <c r="G25" s="1"/>
      <c r="H25" s="1"/>
      <c r="I25" s="1"/>
    </row>
    <row r="26" spans="1:9">
      <c r="A26" s="48"/>
      <c r="B26" s="48"/>
      <c r="C26" s="49">
        <f t="shared" si="0"/>
        <v>0</v>
      </c>
      <c r="D26" s="1"/>
      <c r="E26" s="1"/>
      <c r="F26" s="1"/>
      <c r="G26" s="1"/>
      <c r="H26" s="1"/>
      <c r="I26" s="1"/>
    </row>
    <row r="27" spans="1:9">
      <c r="A27" s="48"/>
      <c r="B27" s="48"/>
      <c r="C27" s="49">
        <f t="shared" si="0"/>
        <v>0</v>
      </c>
      <c r="D27" s="1"/>
      <c r="E27" s="1"/>
      <c r="F27" s="1"/>
      <c r="G27" s="1"/>
      <c r="H27" s="1"/>
      <c r="I27" s="1"/>
    </row>
    <row r="28" spans="1:9">
      <c r="A28" s="48"/>
      <c r="B28" s="48"/>
      <c r="C28" s="49">
        <f t="shared" si="0"/>
        <v>0</v>
      </c>
      <c r="D28" s="1"/>
      <c r="E28" s="1"/>
      <c r="F28" s="1"/>
      <c r="G28" s="1"/>
      <c r="H28" s="1"/>
      <c r="I28" s="1"/>
    </row>
    <row r="29" spans="1:9">
      <c r="A29" s="48"/>
      <c r="B29" s="48"/>
      <c r="C29" s="49">
        <f t="shared" si="0"/>
        <v>0</v>
      </c>
      <c r="D29" s="1"/>
      <c r="E29" s="1"/>
      <c r="F29" s="1"/>
      <c r="G29" s="1"/>
      <c r="H29" s="1"/>
      <c r="I29" s="1"/>
    </row>
    <row r="30" spans="1:9">
      <c r="A30" s="48"/>
      <c r="B30" s="48"/>
      <c r="C30" s="49">
        <f t="shared" si="0"/>
        <v>0</v>
      </c>
      <c r="D30" s="1"/>
      <c r="E30" s="1"/>
      <c r="F30" s="1"/>
      <c r="G30" s="1"/>
      <c r="H30" s="1"/>
      <c r="I30" s="1"/>
    </row>
    <row r="31" spans="1:9">
      <c r="A31" s="48"/>
      <c r="B31" s="48"/>
      <c r="C31" s="49">
        <f t="shared" si="0"/>
        <v>0</v>
      </c>
      <c r="D31" s="1"/>
      <c r="E31" s="1"/>
      <c r="F31" s="1"/>
      <c r="G31" s="1"/>
      <c r="H31" s="1"/>
      <c r="I31" s="1"/>
    </row>
    <row r="32" spans="1:9">
      <c r="A32" s="48"/>
      <c r="B32" s="48"/>
      <c r="C32" s="49">
        <f t="shared" si="0"/>
        <v>0</v>
      </c>
      <c r="D32" s="1"/>
      <c r="E32" s="1"/>
      <c r="F32" s="1"/>
      <c r="G32" s="1"/>
      <c r="H32" s="1"/>
      <c r="I32" s="1"/>
    </row>
    <row r="33" spans="1:9">
      <c r="A33" s="48"/>
      <c r="B33" s="48"/>
      <c r="C33" s="49">
        <f t="shared" si="0"/>
        <v>0</v>
      </c>
      <c r="D33" s="1"/>
      <c r="E33" s="1"/>
      <c r="F33" s="1"/>
      <c r="G33" s="1"/>
      <c r="H33" s="1"/>
      <c r="I33" s="1"/>
    </row>
    <row r="34" spans="1:9">
      <c r="A34" s="48"/>
      <c r="B34" s="48"/>
      <c r="C34" s="49">
        <f t="shared" si="0"/>
        <v>0</v>
      </c>
      <c r="D34" s="1"/>
      <c r="E34" s="1"/>
      <c r="F34" s="1"/>
      <c r="G34" s="1"/>
      <c r="H34" s="1"/>
      <c r="I34" s="1"/>
    </row>
    <row r="35" spans="1:9">
      <c r="A35" s="48"/>
      <c r="B35" s="48"/>
      <c r="C35" s="49">
        <f t="shared" si="0"/>
        <v>0</v>
      </c>
      <c r="D35" s="1"/>
      <c r="E35" s="1"/>
      <c r="F35" s="1"/>
      <c r="G35" s="1"/>
      <c r="H35" s="1"/>
      <c r="I35" s="1"/>
    </row>
    <row r="36" spans="1:9">
      <c r="A36" s="48"/>
      <c r="B36" s="48"/>
      <c r="C36" s="49">
        <f t="shared" si="0"/>
        <v>0</v>
      </c>
      <c r="D36" s="1"/>
      <c r="E36" s="1"/>
      <c r="F36" s="1"/>
      <c r="G36" s="1"/>
      <c r="H36" s="1"/>
      <c r="I36" s="1"/>
    </row>
    <row r="37" spans="1:9">
      <c r="A37" s="48"/>
      <c r="B37" s="48"/>
      <c r="C37" s="49">
        <f t="shared" si="0"/>
        <v>0</v>
      </c>
      <c r="D37" s="1"/>
      <c r="E37" s="1"/>
      <c r="F37" s="1"/>
      <c r="G37" s="1"/>
      <c r="H37" s="1"/>
      <c r="I37" s="1"/>
    </row>
    <row r="38" spans="1:9">
      <c r="A38" s="48"/>
      <c r="B38" s="48"/>
      <c r="C38" s="49">
        <f t="shared" si="0"/>
        <v>0</v>
      </c>
      <c r="D38" s="1"/>
      <c r="E38" s="1"/>
      <c r="F38" s="1"/>
      <c r="G38" s="1"/>
      <c r="H38" s="1"/>
      <c r="I38" s="1"/>
    </row>
    <row r="39" spans="1:9">
      <c r="A39" s="48"/>
      <c r="B39" s="48"/>
      <c r="C39" s="49">
        <f t="shared" si="0"/>
        <v>0</v>
      </c>
      <c r="D39" s="1"/>
      <c r="E39" s="1"/>
      <c r="F39" s="1"/>
      <c r="G39" s="1"/>
      <c r="H39" s="1"/>
      <c r="I39" s="1"/>
    </row>
    <row r="40" spans="1:9">
      <c r="A40" s="48"/>
      <c r="B40" s="1"/>
      <c r="C40" s="49">
        <f t="shared" si="0"/>
        <v>0</v>
      </c>
      <c r="D40" s="1"/>
      <c r="E40" s="1"/>
      <c r="F40" s="1"/>
      <c r="G40" s="1"/>
      <c r="H40" s="1"/>
      <c r="I40" s="1"/>
    </row>
    <row r="41" spans="1:9">
      <c r="A41" s="1"/>
      <c r="B41" s="1"/>
      <c r="C41" s="49">
        <f t="shared" si="0"/>
        <v>0</v>
      </c>
      <c r="D41" s="1"/>
      <c r="E41" s="1"/>
      <c r="F41" s="1"/>
      <c r="G41" s="1"/>
      <c r="H41" s="1"/>
      <c r="I41" s="1"/>
    </row>
    <row r="42" spans="1:9">
      <c r="A42" s="1"/>
      <c r="B42" s="1"/>
      <c r="C42" s="49">
        <f t="shared" si="0"/>
        <v>0</v>
      </c>
      <c r="D42" s="1"/>
      <c r="E42" s="1"/>
      <c r="F42" s="1"/>
      <c r="G42" s="1"/>
      <c r="H42" s="1"/>
      <c r="I42" s="1"/>
    </row>
    <row r="43" spans="1:9">
      <c r="A43" s="1"/>
      <c r="B43" s="1"/>
      <c r="C43" s="49">
        <f t="shared" si="0"/>
        <v>0</v>
      </c>
      <c r="D43" s="1"/>
      <c r="E43" s="1"/>
      <c r="F43" s="1"/>
      <c r="G43" s="1"/>
      <c r="H43" s="1"/>
      <c r="I43" s="1"/>
    </row>
    <row r="44" spans="1:9">
      <c r="A44" s="1"/>
      <c r="B44" s="1"/>
      <c r="C44" s="49">
        <f t="shared" si="0"/>
        <v>0</v>
      </c>
      <c r="D44" s="1"/>
      <c r="E44" s="1"/>
      <c r="F44" s="1"/>
      <c r="G44" s="1"/>
      <c r="H44" s="1"/>
      <c r="I44" s="1"/>
    </row>
    <row r="45" spans="1:9">
      <c r="A45" s="1"/>
      <c r="B45" s="1"/>
      <c r="C45" s="49">
        <f t="shared" si="0"/>
        <v>0</v>
      </c>
      <c r="D45" s="1"/>
      <c r="E45" s="1"/>
      <c r="F45" s="1"/>
      <c r="G45" s="1"/>
      <c r="H45" s="1"/>
      <c r="I45" s="1"/>
    </row>
    <row r="46" spans="1:9">
      <c r="A46" s="1"/>
      <c r="B46" s="1"/>
      <c r="C46" s="49">
        <f t="shared" si="0"/>
        <v>0</v>
      </c>
      <c r="D46" s="1"/>
      <c r="E46" s="1"/>
      <c r="F46" s="1"/>
      <c r="G46" s="1"/>
      <c r="H46" s="1"/>
      <c r="I46" s="1"/>
    </row>
    <row r="47" spans="1:9">
      <c r="C47" s="45">
        <f t="shared" si="0"/>
        <v>0</v>
      </c>
    </row>
    <row r="48" spans="1:9">
      <c r="C48" s="45">
        <f t="shared" si="0"/>
        <v>0</v>
      </c>
    </row>
    <row r="49" spans="3:3">
      <c r="C49" s="45">
        <f t="shared" si="0"/>
        <v>0</v>
      </c>
    </row>
    <row r="50" spans="3:3">
      <c r="C50" s="45">
        <f t="shared" si="0"/>
        <v>0</v>
      </c>
    </row>
    <row r="51" spans="3:3">
      <c r="C51" s="45">
        <f t="shared" si="0"/>
        <v>0</v>
      </c>
    </row>
    <row r="52" spans="3:3">
      <c r="C52" s="45">
        <f t="shared" si="0"/>
        <v>0</v>
      </c>
    </row>
    <row r="53" spans="3:3">
      <c r="C53" s="45">
        <f t="shared" si="0"/>
        <v>0</v>
      </c>
    </row>
    <row r="54" spans="3:3">
      <c r="C54" s="45">
        <f t="shared" si="0"/>
        <v>0</v>
      </c>
    </row>
    <row r="55" spans="3:3">
      <c r="C55" s="45">
        <f t="shared" si="0"/>
        <v>0</v>
      </c>
    </row>
    <row r="56" spans="3:3">
      <c r="C56" s="45">
        <f t="shared" si="0"/>
        <v>0</v>
      </c>
    </row>
    <row r="57" spans="3:3">
      <c r="C57" s="45">
        <f t="shared" si="0"/>
        <v>0</v>
      </c>
    </row>
    <row r="58" spans="3:3">
      <c r="C58" s="45">
        <f t="shared" si="0"/>
        <v>0</v>
      </c>
    </row>
    <row r="59" spans="3:3">
      <c r="C59" s="45">
        <f t="shared" si="0"/>
        <v>0</v>
      </c>
    </row>
    <row r="60" spans="3:3">
      <c r="C60" s="45">
        <f t="shared" si="0"/>
        <v>0</v>
      </c>
    </row>
    <row r="61" spans="3:3">
      <c r="C61" s="45">
        <f t="shared" si="0"/>
        <v>0</v>
      </c>
    </row>
    <row r="62" spans="3:3">
      <c r="C62" s="45">
        <f t="shared" si="0"/>
        <v>0</v>
      </c>
    </row>
    <row r="63" spans="3:3">
      <c r="C63" s="45">
        <f t="shared" si="0"/>
        <v>0</v>
      </c>
    </row>
    <row r="64" spans="3:3">
      <c r="C64" s="45">
        <f t="shared" si="0"/>
        <v>0</v>
      </c>
    </row>
    <row r="65" spans="3:3">
      <c r="C65" s="45">
        <f t="shared" si="0"/>
        <v>0</v>
      </c>
    </row>
    <row r="66" spans="3:3">
      <c r="C66" s="45">
        <f t="shared" si="0"/>
        <v>0</v>
      </c>
    </row>
    <row r="67" spans="3:3">
      <c r="C67" s="45">
        <f t="shared" ref="C67:C130" si="1">IF(B67=0,0,SUM(B67-A67))</f>
        <v>0</v>
      </c>
    </row>
    <row r="68" spans="3:3">
      <c r="C68" s="45">
        <f t="shared" si="1"/>
        <v>0</v>
      </c>
    </row>
    <row r="69" spans="3:3">
      <c r="C69" s="45">
        <f t="shared" si="1"/>
        <v>0</v>
      </c>
    </row>
    <row r="70" spans="3:3">
      <c r="C70" s="45">
        <f t="shared" si="1"/>
        <v>0</v>
      </c>
    </row>
    <row r="71" spans="3:3">
      <c r="C71" s="45">
        <f t="shared" si="1"/>
        <v>0</v>
      </c>
    </row>
    <row r="72" spans="3:3">
      <c r="C72" s="45">
        <f t="shared" si="1"/>
        <v>0</v>
      </c>
    </row>
    <row r="73" spans="3:3">
      <c r="C73" s="45">
        <f t="shared" si="1"/>
        <v>0</v>
      </c>
    </row>
    <row r="74" spans="3:3">
      <c r="C74" s="45">
        <f t="shared" si="1"/>
        <v>0</v>
      </c>
    </row>
    <row r="75" spans="3:3">
      <c r="C75" s="45">
        <f t="shared" si="1"/>
        <v>0</v>
      </c>
    </row>
    <row r="76" spans="3:3">
      <c r="C76" s="45">
        <f t="shared" si="1"/>
        <v>0</v>
      </c>
    </row>
    <row r="77" spans="3:3">
      <c r="C77" s="45">
        <f t="shared" si="1"/>
        <v>0</v>
      </c>
    </row>
    <row r="78" spans="3:3">
      <c r="C78" s="45">
        <f t="shared" si="1"/>
        <v>0</v>
      </c>
    </row>
    <row r="79" spans="3:3">
      <c r="C79" s="45">
        <f t="shared" si="1"/>
        <v>0</v>
      </c>
    </row>
    <row r="80" spans="3:3">
      <c r="C80" s="45">
        <f t="shared" si="1"/>
        <v>0</v>
      </c>
    </row>
    <row r="81" spans="3:3">
      <c r="C81" s="45">
        <f t="shared" si="1"/>
        <v>0</v>
      </c>
    </row>
    <row r="82" spans="3:3">
      <c r="C82" s="45">
        <f t="shared" si="1"/>
        <v>0</v>
      </c>
    </row>
    <row r="83" spans="3:3">
      <c r="C83" s="45">
        <f t="shared" si="1"/>
        <v>0</v>
      </c>
    </row>
    <row r="84" spans="3:3">
      <c r="C84" s="45">
        <f t="shared" si="1"/>
        <v>0</v>
      </c>
    </row>
    <row r="85" spans="3:3">
      <c r="C85" s="45">
        <f t="shared" si="1"/>
        <v>0</v>
      </c>
    </row>
    <row r="86" spans="3:3">
      <c r="C86" s="45">
        <f t="shared" si="1"/>
        <v>0</v>
      </c>
    </row>
    <row r="87" spans="3:3">
      <c r="C87" s="45">
        <f t="shared" si="1"/>
        <v>0</v>
      </c>
    </row>
    <row r="88" spans="3:3">
      <c r="C88" s="45">
        <f t="shared" si="1"/>
        <v>0</v>
      </c>
    </row>
    <row r="89" spans="3:3">
      <c r="C89" s="45">
        <f t="shared" si="1"/>
        <v>0</v>
      </c>
    </row>
    <row r="90" spans="3:3">
      <c r="C90" s="45">
        <f t="shared" si="1"/>
        <v>0</v>
      </c>
    </row>
    <row r="91" spans="3:3">
      <c r="C91" s="45">
        <f t="shared" si="1"/>
        <v>0</v>
      </c>
    </row>
    <row r="92" spans="3:3">
      <c r="C92" s="45">
        <f t="shared" si="1"/>
        <v>0</v>
      </c>
    </row>
    <row r="93" spans="3:3">
      <c r="C93" s="45">
        <f t="shared" si="1"/>
        <v>0</v>
      </c>
    </row>
    <row r="94" spans="3:3">
      <c r="C94" s="45">
        <f t="shared" si="1"/>
        <v>0</v>
      </c>
    </row>
    <row r="95" spans="3:3">
      <c r="C95" s="45">
        <f t="shared" si="1"/>
        <v>0</v>
      </c>
    </row>
    <row r="96" spans="3:3">
      <c r="C96" s="45">
        <f t="shared" si="1"/>
        <v>0</v>
      </c>
    </row>
    <row r="97" spans="3:3">
      <c r="C97" s="45">
        <f t="shared" si="1"/>
        <v>0</v>
      </c>
    </row>
    <row r="98" spans="3:3">
      <c r="C98" s="45">
        <f t="shared" si="1"/>
        <v>0</v>
      </c>
    </row>
    <row r="99" spans="3:3">
      <c r="C99" s="45">
        <f t="shared" si="1"/>
        <v>0</v>
      </c>
    </row>
    <row r="100" spans="3:3">
      <c r="C100" s="45">
        <f t="shared" si="1"/>
        <v>0</v>
      </c>
    </row>
    <row r="101" spans="3:3">
      <c r="C101" s="45">
        <f t="shared" si="1"/>
        <v>0</v>
      </c>
    </row>
    <row r="102" spans="3:3">
      <c r="C102" s="45">
        <f t="shared" si="1"/>
        <v>0</v>
      </c>
    </row>
    <row r="103" spans="3:3">
      <c r="C103" s="45">
        <f t="shared" si="1"/>
        <v>0</v>
      </c>
    </row>
    <row r="104" spans="3:3">
      <c r="C104" s="45">
        <f t="shared" si="1"/>
        <v>0</v>
      </c>
    </row>
    <row r="105" spans="3:3">
      <c r="C105" s="45">
        <f t="shared" si="1"/>
        <v>0</v>
      </c>
    </row>
    <row r="106" spans="3:3">
      <c r="C106" s="45">
        <f t="shared" si="1"/>
        <v>0</v>
      </c>
    </row>
    <row r="107" spans="3:3">
      <c r="C107" s="45">
        <f t="shared" si="1"/>
        <v>0</v>
      </c>
    </row>
    <row r="108" spans="3:3">
      <c r="C108" s="45">
        <f t="shared" si="1"/>
        <v>0</v>
      </c>
    </row>
    <row r="109" spans="3:3">
      <c r="C109" s="45">
        <f t="shared" si="1"/>
        <v>0</v>
      </c>
    </row>
    <row r="110" spans="3:3">
      <c r="C110" s="45">
        <f t="shared" si="1"/>
        <v>0</v>
      </c>
    </row>
    <row r="111" spans="3:3">
      <c r="C111" s="45">
        <f t="shared" si="1"/>
        <v>0</v>
      </c>
    </row>
    <row r="112" spans="3:3">
      <c r="C112" s="45">
        <f t="shared" si="1"/>
        <v>0</v>
      </c>
    </row>
    <row r="113" spans="3:3">
      <c r="C113" s="45">
        <f t="shared" si="1"/>
        <v>0</v>
      </c>
    </row>
    <row r="114" spans="3:3">
      <c r="C114" s="45">
        <f t="shared" si="1"/>
        <v>0</v>
      </c>
    </row>
    <row r="115" spans="3:3">
      <c r="C115" s="45">
        <f t="shared" si="1"/>
        <v>0</v>
      </c>
    </row>
    <row r="116" spans="3:3">
      <c r="C116" s="45">
        <f t="shared" si="1"/>
        <v>0</v>
      </c>
    </row>
    <row r="117" spans="3:3">
      <c r="C117" s="45">
        <f t="shared" si="1"/>
        <v>0</v>
      </c>
    </row>
    <row r="118" spans="3:3">
      <c r="C118" s="45">
        <f t="shared" si="1"/>
        <v>0</v>
      </c>
    </row>
    <row r="119" spans="3:3">
      <c r="C119" s="45">
        <f t="shared" si="1"/>
        <v>0</v>
      </c>
    </row>
    <row r="120" spans="3:3">
      <c r="C120" s="45">
        <f t="shared" si="1"/>
        <v>0</v>
      </c>
    </row>
    <row r="121" spans="3:3">
      <c r="C121" s="45">
        <f t="shared" si="1"/>
        <v>0</v>
      </c>
    </row>
    <row r="122" spans="3:3">
      <c r="C122" s="45">
        <f t="shared" si="1"/>
        <v>0</v>
      </c>
    </row>
    <row r="123" spans="3:3">
      <c r="C123" s="45">
        <f t="shared" si="1"/>
        <v>0</v>
      </c>
    </row>
    <row r="124" spans="3:3">
      <c r="C124" s="45">
        <f t="shared" si="1"/>
        <v>0</v>
      </c>
    </row>
    <row r="125" spans="3:3">
      <c r="C125" s="45">
        <f t="shared" si="1"/>
        <v>0</v>
      </c>
    </row>
    <row r="126" spans="3:3">
      <c r="C126" s="45">
        <f t="shared" si="1"/>
        <v>0</v>
      </c>
    </row>
    <row r="127" spans="3:3">
      <c r="C127" s="45">
        <f t="shared" si="1"/>
        <v>0</v>
      </c>
    </row>
    <row r="128" spans="3:3">
      <c r="C128" s="45">
        <f t="shared" si="1"/>
        <v>0</v>
      </c>
    </row>
    <row r="129" spans="3:3">
      <c r="C129" s="45">
        <f t="shared" si="1"/>
        <v>0</v>
      </c>
    </row>
    <row r="130" spans="3:3">
      <c r="C130" s="45">
        <f t="shared" si="1"/>
        <v>0</v>
      </c>
    </row>
    <row r="131" spans="3:3">
      <c r="C131" s="45">
        <f t="shared" ref="C131:C194" si="2">IF(B131=0,0,SUM(B131-A131))</f>
        <v>0</v>
      </c>
    </row>
    <row r="132" spans="3:3">
      <c r="C132" s="45">
        <f t="shared" si="2"/>
        <v>0</v>
      </c>
    </row>
    <row r="133" spans="3:3">
      <c r="C133" s="45">
        <f t="shared" si="2"/>
        <v>0</v>
      </c>
    </row>
    <row r="134" spans="3:3">
      <c r="C134" s="45">
        <f t="shared" si="2"/>
        <v>0</v>
      </c>
    </row>
    <row r="135" spans="3:3">
      <c r="C135" s="45">
        <f t="shared" si="2"/>
        <v>0</v>
      </c>
    </row>
    <row r="136" spans="3:3">
      <c r="C136" s="45">
        <f t="shared" si="2"/>
        <v>0</v>
      </c>
    </row>
    <row r="137" spans="3:3">
      <c r="C137" s="45">
        <f t="shared" si="2"/>
        <v>0</v>
      </c>
    </row>
    <row r="138" spans="3:3">
      <c r="C138" s="45">
        <f t="shared" si="2"/>
        <v>0</v>
      </c>
    </row>
    <row r="139" spans="3:3">
      <c r="C139" s="45">
        <f t="shared" si="2"/>
        <v>0</v>
      </c>
    </row>
    <row r="140" spans="3:3">
      <c r="C140" s="45">
        <f t="shared" si="2"/>
        <v>0</v>
      </c>
    </row>
    <row r="141" spans="3:3">
      <c r="C141" s="45">
        <f t="shared" si="2"/>
        <v>0</v>
      </c>
    </row>
    <row r="142" spans="3:3">
      <c r="C142" s="45">
        <f t="shared" si="2"/>
        <v>0</v>
      </c>
    </row>
    <row r="143" spans="3:3">
      <c r="C143" s="45">
        <f t="shared" si="2"/>
        <v>0</v>
      </c>
    </row>
    <row r="144" spans="3:3">
      <c r="C144" s="45">
        <f t="shared" si="2"/>
        <v>0</v>
      </c>
    </row>
    <row r="145" spans="3:3">
      <c r="C145" s="45">
        <f t="shared" si="2"/>
        <v>0</v>
      </c>
    </row>
    <row r="146" spans="3:3">
      <c r="C146" s="45">
        <f t="shared" si="2"/>
        <v>0</v>
      </c>
    </row>
    <row r="147" spans="3:3">
      <c r="C147" s="45">
        <f t="shared" si="2"/>
        <v>0</v>
      </c>
    </row>
    <row r="148" spans="3:3">
      <c r="C148" s="45">
        <f t="shared" si="2"/>
        <v>0</v>
      </c>
    </row>
    <row r="149" spans="3:3">
      <c r="C149" s="45">
        <f t="shared" si="2"/>
        <v>0</v>
      </c>
    </row>
    <row r="150" spans="3:3">
      <c r="C150" s="45">
        <f t="shared" si="2"/>
        <v>0</v>
      </c>
    </row>
    <row r="151" spans="3:3">
      <c r="C151" s="45">
        <f t="shared" si="2"/>
        <v>0</v>
      </c>
    </row>
    <row r="152" spans="3:3">
      <c r="C152" s="45">
        <f t="shared" si="2"/>
        <v>0</v>
      </c>
    </row>
    <row r="153" spans="3:3">
      <c r="C153" s="45">
        <f t="shared" si="2"/>
        <v>0</v>
      </c>
    </row>
    <row r="154" spans="3:3">
      <c r="C154" s="45">
        <f t="shared" si="2"/>
        <v>0</v>
      </c>
    </row>
    <row r="155" spans="3:3">
      <c r="C155" s="45">
        <f t="shared" si="2"/>
        <v>0</v>
      </c>
    </row>
    <row r="156" spans="3:3">
      <c r="C156" s="45">
        <f t="shared" si="2"/>
        <v>0</v>
      </c>
    </row>
    <row r="157" spans="3:3">
      <c r="C157" s="45">
        <f t="shared" si="2"/>
        <v>0</v>
      </c>
    </row>
    <row r="158" spans="3:3">
      <c r="C158" s="45">
        <f t="shared" si="2"/>
        <v>0</v>
      </c>
    </row>
    <row r="159" spans="3:3">
      <c r="C159" s="45">
        <f t="shared" si="2"/>
        <v>0</v>
      </c>
    </row>
    <row r="160" spans="3:3">
      <c r="C160" s="45">
        <f t="shared" si="2"/>
        <v>0</v>
      </c>
    </row>
    <row r="161" spans="3:3">
      <c r="C161" s="45">
        <f t="shared" si="2"/>
        <v>0</v>
      </c>
    </row>
    <row r="162" spans="3:3">
      <c r="C162" s="45">
        <f t="shared" si="2"/>
        <v>0</v>
      </c>
    </row>
    <row r="163" spans="3:3">
      <c r="C163" s="45">
        <f t="shared" si="2"/>
        <v>0</v>
      </c>
    </row>
    <row r="164" spans="3:3">
      <c r="C164" s="45">
        <f t="shared" si="2"/>
        <v>0</v>
      </c>
    </row>
    <row r="165" spans="3:3">
      <c r="C165" s="45">
        <f t="shared" si="2"/>
        <v>0</v>
      </c>
    </row>
    <row r="166" spans="3:3">
      <c r="C166" s="45">
        <f t="shared" si="2"/>
        <v>0</v>
      </c>
    </row>
    <row r="167" spans="3:3">
      <c r="C167" s="45">
        <f t="shared" si="2"/>
        <v>0</v>
      </c>
    </row>
    <row r="168" spans="3:3">
      <c r="C168" s="45">
        <f t="shared" si="2"/>
        <v>0</v>
      </c>
    </row>
    <row r="169" spans="3:3">
      <c r="C169" s="45">
        <f t="shared" si="2"/>
        <v>0</v>
      </c>
    </row>
    <row r="170" spans="3:3">
      <c r="C170" s="45">
        <f t="shared" si="2"/>
        <v>0</v>
      </c>
    </row>
    <row r="171" spans="3:3">
      <c r="C171" s="45">
        <f t="shared" si="2"/>
        <v>0</v>
      </c>
    </row>
    <row r="172" spans="3:3">
      <c r="C172" s="45">
        <f t="shared" si="2"/>
        <v>0</v>
      </c>
    </row>
    <row r="173" spans="3:3">
      <c r="C173" s="45">
        <f t="shared" si="2"/>
        <v>0</v>
      </c>
    </row>
    <row r="174" spans="3:3">
      <c r="C174" s="45">
        <f t="shared" si="2"/>
        <v>0</v>
      </c>
    </row>
    <row r="175" spans="3:3">
      <c r="C175" s="45">
        <f t="shared" si="2"/>
        <v>0</v>
      </c>
    </row>
    <row r="176" spans="3:3">
      <c r="C176" s="45">
        <f t="shared" si="2"/>
        <v>0</v>
      </c>
    </row>
    <row r="177" spans="3:3">
      <c r="C177" s="45">
        <f t="shared" si="2"/>
        <v>0</v>
      </c>
    </row>
    <row r="178" spans="3:3">
      <c r="C178" s="45">
        <f t="shared" si="2"/>
        <v>0</v>
      </c>
    </row>
    <row r="179" spans="3:3">
      <c r="C179" s="45">
        <f t="shared" si="2"/>
        <v>0</v>
      </c>
    </row>
    <row r="180" spans="3:3">
      <c r="C180" s="45">
        <f t="shared" si="2"/>
        <v>0</v>
      </c>
    </row>
    <row r="181" spans="3:3">
      <c r="C181" s="45">
        <f t="shared" si="2"/>
        <v>0</v>
      </c>
    </row>
    <row r="182" spans="3:3">
      <c r="C182" s="45">
        <f t="shared" si="2"/>
        <v>0</v>
      </c>
    </row>
    <row r="183" spans="3:3">
      <c r="C183" s="45">
        <f t="shared" si="2"/>
        <v>0</v>
      </c>
    </row>
    <row r="184" spans="3:3">
      <c r="C184" s="45">
        <f t="shared" si="2"/>
        <v>0</v>
      </c>
    </row>
    <row r="185" spans="3:3">
      <c r="C185" s="45">
        <f t="shared" si="2"/>
        <v>0</v>
      </c>
    </row>
    <row r="186" spans="3:3">
      <c r="C186" s="45">
        <f t="shared" si="2"/>
        <v>0</v>
      </c>
    </row>
    <row r="187" spans="3:3">
      <c r="C187" s="45">
        <f t="shared" si="2"/>
        <v>0</v>
      </c>
    </row>
    <row r="188" spans="3:3">
      <c r="C188" s="45">
        <f t="shared" si="2"/>
        <v>0</v>
      </c>
    </row>
    <row r="189" spans="3:3">
      <c r="C189" s="45">
        <f t="shared" si="2"/>
        <v>0</v>
      </c>
    </row>
    <row r="190" spans="3:3">
      <c r="C190" s="45">
        <f t="shared" si="2"/>
        <v>0</v>
      </c>
    </row>
    <row r="191" spans="3:3">
      <c r="C191" s="45">
        <f t="shared" si="2"/>
        <v>0</v>
      </c>
    </row>
    <row r="192" spans="3:3">
      <c r="C192" s="45">
        <f t="shared" si="2"/>
        <v>0</v>
      </c>
    </row>
    <row r="193" spans="3:3">
      <c r="C193" s="45">
        <f t="shared" si="2"/>
        <v>0</v>
      </c>
    </row>
    <row r="194" spans="3:3">
      <c r="C194" s="45">
        <f t="shared" si="2"/>
        <v>0</v>
      </c>
    </row>
    <row r="195" spans="3:3">
      <c r="C195" s="45">
        <f t="shared" ref="C195:C258" si="3">IF(B195=0,0,SUM(B195-A195))</f>
        <v>0</v>
      </c>
    </row>
    <row r="196" spans="3:3">
      <c r="C196" s="45">
        <f t="shared" si="3"/>
        <v>0</v>
      </c>
    </row>
    <row r="197" spans="3:3">
      <c r="C197" s="45">
        <f t="shared" si="3"/>
        <v>0</v>
      </c>
    </row>
    <row r="198" spans="3:3">
      <c r="C198" s="45">
        <f t="shared" si="3"/>
        <v>0</v>
      </c>
    </row>
    <row r="199" spans="3:3">
      <c r="C199" s="45">
        <f t="shared" si="3"/>
        <v>0</v>
      </c>
    </row>
    <row r="200" spans="3:3">
      <c r="C200" s="45">
        <f t="shared" si="3"/>
        <v>0</v>
      </c>
    </row>
    <row r="201" spans="3:3">
      <c r="C201" s="45">
        <f t="shared" si="3"/>
        <v>0</v>
      </c>
    </row>
    <row r="202" spans="3:3">
      <c r="C202" s="45">
        <f t="shared" si="3"/>
        <v>0</v>
      </c>
    </row>
    <row r="203" spans="3:3">
      <c r="C203" s="45">
        <f t="shared" si="3"/>
        <v>0</v>
      </c>
    </row>
    <row r="204" spans="3:3">
      <c r="C204" s="45">
        <f t="shared" si="3"/>
        <v>0</v>
      </c>
    </row>
    <row r="205" spans="3:3">
      <c r="C205" s="45">
        <f t="shared" si="3"/>
        <v>0</v>
      </c>
    </row>
    <row r="206" spans="3:3">
      <c r="C206" s="45">
        <f t="shared" si="3"/>
        <v>0</v>
      </c>
    </row>
    <row r="207" spans="3:3">
      <c r="C207" s="45">
        <f t="shared" si="3"/>
        <v>0</v>
      </c>
    </row>
    <row r="208" spans="3:3">
      <c r="C208" s="45">
        <f t="shared" si="3"/>
        <v>0</v>
      </c>
    </row>
    <row r="209" spans="3:3">
      <c r="C209" s="45">
        <f t="shared" si="3"/>
        <v>0</v>
      </c>
    </row>
    <row r="210" spans="3:3">
      <c r="C210" s="45">
        <f t="shared" si="3"/>
        <v>0</v>
      </c>
    </row>
    <row r="211" spans="3:3">
      <c r="C211" s="45">
        <f t="shared" si="3"/>
        <v>0</v>
      </c>
    </row>
    <row r="212" spans="3:3">
      <c r="C212" s="45">
        <f t="shared" si="3"/>
        <v>0</v>
      </c>
    </row>
    <row r="213" spans="3:3">
      <c r="C213" s="45">
        <f t="shared" si="3"/>
        <v>0</v>
      </c>
    </row>
    <row r="214" spans="3:3">
      <c r="C214" s="45">
        <f t="shared" si="3"/>
        <v>0</v>
      </c>
    </row>
    <row r="215" spans="3:3">
      <c r="C215" s="45">
        <f t="shared" si="3"/>
        <v>0</v>
      </c>
    </row>
    <row r="216" spans="3:3">
      <c r="C216" s="45">
        <f t="shared" si="3"/>
        <v>0</v>
      </c>
    </row>
    <row r="217" spans="3:3">
      <c r="C217" s="45">
        <f t="shared" si="3"/>
        <v>0</v>
      </c>
    </row>
    <row r="218" spans="3:3">
      <c r="C218" s="45">
        <f t="shared" si="3"/>
        <v>0</v>
      </c>
    </row>
    <row r="219" spans="3:3">
      <c r="C219" s="45">
        <f t="shared" si="3"/>
        <v>0</v>
      </c>
    </row>
    <row r="220" spans="3:3">
      <c r="C220" s="45">
        <f t="shared" si="3"/>
        <v>0</v>
      </c>
    </row>
    <row r="221" spans="3:3">
      <c r="C221" s="45">
        <f t="shared" si="3"/>
        <v>0</v>
      </c>
    </row>
    <row r="222" spans="3:3">
      <c r="C222" s="45">
        <f t="shared" si="3"/>
        <v>0</v>
      </c>
    </row>
    <row r="223" spans="3:3">
      <c r="C223" s="45">
        <f t="shared" si="3"/>
        <v>0</v>
      </c>
    </row>
    <row r="224" spans="3:3">
      <c r="C224" s="45">
        <f t="shared" si="3"/>
        <v>0</v>
      </c>
    </row>
    <row r="225" spans="3:3">
      <c r="C225" s="45">
        <f t="shared" si="3"/>
        <v>0</v>
      </c>
    </row>
    <row r="226" spans="3:3">
      <c r="C226" s="45">
        <f t="shared" si="3"/>
        <v>0</v>
      </c>
    </row>
    <row r="227" spans="3:3">
      <c r="C227" s="45">
        <f t="shared" si="3"/>
        <v>0</v>
      </c>
    </row>
    <row r="228" spans="3:3">
      <c r="C228" s="45">
        <f t="shared" si="3"/>
        <v>0</v>
      </c>
    </row>
    <row r="229" spans="3:3">
      <c r="C229" s="45">
        <f t="shared" si="3"/>
        <v>0</v>
      </c>
    </row>
    <row r="230" spans="3:3">
      <c r="C230" s="45">
        <f t="shared" si="3"/>
        <v>0</v>
      </c>
    </row>
    <row r="231" spans="3:3">
      <c r="C231" s="45">
        <f t="shared" si="3"/>
        <v>0</v>
      </c>
    </row>
    <row r="232" spans="3:3">
      <c r="C232" s="45">
        <f t="shared" si="3"/>
        <v>0</v>
      </c>
    </row>
    <row r="233" spans="3:3">
      <c r="C233" s="45">
        <f t="shared" si="3"/>
        <v>0</v>
      </c>
    </row>
    <row r="234" spans="3:3">
      <c r="C234" s="45">
        <f t="shared" si="3"/>
        <v>0</v>
      </c>
    </row>
    <row r="235" spans="3:3">
      <c r="C235" s="45">
        <f t="shared" si="3"/>
        <v>0</v>
      </c>
    </row>
    <row r="236" spans="3:3">
      <c r="C236" s="45">
        <f t="shared" si="3"/>
        <v>0</v>
      </c>
    </row>
    <row r="237" spans="3:3">
      <c r="C237" s="45">
        <f t="shared" si="3"/>
        <v>0</v>
      </c>
    </row>
    <row r="238" spans="3:3">
      <c r="C238" s="45">
        <f t="shared" si="3"/>
        <v>0</v>
      </c>
    </row>
    <row r="239" spans="3:3">
      <c r="C239" s="45">
        <f t="shared" si="3"/>
        <v>0</v>
      </c>
    </row>
    <row r="240" spans="3:3">
      <c r="C240" s="45">
        <f t="shared" si="3"/>
        <v>0</v>
      </c>
    </row>
    <row r="241" spans="3:3">
      <c r="C241" s="45">
        <f t="shared" si="3"/>
        <v>0</v>
      </c>
    </row>
    <row r="242" spans="3:3">
      <c r="C242" s="45">
        <f t="shared" si="3"/>
        <v>0</v>
      </c>
    </row>
    <row r="243" spans="3:3">
      <c r="C243" s="45">
        <f t="shared" si="3"/>
        <v>0</v>
      </c>
    </row>
    <row r="244" spans="3:3">
      <c r="C244" s="45">
        <f t="shared" si="3"/>
        <v>0</v>
      </c>
    </row>
    <row r="245" spans="3:3">
      <c r="C245" s="45">
        <f t="shared" si="3"/>
        <v>0</v>
      </c>
    </row>
    <row r="246" spans="3:3">
      <c r="C246" s="45">
        <f t="shared" si="3"/>
        <v>0</v>
      </c>
    </row>
    <row r="247" spans="3:3">
      <c r="C247" s="45">
        <f t="shared" si="3"/>
        <v>0</v>
      </c>
    </row>
    <row r="248" spans="3:3">
      <c r="C248" s="45">
        <f t="shared" si="3"/>
        <v>0</v>
      </c>
    </row>
    <row r="249" spans="3:3">
      <c r="C249" s="45">
        <f t="shared" si="3"/>
        <v>0</v>
      </c>
    </row>
    <row r="250" spans="3:3">
      <c r="C250" s="45">
        <f t="shared" si="3"/>
        <v>0</v>
      </c>
    </row>
    <row r="251" spans="3:3">
      <c r="C251" s="45">
        <f t="shared" si="3"/>
        <v>0</v>
      </c>
    </row>
    <row r="252" spans="3:3">
      <c r="C252" s="45">
        <f t="shared" si="3"/>
        <v>0</v>
      </c>
    </row>
    <row r="253" spans="3:3">
      <c r="C253" s="45">
        <f t="shared" si="3"/>
        <v>0</v>
      </c>
    </row>
    <row r="254" spans="3:3">
      <c r="C254" s="45">
        <f t="shared" si="3"/>
        <v>0</v>
      </c>
    </row>
    <row r="255" spans="3:3">
      <c r="C255" s="45">
        <f t="shared" si="3"/>
        <v>0</v>
      </c>
    </row>
    <row r="256" spans="3:3">
      <c r="C256" s="45">
        <f t="shared" si="3"/>
        <v>0</v>
      </c>
    </row>
    <row r="257" spans="3:3">
      <c r="C257" s="45">
        <f t="shared" si="3"/>
        <v>0</v>
      </c>
    </row>
    <row r="258" spans="3:3">
      <c r="C258" s="45">
        <f t="shared" si="3"/>
        <v>0</v>
      </c>
    </row>
    <row r="259" spans="3:3">
      <c r="C259" s="45">
        <f t="shared" ref="C259:C322" si="4">IF(B259=0,0,SUM(B259-A259))</f>
        <v>0</v>
      </c>
    </row>
    <row r="260" spans="3:3">
      <c r="C260" s="45">
        <f t="shared" si="4"/>
        <v>0</v>
      </c>
    </row>
    <row r="261" spans="3:3">
      <c r="C261" s="45">
        <f t="shared" si="4"/>
        <v>0</v>
      </c>
    </row>
    <row r="262" spans="3:3">
      <c r="C262" s="45">
        <f t="shared" si="4"/>
        <v>0</v>
      </c>
    </row>
    <row r="263" spans="3:3">
      <c r="C263" s="45">
        <f t="shared" si="4"/>
        <v>0</v>
      </c>
    </row>
    <row r="264" spans="3:3">
      <c r="C264" s="45">
        <f t="shared" si="4"/>
        <v>0</v>
      </c>
    </row>
    <row r="265" spans="3:3">
      <c r="C265" s="45">
        <f t="shared" si="4"/>
        <v>0</v>
      </c>
    </row>
    <row r="266" spans="3:3">
      <c r="C266" s="45">
        <f t="shared" si="4"/>
        <v>0</v>
      </c>
    </row>
    <row r="267" spans="3:3">
      <c r="C267" s="45">
        <f t="shared" si="4"/>
        <v>0</v>
      </c>
    </row>
    <row r="268" spans="3:3">
      <c r="C268" s="45">
        <f t="shared" si="4"/>
        <v>0</v>
      </c>
    </row>
    <row r="269" spans="3:3">
      <c r="C269" s="45">
        <f t="shared" si="4"/>
        <v>0</v>
      </c>
    </row>
    <row r="270" spans="3:3">
      <c r="C270" s="45">
        <f t="shared" si="4"/>
        <v>0</v>
      </c>
    </row>
    <row r="271" spans="3:3">
      <c r="C271" s="45">
        <f t="shared" si="4"/>
        <v>0</v>
      </c>
    </row>
    <row r="272" spans="3:3">
      <c r="C272" s="45">
        <f t="shared" si="4"/>
        <v>0</v>
      </c>
    </row>
    <row r="273" spans="3:3">
      <c r="C273" s="45">
        <f t="shared" si="4"/>
        <v>0</v>
      </c>
    </row>
    <row r="274" spans="3:3">
      <c r="C274" s="45">
        <f t="shared" si="4"/>
        <v>0</v>
      </c>
    </row>
    <row r="275" spans="3:3">
      <c r="C275" s="45">
        <f t="shared" si="4"/>
        <v>0</v>
      </c>
    </row>
    <row r="276" spans="3:3">
      <c r="C276" s="45">
        <f t="shared" si="4"/>
        <v>0</v>
      </c>
    </row>
    <row r="277" spans="3:3">
      <c r="C277" s="45">
        <f t="shared" si="4"/>
        <v>0</v>
      </c>
    </row>
    <row r="278" spans="3:3">
      <c r="C278" s="45">
        <f t="shared" si="4"/>
        <v>0</v>
      </c>
    </row>
    <row r="279" spans="3:3">
      <c r="C279" s="45">
        <f t="shared" si="4"/>
        <v>0</v>
      </c>
    </row>
    <row r="280" spans="3:3">
      <c r="C280" s="45">
        <f t="shared" si="4"/>
        <v>0</v>
      </c>
    </row>
    <row r="281" spans="3:3">
      <c r="C281" s="45">
        <f t="shared" si="4"/>
        <v>0</v>
      </c>
    </row>
    <row r="282" spans="3:3">
      <c r="C282" s="45">
        <f t="shared" si="4"/>
        <v>0</v>
      </c>
    </row>
    <row r="283" spans="3:3">
      <c r="C283" s="45">
        <f t="shared" si="4"/>
        <v>0</v>
      </c>
    </row>
    <row r="284" spans="3:3">
      <c r="C284" s="45">
        <f t="shared" si="4"/>
        <v>0</v>
      </c>
    </row>
    <row r="285" spans="3:3">
      <c r="C285" s="45">
        <f t="shared" si="4"/>
        <v>0</v>
      </c>
    </row>
    <row r="286" spans="3:3">
      <c r="C286" s="45">
        <f t="shared" si="4"/>
        <v>0</v>
      </c>
    </row>
    <row r="287" spans="3:3">
      <c r="C287" s="45">
        <f t="shared" si="4"/>
        <v>0</v>
      </c>
    </row>
    <row r="288" spans="3:3">
      <c r="C288" s="45">
        <f t="shared" si="4"/>
        <v>0</v>
      </c>
    </row>
    <row r="289" spans="3:3">
      <c r="C289" s="45">
        <f t="shared" si="4"/>
        <v>0</v>
      </c>
    </row>
    <row r="290" spans="3:3">
      <c r="C290" s="45">
        <f t="shared" si="4"/>
        <v>0</v>
      </c>
    </row>
    <row r="291" spans="3:3">
      <c r="C291" s="45">
        <f t="shared" si="4"/>
        <v>0</v>
      </c>
    </row>
    <row r="292" spans="3:3">
      <c r="C292" s="45">
        <f t="shared" si="4"/>
        <v>0</v>
      </c>
    </row>
    <row r="293" spans="3:3">
      <c r="C293" s="45">
        <f t="shared" si="4"/>
        <v>0</v>
      </c>
    </row>
    <row r="294" spans="3:3">
      <c r="C294" s="45">
        <f t="shared" si="4"/>
        <v>0</v>
      </c>
    </row>
    <row r="295" spans="3:3">
      <c r="C295" s="45">
        <f t="shared" si="4"/>
        <v>0</v>
      </c>
    </row>
    <row r="296" spans="3:3">
      <c r="C296" s="45">
        <f t="shared" si="4"/>
        <v>0</v>
      </c>
    </row>
    <row r="297" spans="3:3">
      <c r="C297" s="45">
        <f t="shared" si="4"/>
        <v>0</v>
      </c>
    </row>
    <row r="298" spans="3:3">
      <c r="C298" s="45">
        <f t="shared" si="4"/>
        <v>0</v>
      </c>
    </row>
    <row r="299" spans="3:3">
      <c r="C299" s="45">
        <f t="shared" si="4"/>
        <v>0</v>
      </c>
    </row>
    <row r="300" spans="3:3">
      <c r="C300" s="45">
        <f t="shared" si="4"/>
        <v>0</v>
      </c>
    </row>
    <row r="301" spans="3:3">
      <c r="C301" s="45">
        <f t="shared" si="4"/>
        <v>0</v>
      </c>
    </row>
    <row r="302" spans="3:3">
      <c r="C302" s="45">
        <f t="shared" si="4"/>
        <v>0</v>
      </c>
    </row>
    <row r="303" spans="3:3">
      <c r="C303" s="45">
        <f t="shared" si="4"/>
        <v>0</v>
      </c>
    </row>
    <row r="304" spans="3:3">
      <c r="C304" s="45">
        <f t="shared" si="4"/>
        <v>0</v>
      </c>
    </row>
    <row r="305" spans="3:3">
      <c r="C305" s="45">
        <f t="shared" si="4"/>
        <v>0</v>
      </c>
    </row>
    <row r="306" spans="3:3">
      <c r="C306" s="45">
        <f t="shared" si="4"/>
        <v>0</v>
      </c>
    </row>
    <row r="307" spans="3:3">
      <c r="C307" s="45">
        <f t="shared" si="4"/>
        <v>0</v>
      </c>
    </row>
    <row r="308" spans="3:3">
      <c r="C308" s="45">
        <f t="shared" si="4"/>
        <v>0</v>
      </c>
    </row>
    <row r="309" spans="3:3">
      <c r="C309" s="45">
        <f t="shared" si="4"/>
        <v>0</v>
      </c>
    </row>
    <row r="310" spans="3:3">
      <c r="C310" s="45">
        <f t="shared" si="4"/>
        <v>0</v>
      </c>
    </row>
    <row r="311" spans="3:3">
      <c r="C311" s="45">
        <f t="shared" si="4"/>
        <v>0</v>
      </c>
    </row>
    <row r="312" spans="3:3">
      <c r="C312" s="45">
        <f t="shared" si="4"/>
        <v>0</v>
      </c>
    </row>
    <row r="313" spans="3:3">
      <c r="C313" s="45">
        <f t="shared" si="4"/>
        <v>0</v>
      </c>
    </row>
    <row r="314" spans="3:3">
      <c r="C314" s="45">
        <f t="shared" si="4"/>
        <v>0</v>
      </c>
    </row>
    <row r="315" spans="3:3">
      <c r="C315" s="45">
        <f t="shared" si="4"/>
        <v>0</v>
      </c>
    </row>
    <row r="316" spans="3:3">
      <c r="C316" s="45">
        <f t="shared" si="4"/>
        <v>0</v>
      </c>
    </row>
    <row r="317" spans="3:3">
      <c r="C317" s="45">
        <f t="shared" si="4"/>
        <v>0</v>
      </c>
    </row>
    <row r="318" spans="3:3">
      <c r="C318" s="45">
        <f t="shared" si="4"/>
        <v>0</v>
      </c>
    </row>
    <row r="319" spans="3:3">
      <c r="C319" s="45">
        <f t="shared" si="4"/>
        <v>0</v>
      </c>
    </row>
    <row r="320" spans="3:3">
      <c r="C320" s="45">
        <f t="shared" si="4"/>
        <v>0</v>
      </c>
    </row>
    <row r="321" spans="3:3">
      <c r="C321" s="45">
        <f t="shared" si="4"/>
        <v>0</v>
      </c>
    </row>
    <row r="322" spans="3:3">
      <c r="C322" s="45">
        <f t="shared" si="4"/>
        <v>0</v>
      </c>
    </row>
    <row r="323" spans="3:3">
      <c r="C323" s="45">
        <f t="shared" ref="C323:C386" si="5">IF(B323=0,0,SUM(B323-A323))</f>
        <v>0</v>
      </c>
    </row>
    <row r="324" spans="3:3">
      <c r="C324" s="45">
        <f t="shared" si="5"/>
        <v>0</v>
      </c>
    </row>
    <row r="325" spans="3:3">
      <c r="C325" s="45">
        <f t="shared" si="5"/>
        <v>0</v>
      </c>
    </row>
    <row r="326" spans="3:3">
      <c r="C326" s="45">
        <f t="shared" si="5"/>
        <v>0</v>
      </c>
    </row>
    <row r="327" spans="3:3">
      <c r="C327" s="45">
        <f t="shared" si="5"/>
        <v>0</v>
      </c>
    </row>
    <row r="328" spans="3:3">
      <c r="C328" s="45">
        <f t="shared" si="5"/>
        <v>0</v>
      </c>
    </row>
    <row r="329" spans="3:3">
      <c r="C329" s="45">
        <f t="shared" si="5"/>
        <v>0</v>
      </c>
    </row>
    <row r="330" spans="3:3">
      <c r="C330" s="45">
        <f t="shared" si="5"/>
        <v>0</v>
      </c>
    </row>
    <row r="331" spans="3:3">
      <c r="C331" s="45">
        <f t="shared" si="5"/>
        <v>0</v>
      </c>
    </row>
    <row r="332" spans="3:3">
      <c r="C332" s="45">
        <f t="shared" si="5"/>
        <v>0</v>
      </c>
    </row>
    <row r="333" spans="3:3">
      <c r="C333" s="45">
        <f t="shared" si="5"/>
        <v>0</v>
      </c>
    </row>
    <row r="334" spans="3:3">
      <c r="C334" s="45">
        <f t="shared" si="5"/>
        <v>0</v>
      </c>
    </row>
    <row r="335" spans="3:3">
      <c r="C335" s="45">
        <f t="shared" si="5"/>
        <v>0</v>
      </c>
    </row>
    <row r="336" spans="3:3">
      <c r="C336" s="45">
        <f t="shared" si="5"/>
        <v>0</v>
      </c>
    </row>
    <row r="337" spans="3:3">
      <c r="C337" s="45">
        <f t="shared" si="5"/>
        <v>0</v>
      </c>
    </row>
    <row r="338" spans="3:3">
      <c r="C338" s="45">
        <f t="shared" si="5"/>
        <v>0</v>
      </c>
    </row>
    <row r="339" spans="3:3">
      <c r="C339" s="45">
        <f t="shared" si="5"/>
        <v>0</v>
      </c>
    </row>
    <row r="340" spans="3:3">
      <c r="C340" s="45">
        <f t="shared" si="5"/>
        <v>0</v>
      </c>
    </row>
    <row r="341" spans="3:3">
      <c r="C341" s="45">
        <f t="shared" si="5"/>
        <v>0</v>
      </c>
    </row>
    <row r="342" spans="3:3">
      <c r="C342" s="45">
        <f t="shared" si="5"/>
        <v>0</v>
      </c>
    </row>
    <row r="343" spans="3:3">
      <c r="C343" s="45">
        <f t="shared" si="5"/>
        <v>0</v>
      </c>
    </row>
    <row r="344" spans="3:3">
      <c r="C344" s="45">
        <f t="shared" si="5"/>
        <v>0</v>
      </c>
    </row>
    <row r="345" spans="3:3">
      <c r="C345" s="45">
        <f t="shared" si="5"/>
        <v>0</v>
      </c>
    </row>
    <row r="346" spans="3:3">
      <c r="C346" s="45">
        <f t="shared" si="5"/>
        <v>0</v>
      </c>
    </row>
    <row r="347" spans="3:3">
      <c r="C347" s="45">
        <f t="shared" si="5"/>
        <v>0</v>
      </c>
    </row>
    <row r="348" spans="3:3">
      <c r="C348" s="45">
        <f t="shared" si="5"/>
        <v>0</v>
      </c>
    </row>
    <row r="349" spans="3:3">
      <c r="C349" s="45">
        <f t="shared" si="5"/>
        <v>0</v>
      </c>
    </row>
    <row r="350" spans="3:3">
      <c r="C350" s="45">
        <f t="shared" si="5"/>
        <v>0</v>
      </c>
    </row>
    <row r="351" spans="3:3">
      <c r="C351" s="45">
        <f t="shared" si="5"/>
        <v>0</v>
      </c>
    </row>
    <row r="352" spans="3:3">
      <c r="C352" s="45">
        <f t="shared" si="5"/>
        <v>0</v>
      </c>
    </row>
    <row r="353" spans="3:3">
      <c r="C353" s="45">
        <f t="shared" si="5"/>
        <v>0</v>
      </c>
    </row>
    <row r="354" spans="3:3">
      <c r="C354" s="45">
        <f t="shared" si="5"/>
        <v>0</v>
      </c>
    </row>
    <row r="355" spans="3:3">
      <c r="C355" s="45">
        <f t="shared" si="5"/>
        <v>0</v>
      </c>
    </row>
    <row r="356" spans="3:3">
      <c r="C356" s="45">
        <f t="shared" si="5"/>
        <v>0</v>
      </c>
    </row>
    <row r="357" spans="3:3">
      <c r="C357" s="45">
        <f t="shared" si="5"/>
        <v>0</v>
      </c>
    </row>
    <row r="358" spans="3:3">
      <c r="C358" s="45">
        <f t="shared" si="5"/>
        <v>0</v>
      </c>
    </row>
    <row r="359" spans="3:3">
      <c r="C359" s="45">
        <f t="shared" si="5"/>
        <v>0</v>
      </c>
    </row>
    <row r="360" spans="3:3">
      <c r="C360" s="45">
        <f t="shared" si="5"/>
        <v>0</v>
      </c>
    </row>
    <row r="361" spans="3:3">
      <c r="C361" s="45">
        <f t="shared" si="5"/>
        <v>0</v>
      </c>
    </row>
    <row r="362" spans="3:3">
      <c r="C362" s="45">
        <f t="shared" si="5"/>
        <v>0</v>
      </c>
    </row>
    <row r="363" spans="3:3">
      <c r="C363" s="45">
        <f t="shared" si="5"/>
        <v>0</v>
      </c>
    </row>
    <row r="364" spans="3:3">
      <c r="C364" s="45">
        <f t="shared" si="5"/>
        <v>0</v>
      </c>
    </row>
    <row r="365" spans="3:3">
      <c r="C365" s="45">
        <f t="shared" si="5"/>
        <v>0</v>
      </c>
    </row>
    <row r="366" spans="3:3">
      <c r="C366" s="45">
        <f t="shared" si="5"/>
        <v>0</v>
      </c>
    </row>
    <row r="367" spans="3:3">
      <c r="C367" s="45">
        <f t="shared" si="5"/>
        <v>0</v>
      </c>
    </row>
    <row r="368" spans="3:3">
      <c r="C368" s="45">
        <f t="shared" si="5"/>
        <v>0</v>
      </c>
    </row>
    <row r="369" spans="3:3">
      <c r="C369" s="45">
        <f t="shared" si="5"/>
        <v>0</v>
      </c>
    </row>
    <row r="370" spans="3:3">
      <c r="C370" s="45">
        <f t="shared" si="5"/>
        <v>0</v>
      </c>
    </row>
    <row r="371" spans="3:3">
      <c r="C371" s="45">
        <f t="shared" si="5"/>
        <v>0</v>
      </c>
    </row>
    <row r="372" spans="3:3">
      <c r="C372" s="45">
        <f t="shared" si="5"/>
        <v>0</v>
      </c>
    </row>
    <row r="373" spans="3:3">
      <c r="C373" s="45">
        <f t="shared" si="5"/>
        <v>0</v>
      </c>
    </row>
    <row r="374" spans="3:3">
      <c r="C374" s="45">
        <f t="shared" si="5"/>
        <v>0</v>
      </c>
    </row>
    <row r="375" spans="3:3">
      <c r="C375" s="45">
        <f t="shared" si="5"/>
        <v>0</v>
      </c>
    </row>
    <row r="376" spans="3:3">
      <c r="C376" s="45">
        <f t="shared" si="5"/>
        <v>0</v>
      </c>
    </row>
    <row r="377" spans="3:3">
      <c r="C377" s="45">
        <f t="shared" si="5"/>
        <v>0</v>
      </c>
    </row>
    <row r="378" spans="3:3">
      <c r="C378" s="45">
        <f t="shared" si="5"/>
        <v>0</v>
      </c>
    </row>
    <row r="379" spans="3:3">
      <c r="C379" s="45">
        <f t="shared" si="5"/>
        <v>0</v>
      </c>
    </row>
    <row r="380" spans="3:3">
      <c r="C380" s="45">
        <f t="shared" si="5"/>
        <v>0</v>
      </c>
    </row>
    <row r="381" spans="3:3">
      <c r="C381" s="45">
        <f t="shared" si="5"/>
        <v>0</v>
      </c>
    </row>
    <row r="382" spans="3:3">
      <c r="C382" s="45">
        <f t="shared" si="5"/>
        <v>0</v>
      </c>
    </row>
    <row r="383" spans="3:3">
      <c r="C383" s="45">
        <f t="shared" si="5"/>
        <v>0</v>
      </c>
    </row>
    <row r="384" spans="3:3">
      <c r="C384" s="45">
        <f t="shared" si="5"/>
        <v>0</v>
      </c>
    </row>
    <row r="385" spans="3:3">
      <c r="C385" s="45">
        <f t="shared" si="5"/>
        <v>0</v>
      </c>
    </row>
    <row r="386" spans="3:3">
      <c r="C386" s="45">
        <f t="shared" si="5"/>
        <v>0</v>
      </c>
    </row>
    <row r="387" spans="3:3">
      <c r="C387" s="45">
        <f t="shared" ref="C387:C450" si="6">IF(B387=0,0,SUM(B387-A387))</f>
        <v>0</v>
      </c>
    </row>
    <row r="388" spans="3:3">
      <c r="C388" s="45">
        <f t="shared" si="6"/>
        <v>0</v>
      </c>
    </row>
    <row r="389" spans="3:3">
      <c r="C389" s="45">
        <f t="shared" si="6"/>
        <v>0</v>
      </c>
    </row>
    <row r="390" spans="3:3">
      <c r="C390" s="45">
        <f t="shared" si="6"/>
        <v>0</v>
      </c>
    </row>
    <row r="391" spans="3:3">
      <c r="C391" s="45">
        <f t="shared" si="6"/>
        <v>0</v>
      </c>
    </row>
    <row r="392" spans="3:3">
      <c r="C392" s="45">
        <f t="shared" si="6"/>
        <v>0</v>
      </c>
    </row>
    <row r="393" spans="3:3">
      <c r="C393" s="45">
        <f t="shared" si="6"/>
        <v>0</v>
      </c>
    </row>
    <row r="394" spans="3:3">
      <c r="C394" s="45">
        <f t="shared" si="6"/>
        <v>0</v>
      </c>
    </row>
    <row r="395" spans="3:3">
      <c r="C395" s="45">
        <f t="shared" si="6"/>
        <v>0</v>
      </c>
    </row>
    <row r="396" spans="3:3">
      <c r="C396" s="45">
        <f t="shared" si="6"/>
        <v>0</v>
      </c>
    </row>
    <row r="397" spans="3:3">
      <c r="C397" s="45">
        <f t="shared" si="6"/>
        <v>0</v>
      </c>
    </row>
    <row r="398" spans="3:3">
      <c r="C398" s="45">
        <f t="shared" si="6"/>
        <v>0</v>
      </c>
    </row>
    <row r="399" spans="3:3">
      <c r="C399" s="45">
        <f t="shared" si="6"/>
        <v>0</v>
      </c>
    </row>
    <row r="400" spans="3:3">
      <c r="C400" s="45">
        <f t="shared" si="6"/>
        <v>0</v>
      </c>
    </row>
    <row r="401" spans="3:3">
      <c r="C401" s="45">
        <f t="shared" si="6"/>
        <v>0</v>
      </c>
    </row>
    <row r="402" spans="3:3">
      <c r="C402" s="45">
        <f t="shared" si="6"/>
        <v>0</v>
      </c>
    </row>
    <row r="403" spans="3:3">
      <c r="C403" s="45">
        <f t="shared" si="6"/>
        <v>0</v>
      </c>
    </row>
    <row r="404" spans="3:3">
      <c r="C404" s="45">
        <f t="shared" si="6"/>
        <v>0</v>
      </c>
    </row>
    <row r="405" spans="3:3">
      <c r="C405" s="45">
        <f t="shared" si="6"/>
        <v>0</v>
      </c>
    </row>
    <row r="406" spans="3:3">
      <c r="C406" s="45">
        <f t="shared" si="6"/>
        <v>0</v>
      </c>
    </row>
    <row r="407" spans="3:3">
      <c r="C407" s="45">
        <f t="shared" si="6"/>
        <v>0</v>
      </c>
    </row>
    <row r="408" spans="3:3">
      <c r="C408" s="45">
        <f t="shared" si="6"/>
        <v>0</v>
      </c>
    </row>
    <row r="409" spans="3:3">
      <c r="C409" s="45">
        <f t="shared" si="6"/>
        <v>0</v>
      </c>
    </row>
    <row r="410" spans="3:3">
      <c r="C410" s="45">
        <f t="shared" si="6"/>
        <v>0</v>
      </c>
    </row>
    <row r="411" spans="3:3">
      <c r="C411" s="45">
        <f t="shared" si="6"/>
        <v>0</v>
      </c>
    </row>
    <row r="412" spans="3:3">
      <c r="C412" s="45">
        <f t="shared" si="6"/>
        <v>0</v>
      </c>
    </row>
    <row r="413" spans="3:3">
      <c r="C413" s="45">
        <f t="shared" si="6"/>
        <v>0</v>
      </c>
    </row>
    <row r="414" spans="3:3">
      <c r="C414" s="45">
        <f t="shared" si="6"/>
        <v>0</v>
      </c>
    </row>
    <row r="415" spans="3:3">
      <c r="C415" s="45">
        <f t="shared" si="6"/>
        <v>0</v>
      </c>
    </row>
    <row r="416" spans="3:3">
      <c r="C416" s="45">
        <f t="shared" si="6"/>
        <v>0</v>
      </c>
    </row>
    <row r="417" spans="3:3">
      <c r="C417" s="45">
        <f t="shared" si="6"/>
        <v>0</v>
      </c>
    </row>
    <row r="418" spans="3:3">
      <c r="C418" s="45">
        <f t="shared" si="6"/>
        <v>0</v>
      </c>
    </row>
    <row r="419" spans="3:3">
      <c r="C419" s="45">
        <f t="shared" si="6"/>
        <v>0</v>
      </c>
    </row>
    <row r="420" spans="3:3">
      <c r="C420" s="45">
        <f t="shared" si="6"/>
        <v>0</v>
      </c>
    </row>
    <row r="421" spans="3:3">
      <c r="C421" s="45">
        <f t="shared" si="6"/>
        <v>0</v>
      </c>
    </row>
    <row r="422" spans="3:3">
      <c r="C422" s="45">
        <f t="shared" si="6"/>
        <v>0</v>
      </c>
    </row>
    <row r="423" spans="3:3">
      <c r="C423" s="45">
        <f t="shared" si="6"/>
        <v>0</v>
      </c>
    </row>
    <row r="424" spans="3:3">
      <c r="C424" s="45">
        <f t="shared" si="6"/>
        <v>0</v>
      </c>
    </row>
    <row r="425" spans="3:3">
      <c r="C425" s="45">
        <f t="shared" si="6"/>
        <v>0</v>
      </c>
    </row>
    <row r="426" spans="3:3">
      <c r="C426" s="45">
        <f t="shared" si="6"/>
        <v>0</v>
      </c>
    </row>
    <row r="427" spans="3:3">
      <c r="C427" s="45">
        <f t="shared" si="6"/>
        <v>0</v>
      </c>
    </row>
    <row r="428" spans="3:3">
      <c r="C428" s="45">
        <f t="shared" si="6"/>
        <v>0</v>
      </c>
    </row>
    <row r="429" spans="3:3">
      <c r="C429" s="45">
        <f t="shared" si="6"/>
        <v>0</v>
      </c>
    </row>
    <row r="430" spans="3:3">
      <c r="C430" s="45">
        <f t="shared" si="6"/>
        <v>0</v>
      </c>
    </row>
    <row r="431" spans="3:3">
      <c r="C431" s="45">
        <f t="shared" si="6"/>
        <v>0</v>
      </c>
    </row>
    <row r="432" spans="3:3">
      <c r="C432" s="45">
        <f t="shared" si="6"/>
        <v>0</v>
      </c>
    </row>
    <row r="433" spans="3:3">
      <c r="C433" s="45">
        <f t="shared" si="6"/>
        <v>0</v>
      </c>
    </row>
    <row r="434" spans="3:3">
      <c r="C434" s="45">
        <f t="shared" si="6"/>
        <v>0</v>
      </c>
    </row>
    <row r="435" spans="3:3">
      <c r="C435" s="45">
        <f t="shared" si="6"/>
        <v>0</v>
      </c>
    </row>
    <row r="436" spans="3:3">
      <c r="C436" s="45">
        <f t="shared" si="6"/>
        <v>0</v>
      </c>
    </row>
    <row r="437" spans="3:3">
      <c r="C437" s="45">
        <f t="shared" si="6"/>
        <v>0</v>
      </c>
    </row>
    <row r="438" spans="3:3">
      <c r="C438" s="45">
        <f t="shared" si="6"/>
        <v>0</v>
      </c>
    </row>
    <row r="439" spans="3:3">
      <c r="C439" s="45">
        <f t="shared" si="6"/>
        <v>0</v>
      </c>
    </row>
    <row r="440" spans="3:3">
      <c r="C440" s="45">
        <f t="shared" si="6"/>
        <v>0</v>
      </c>
    </row>
    <row r="441" spans="3:3">
      <c r="C441" s="45">
        <f t="shared" si="6"/>
        <v>0</v>
      </c>
    </row>
    <row r="442" spans="3:3">
      <c r="C442" s="45">
        <f t="shared" si="6"/>
        <v>0</v>
      </c>
    </row>
    <row r="443" spans="3:3">
      <c r="C443" s="45">
        <f t="shared" si="6"/>
        <v>0</v>
      </c>
    </row>
    <row r="444" spans="3:3">
      <c r="C444" s="45">
        <f t="shared" si="6"/>
        <v>0</v>
      </c>
    </row>
    <row r="445" spans="3:3">
      <c r="C445" s="45">
        <f t="shared" si="6"/>
        <v>0</v>
      </c>
    </row>
    <row r="446" spans="3:3">
      <c r="C446" s="45">
        <f t="shared" si="6"/>
        <v>0</v>
      </c>
    </row>
    <row r="447" spans="3:3">
      <c r="C447" s="45">
        <f t="shared" si="6"/>
        <v>0</v>
      </c>
    </row>
    <row r="448" spans="3:3">
      <c r="C448" s="45">
        <f t="shared" si="6"/>
        <v>0</v>
      </c>
    </row>
    <row r="449" spans="3:3">
      <c r="C449" s="45">
        <f t="shared" si="6"/>
        <v>0</v>
      </c>
    </row>
    <row r="450" spans="3:3">
      <c r="C450" s="45">
        <f t="shared" si="6"/>
        <v>0</v>
      </c>
    </row>
    <row r="451" spans="3:3">
      <c r="C451" s="45">
        <f t="shared" ref="C451:C514" si="7">IF(B451=0,0,SUM(B451-A451))</f>
        <v>0</v>
      </c>
    </row>
    <row r="452" spans="3:3">
      <c r="C452" s="45">
        <f t="shared" si="7"/>
        <v>0</v>
      </c>
    </row>
    <row r="453" spans="3:3">
      <c r="C453" s="45">
        <f t="shared" si="7"/>
        <v>0</v>
      </c>
    </row>
    <row r="454" spans="3:3">
      <c r="C454" s="45">
        <f t="shared" si="7"/>
        <v>0</v>
      </c>
    </row>
    <row r="455" spans="3:3">
      <c r="C455" s="45">
        <f t="shared" si="7"/>
        <v>0</v>
      </c>
    </row>
    <row r="456" spans="3:3">
      <c r="C456" s="45">
        <f t="shared" si="7"/>
        <v>0</v>
      </c>
    </row>
    <row r="457" spans="3:3">
      <c r="C457" s="45">
        <f t="shared" si="7"/>
        <v>0</v>
      </c>
    </row>
    <row r="458" spans="3:3">
      <c r="C458" s="45">
        <f t="shared" si="7"/>
        <v>0</v>
      </c>
    </row>
    <row r="459" spans="3:3">
      <c r="C459" s="45">
        <f t="shared" si="7"/>
        <v>0</v>
      </c>
    </row>
    <row r="460" spans="3:3">
      <c r="C460" s="45">
        <f t="shared" si="7"/>
        <v>0</v>
      </c>
    </row>
    <row r="461" spans="3:3">
      <c r="C461" s="45">
        <f t="shared" si="7"/>
        <v>0</v>
      </c>
    </row>
    <row r="462" spans="3:3">
      <c r="C462" s="45">
        <f t="shared" si="7"/>
        <v>0</v>
      </c>
    </row>
    <row r="463" spans="3:3">
      <c r="C463" s="45">
        <f t="shared" si="7"/>
        <v>0</v>
      </c>
    </row>
    <row r="464" spans="3:3">
      <c r="C464" s="45">
        <f t="shared" si="7"/>
        <v>0</v>
      </c>
    </row>
    <row r="465" spans="3:3">
      <c r="C465" s="45">
        <f t="shared" si="7"/>
        <v>0</v>
      </c>
    </row>
    <row r="466" spans="3:3">
      <c r="C466" s="45">
        <f t="shared" si="7"/>
        <v>0</v>
      </c>
    </row>
    <row r="467" spans="3:3">
      <c r="C467" s="45">
        <f t="shared" si="7"/>
        <v>0</v>
      </c>
    </row>
    <row r="468" spans="3:3">
      <c r="C468" s="45">
        <f t="shared" si="7"/>
        <v>0</v>
      </c>
    </row>
    <row r="469" spans="3:3">
      <c r="C469" s="45">
        <f t="shared" si="7"/>
        <v>0</v>
      </c>
    </row>
    <row r="470" spans="3:3">
      <c r="C470" s="45">
        <f t="shared" si="7"/>
        <v>0</v>
      </c>
    </row>
    <row r="471" spans="3:3">
      <c r="C471" s="45">
        <f t="shared" si="7"/>
        <v>0</v>
      </c>
    </row>
    <row r="472" spans="3:3">
      <c r="C472" s="45">
        <f t="shared" si="7"/>
        <v>0</v>
      </c>
    </row>
    <row r="473" spans="3:3">
      <c r="C473" s="45">
        <f t="shared" si="7"/>
        <v>0</v>
      </c>
    </row>
    <row r="474" spans="3:3">
      <c r="C474" s="45">
        <f t="shared" si="7"/>
        <v>0</v>
      </c>
    </row>
    <row r="475" spans="3:3">
      <c r="C475" s="45">
        <f t="shared" si="7"/>
        <v>0</v>
      </c>
    </row>
    <row r="476" spans="3:3">
      <c r="C476" s="45">
        <f t="shared" si="7"/>
        <v>0</v>
      </c>
    </row>
    <row r="477" spans="3:3">
      <c r="C477" s="45">
        <f t="shared" si="7"/>
        <v>0</v>
      </c>
    </row>
    <row r="478" spans="3:3">
      <c r="C478" s="45">
        <f t="shared" si="7"/>
        <v>0</v>
      </c>
    </row>
    <row r="479" spans="3:3">
      <c r="C479" s="45">
        <f t="shared" si="7"/>
        <v>0</v>
      </c>
    </row>
    <row r="480" spans="3:3">
      <c r="C480" s="45">
        <f t="shared" si="7"/>
        <v>0</v>
      </c>
    </row>
    <row r="481" spans="3:3">
      <c r="C481" s="45">
        <f t="shared" si="7"/>
        <v>0</v>
      </c>
    </row>
    <row r="482" spans="3:3">
      <c r="C482" s="45">
        <f t="shared" si="7"/>
        <v>0</v>
      </c>
    </row>
    <row r="483" spans="3:3">
      <c r="C483" s="45">
        <f t="shared" si="7"/>
        <v>0</v>
      </c>
    </row>
    <row r="484" spans="3:3">
      <c r="C484" s="45">
        <f t="shared" si="7"/>
        <v>0</v>
      </c>
    </row>
    <row r="485" spans="3:3">
      <c r="C485" s="45">
        <f t="shared" si="7"/>
        <v>0</v>
      </c>
    </row>
    <row r="486" spans="3:3">
      <c r="C486" s="45">
        <f t="shared" si="7"/>
        <v>0</v>
      </c>
    </row>
    <row r="487" spans="3:3">
      <c r="C487" s="45">
        <f t="shared" si="7"/>
        <v>0</v>
      </c>
    </row>
    <row r="488" spans="3:3">
      <c r="C488" s="45">
        <f t="shared" si="7"/>
        <v>0</v>
      </c>
    </row>
    <row r="489" spans="3:3">
      <c r="C489" s="45">
        <f t="shared" si="7"/>
        <v>0</v>
      </c>
    </row>
    <row r="490" spans="3:3">
      <c r="C490" s="45">
        <f t="shared" si="7"/>
        <v>0</v>
      </c>
    </row>
    <row r="491" spans="3:3">
      <c r="C491" s="45">
        <f t="shared" si="7"/>
        <v>0</v>
      </c>
    </row>
    <row r="492" spans="3:3">
      <c r="C492" s="45">
        <f t="shared" si="7"/>
        <v>0</v>
      </c>
    </row>
    <row r="493" spans="3:3">
      <c r="C493" s="45">
        <f t="shared" si="7"/>
        <v>0</v>
      </c>
    </row>
    <row r="494" spans="3:3">
      <c r="C494" s="45">
        <f t="shared" si="7"/>
        <v>0</v>
      </c>
    </row>
    <row r="495" spans="3:3">
      <c r="C495" s="45">
        <f t="shared" si="7"/>
        <v>0</v>
      </c>
    </row>
    <row r="496" spans="3:3">
      <c r="C496" s="45">
        <f t="shared" si="7"/>
        <v>0</v>
      </c>
    </row>
    <row r="497" spans="3:3">
      <c r="C497" s="45">
        <f t="shared" si="7"/>
        <v>0</v>
      </c>
    </row>
    <row r="498" spans="3:3">
      <c r="C498" s="45">
        <f t="shared" si="7"/>
        <v>0</v>
      </c>
    </row>
    <row r="499" spans="3:3">
      <c r="C499" s="45">
        <f t="shared" si="7"/>
        <v>0</v>
      </c>
    </row>
    <row r="500" spans="3:3">
      <c r="C500" s="45">
        <f t="shared" si="7"/>
        <v>0</v>
      </c>
    </row>
    <row r="501" spans="3:3">
      <c r="C501" s="45">
        <f t="shared" si="7"/>
        <v>0</v>
      </c>
    </row>
    <row r="502" spans="3:3">
      <c r="C502" s="45">
        <f t="shared" si="7"/>
        <v>0</v>
      </c>
    </row>
    <row r="503" spans="3:3">
      <c r="C503" s="45">
        <f t="shared" si="7"/>
        <v>0</v>
      </c>
    </row>
    <row r="504" spans="3:3">
      <c r="C504" s="45">
        <f t="shared" si="7"/>
        <v>0</v>
      </c>
    </row>
    <row r="505" spans="3:3">
      <c r="C505" s="45">
        <f t="shared" si="7"/>
        <v>0</v>
      </c>
    </row>
    <row r="506" spans="3:3">
      <c r="C506" s="45">
        <f t="shared" si="7"/>
        <v>0</v>
      </c>
    </row>
    <row r="507" spans="3:3">
      <c r="C507" s="45">
        <f t="shared" si="7"/>
        <v>0</v>
      </c>
    </row>
    <row r="508" spans="3:3">
      <c r="C508" s="45">
        <f t="shared" si="7"/>
        <v>0</v>
      </c>
    </row>
    <row r="509" spans="3:3">
      <c r="C509" s="45">
        <f t="shared" si="7"/>
        <v>0</v>
      </c>
    </row>
    <row r="510" spans="3:3">
      <c r="C510" s="45">
        <f t="shared" si="7"/>
        <v>0</v>
      </c>
    </row>
    <row r="511" spans="3:3">
      <c r="C511" s="45">
        <f t="shared" si="7"/>
        <v>0</v>
      </c>
    </row>
    <row r="512" spans="3:3">
      <c r="C512" s="45">
        <f t="shared" si="7"/>
        <v>0</v>
      </c>
    </row>
    <row r="513" spans="3:3">
      <c r="C513" s="45">
        <f t="shared" si="7"/>
        <v>0</v>
      </c>
    </row>
    <row r="514" spans="3:3">
      <c r="C514" s="45">
        <f t="shared" si="7"/>
        <v>0</v>
      </c>
    </row>
    <row r="515" spans="3:3">
      <c r="C515" s="45">
        <f t="shared" ref="C515:C578" si="8">IF(B515=0,0,SUM(B515-A515))</f>
        <v>0</v>
      </c>
    </row>
    <row r="516" spans="3:3">
      <c r="C516" s="45">
        <f t="shared" si="8"/>
        <v>0</v>
      </c>
    </row>
    <row r="517" spans="3:3">
      <c r="C517" s="45">
        <f t="shared" si="8"/>
        <v>0</v>
      </c>
    </row>
    <row r="518" spans="3:3">
      <c r="C518" s="45">
        <f t="shared" si="8"/>
        <v>0</v>
      </c>
    </row>
    <row r="519" spans="3:3">
      <c r="C519" s="45">
        <f t="shared" si="8"/>
        <v>0</v>
      </c>
    </row>
    <row r="520" spans="3:3">
      <c r="C520" s="45">
        <f t="shared" si="8"/>
        <v>0</v>
      </c>
    </row>
    <row r="521" spans="3:3">
      <c r="C521" s="45">
        <f t="shared" si="8"/>
        <v>0</v>
      </c>
    </row>
    <row r="522" spans="3:3">
      <c r="C522" s="45">
        <f t="shared" si="8"/>
        <v>0</v>
      </c>
    </row>
    <row r="523" spans="3:3">
      <c r="C523" s="45">
        <f t="shared" si="8"/>
        <v>0</v>
      </c>
    </row>
    <row r="524" spans="3:3">
      <c r="C524" s="45">
        <f t="shared" si="8"/>
        <v>0</v>
      </c>
    </row>
    <row r="525" spans="3:3">
      <c r="C525" s="45">
        <f t="shared" si="8"/>
        <v>0</v>
      </c>
    </row>
    <row r="526" spans="3:3">
      <c r="C526" s="45">
        <f t="shared" si="8"/>
        <v>0</v>
      </c>
    </row>
    <row r="527" spans="3:3">
      <c r="C527" s="45">
        <f t="shared" si="8"/>
        <v>0</v>
      </c>
    </row>
    <row r="528" spans="3:3">
      <c r="C528" s="45">
        <f t="shared" si="8"/>
        <v>0</v>
      </c>
    </row>
    <row r="529" spans="3:3">
      <c r="C529" s="45">
        <f t="shared" si="8"/>
        <v>0</v>
      </c>
    </row>
    <row r="530" spans="3:3">
      <c r="C530" s="45">
        <f t="shared" si="8"/>
        <v>0</v>
      </c>
    </row>
    <row r="531" spans="3:3">
      <c r="C531" s="45">
        <f t="shared" si="8"/>
        <v>0</v>
      </c>
    </row>
    <row r="532" spans="3:3">
      <c r="C532" s="45">
        <f t="shared" si="8"/>
        <v>0</v>
      </c>
    </row>
    <row r="533" spans="3:3">
      <c r="C533" s="45">
        <f t="shared" si="8"/>
        <v>0</v>
      </c>
    </row>
    <row r="534" spans="3:3">
      <c r="C534" s="45">
        <f t="shared" si="8"/>
        <v>0</v>
      </c>
    </row>
    <row r="535" spans="3:3">
      <c r="C535" s="45">
        <f t="shared" si="8"/>
        <v>0</v>
      </c>
    </row>
    <row r="536" spans="3:3">
      <c r="C536" s="45">
        <f t="shared" si="8"/>
        <v>0</v>
      </c>
    </row>
    <row r="537" spans="3:3">
      <c r="C537" s="45">
        <f t="shared" si="8"/>
        <v>0</v>
      </c>
    </row>
    <row r="538" spans="3:3">
      <c r="C538" s="45">
        <f t="shared" si="8"/>
        <v>0</v>
      </c>
    </row>
    <row r="539" spans="3:3">
      <c r="C539" s="45">
        <f t="shared" si="8"/>
        <v>0</v>
      </c>
    </row>
    <row r="540" spans="3:3">
      <c r="C540" s="45">
        <f t="shared" si="8"/>
        <v>0</v>
      </c>
    </row>
    <row r="541" spans="3:3">
      <c r="C541" s="45">
        <f t="shared" si="8"/>
        <v>0</v>
      </c>
    </row>
    <row r="542" spans="3:3">
      <c r="C542" s="45">
        <f t="shared" si="8"/>
        <v>0</v>
      </c>
    </row>
    <row r="543" spans="3:3">
      <c r="C543" s="45">
        <f t="shared" si="8"/>
        <v>0</v>
      </c>
    </row>
    <row r="544" spans="3:3">
      <c r="C544" s="45">
        <f t="shared" si="8"/>
        <v>0</v>
      </c>
    </row>
    <row r="545" spans="3:3">
      <c r="C545" s="45">
        <f t="shared" si="8"/>
        <v>0</v>
      </c>
    </row>
    <row r="546" spans="3:3">
      <c r="C546" s="45">
        <f t="shared" si="8"/>
        <v>0</v>
      </c>
    </row>
    <row r="547" spans="3:3">
      <c r="C547" s="45">
        <f t="shared" si="8"/>
        <v>0</v>
      </c>
    </row>
    <row r="548" spans="3:3">
      <c r="C548" s="45">
        <f t="shared" si="8"/>
        <v>0</v>
      </c>
    </row>
    <row r="549" spans="3:3">
      <c r="C549" s="45">
        <f t="shared" si="8"/>
        <v>0</v>
      </c>
    </row>
    <row r="550" spans="3:3">
      <c r="C550" s="45">
        <f t="shared" si="8"/>
        <v>0</v>
      </c>
    </row>
    <row r="551" spans="3:3">
      <c r="C551" s="45">
        <f t="shared" si="8"/>
        <v>0</v>
      </c>
    </row>
    <row r="552" spans="3:3">
      <c r="C552" s="45">
        <f t="shared" si="8"/>
        <v>0</v>
      </c>
    </row>
    <row r="553" spans="3:3">
      <c r="C553" s="45">
        <f t="shared" si="8"/>
        <v>0</v>
      </c>
    </row>
    <row r="554" spans="3:3">
      <c r="C554" s="45">
        <f t="shared" si="8"/>
        <v>0</v>
      </c>
    </row>
    <row r="555" spans="3:3">
      <c r="C555" s="45">
        <f t="shared" si="8"/>
        <v>0</v>
      </c>
    </row>
    <row r="556" spans="3:3">
      <c r="C556" s="45">
        <f t="shared" si="8"/>
        <v>0</v>
      </c>
    </row>
    <row r="557" spans="3:3">
      <c r="C557" s="45">
        <f t="shared" si="8"/>
        <v>0</v>
      </c>
    </row>
    <row r="558" spans="3:3">
      <c r="C558" s="45">
        <f t="shared" si="8"/>
        <v>0</v>
      </c>
    </row>
    <row r="559" spans="3:3">
      <c r="C559" s="45">
        <f t="shared" si="8"/>
        <v>0</v>
      </c>
    </row>
    <row r="560" spans="3:3">
      <c r="C560" s="45">
        <f t="shared" si="8"/>
        <v>0</v>
      </c>
    </row>
    <row r="561" spans="3:3">
      <c r="C561" s="45">
        <f t="shared" si="8"/>
        <v>0</v>
      </c>
    </row>
    <row r="562" spans="3:3">
      <c r="C562" s="45">
        <f t="shared" si="8"/>
        <v>0</v>
      </c>
    </row>
    <row r="563" spans="3:3">
      <c r="C563" s="45">
        <f t="shared" si="8"/>
        <v>0</v>
      </c>
    </row>
    <row r="564" spans="3:3">
      <c r="C564" s="45">
        <f t="shared" si="8"/>
        <v>0</v>
      </c>
    </row>
    <row r="565" spans="3:3">
      <c r="C565" s="45">
        <f t="shared" si="8"/>
        <v>0</v>
      </c>
    </row>
    <row r="566" spans="3:3">
      <c r="C566" s="45">
        <f t="shared" si="8"/>
        <v>0</v>
      </c>
    </row>
    <row r="567" spans="3:3">
      <c r="C567" s="45">
        <f t="shared" si="8"/>
        <v>0</v>
      </c>
    </row>
    <row r="568" spans="3:3">
      <c r="C568" s="45">
        <f t="shared" si="8"/>
        <v>0</v>
      </c>
    </row>
    <row r="569" spans="3:3">
      <c r="C569" s="45">
        <f t="shared" si="8"/>
        <v>0</v>
      </c>
    </row>
    <row r="570" spans="3:3">
      <c r="C570" s="45">
        <f t="shared" si="8"/>
        <v>0</v>
      </c>
    </row>
    <row r="571" spans="3:3">
      <c r="C571" s="45">
        <f t="shared" si="8"/>
        <v>0</v>
      </c>
    </row>
    <row r="572" spans="3:3">
      <c r="C572" s="45">
        <f t="shared" si="8"/>
        <v>0</v>
      </c>
    </row>
    <row r="573" spans="3:3">
      <c r="C573" s="45">
        <f t="shared" si="8"/>
        <v>0</v>
      </c>
    </row>
    <row r="574" spans="3:3">
      <c r="C574" s="45">
        <f t="shared" si="8"/>
        <v>0</v>
      </c>
    </row>
    <row r="575" spans="3:3">
      <c r="C575" s="45">
        <f t="shared" si="8"/>
        <v>0</v>
      </c>
    </row>
    <row r="576" spans="3:3">
      <c r="C576" s="45">
        <f t="shared" si="8"/>
        <v>0</v>
      </c>
    </row>
    <row r="577" spans="3:3">
      <c r="C577" s="45">
        <f t="shared" si="8"/>
        <v>0</v>
      </c>
    </row>
    <row r="578" spans="3:3">
      <c r="C578" s="45">
        <f t="shared" si="8"/>
        <v>0</v>
      </c>
    </row>
    <row r="579" spans="3:3">
      <c r="C579" s="45">
        <f t="shared" ref="C579:C642" si="9">IF(B579=0,0,SUM(B579-A579))</f>
        <v>0</v>
      </c>
    </row>
    <row r="580" spans="3:3">
      <c r="C580" s="45">
        <f t="shared" si="9"/>
        <v>0</v>
      </c>
    </row>
    <row r="581" spans="3:3">
      <c r="C581" s="45">
        <f t="shared" si="9"/>
        <v>0</v>
      </c>
    </row>
    <row r="582" spans="3:3">
      <c r="C582" s="45">
        <f t="shared" si="9"/>
        <v>0</v>
      </c>
    </row>
    <row r="583" spans="3:3">
      <c r="C583" s="45">
        <f t="shared" si="9"/>
        <v>0</v>
      </c>
    </row>
    <row r="584" spans="3:3">
      <c r="C584" s="45">
        <f t="shared" si="9"/>
        <v>0</v>
      </c>
    </row>
    <row r="585" spans="3:3">
      <c r="C585" s="45">
        <f t="shared" si="9"/>
        <v>0</v>
      </c>
    </row>
    <row r="586" spans="3:3">
      <c r="C586" s="45">
        <f t="shared" si="9"/>
        <v>0</v>
      </c>
    </row>
    <row r="587" spans="3:3">
      <c r="C587" s="45">
        <f t="shared" si="9"/>
        <v>0</v>
      </c>
    </row>
    <row r="588" spans="3:3">
      <c r="C588" s="45">
        <f t="shared" si="9"/>
        <v>0</v>
      </c>
    </row>
    <row r="589" spans="3:3">
      <c r="C589" s="45">
        <f t="shared" si="9"/>
        <v>0</v>
      </c>
    </row>
    <row r="590" spans="3:3">
      <c r="C590" s="45">
        <f t="shared" si="9"/>
        <v>0</v>
      </c>
    </row>
    <row r="591" spans="3:3">
      <c r="C591" s="45">
        <f t="shared" si="9"/>
        <v>0</v>
      </c>
    </row>
    <row r="592" spans="3:3">
      <c r="C592" s="45">
        <f t="shared" si="9"/>
        <v>0</v>
      </c>
    </row>
    <row r="593" spans="3:3">
      <c r="C593" s="45">
        <f t="shared" si="9"/>
        <v>0</v>
      </c>
    </row>
    <row r="594" spans="3:3">
      <c r="C594" s="45">
        <f t="shared" si="9"/>
        <v>0</v>
      </c>
    </row>
    <row r="595" spans="3:3">
      <c r="C595" s="45">
        <f t="shared" si="9"/>
        <v>0</v>
      </c>
    </row>
    <row r="596" spans="3:3">
      <c r="C596" s="45">
        <f t="shared" si="9"/>
        <v>0</v>
      </c>
    </row>
    <row r="597" spans="3:3">
      <c r="C597" s="45">
        <f t="shared" si="9"/>
        <v>0</v>
      </c>
    </row>
    <row r="598" spans="3:3">
      <c r="C598" s="45">
        <f t="shared" si="9"/>
        <v>0</v>
      </c>
    </row>
    <row r="599" spans="3:3">
      <c r="C599" s="45">
        <f t="shared" si="9"/>
        <v>0</v>
      </c>
    </row>
    <row r="600" spans="3:3">
      <c r="C600" s="45">
        <f t="shared" si="9"/>
        <v>0</v>
      </c>
    </row>
    <row r="601" spans="3:3">
      <c r="C601" s="45">
        <f t="shared" si="9"/>
        <v>0</v>
      </c>
    </row>
    <row r="602" spans="3:3">
      <c r="C602" s="45">
        <f t="shared" si="9"/>
        <v>0</v>
      </c>
    </row>
    <row r="603" spans="3:3">
      <c r="C603" s="45">
        <f t="shared" si="9"/>
        <v>0</v>
      </c>
    </row>
    <row r="604" spans="3:3">
      <c r="C604" s="45">
        <f t="shared" si="9"/>
        <v>0</v>
      </c>
    </row>
    <row r="605" spans="3:3">
      <c r="C605" s="45">
        <f t="shared" si="9"/>
        <v>0</v>
      </c>
    </row>
    <row r="606" spans="3:3">
      <c r="C606" s="45">
        <f t="shared" si="9"/>
        <v>0</v>
      </c>
    </row>
    <row r="607" spans="3:3">
      <c r="C607" s="45">
        <f t="shared" si="9"/>
        <v>0</v>
      </c>
    </row>
    <row r="608" spans="3:3">
      <c r="C608" s="45">
        <f t="shared" si="9"/>
        <v>0</v>
      </c>
    </row>
    <row r="609" spans="3:3">
      <c r="C609" s="45">
        <f t="shared" si="9"/>
        <v>0</v>
      </c>
    </row>
    <row r="610" spans="3:3">
      <c r="C610" s="45">
        <f t="shared" si="9"/>
        <v>0</v>
      </c>
    </row>
    <row r="611" spans="3:3">
      <c r="C611" s="45">
        <f t="shared" si="9"/>
        <v>0</v>
      </c>
    </row>
    <row r="612" spans="3:3">
      <c r="C612" s="45">
        <f t="shared" si="9"/>
        <v>0</v>
      </c>
    </row>
    <row r="613" spans="3:3">
      <c r="C613" s="45">
        <f t="shared" si="9"/>
        <v>0</v>
      </c>
    </row>
    <row r="614" spans="3:3">
      <c r="C614" s="45">
        <f t="shared" si="9"/>
        <v>0</v>
      </c>
    </row>
    <row r="615" spans="3:3">
      <c r="C615" s="45">
        <f t="shared" si="9"/>
        <v>0</v>
      </c>
    </row>
    <row r="616" spans="3:3">
      <c r="C616" s="45">
        <f t="shared" si="9"/>
        <v>0</v>
      </c>
    </row>
    <row r="617" spans="3:3">
      <c r="C617" s="45">
        <f t="shared" si="9"/>
        <v>0</v>
      </c>
    </row>
    <row r="618" spans="3:3">
      <c r="C618" s="45">
        <f t="shared" si="9"/>
        <v>0</v>
      </c>
    </row>
    <row r="619" spans="3:3">
      <c r="C619" s="45">
        <f t="shared" si="9"/>
        <v>0</v>
      </c>
    </row>
    <row r="620" spans="3:3">
      <c r="C620" s="45">
        <f t="shared" si="9"/>
        <v>0</v>
      </c>
    </row>
    <row r="621" spans="3:3">
      <c r="C621" s="45">
        <f t="shared" si="9"/>
        <v>0</v>
      </c>
    </row>
    <row r="622" spans="3:3">
      <c r="C622" s="45">
        <f t="shared" si="9"/>
        <v>0</v>
      </c>
    </row>
    <row r="623" spans="3:3">
      <c r="C623" s="45">
        <f t="shared" si="9"/>
        <v>0</v>
      </c>
    </row>
    <row r="624" spans="3:3">
      <c r="C624" s="45">
        <f t="shared" si="9"/>
        <v>0</v>
      </c>
    </row>
    <row r="625" spans="3:3">
      <c r="C625" s="45">
        <f t="shared" si="9"/>
        <v>0</v>
      </c>
    </row>
    <row r="626" spans="3:3">
      <c r="C626" s="45">
        <f t="shared" si="9"/>
        <v>0</v>
      </c>
    </row>
    <row r="627" spans="3:3">
      <c r="C627" s="45">
        <f t="shared" si="9"/>
        <v>0</v>
      </c>
    </row>
    <row r="628" spans="3:3">
      <c r="C628" s="45">
        <f t="shared" si="9"/>
        <v>0</v>
      </c>
    </row>
    <row r="629" spans="3:3">
      <c r="C629" s="45">
        <f t="shared" si="9"/>
        <v>0</v>
      </c>
    </row>
    <row r="630" spans="3:3">
      <c r="C630" s="45">
        <f t="shared" si="9"/>
        <v>0</v>
      </c>
    </row>
    <row r="631" spans="3:3">
      <c r="C631" s="45">
        <f t="shared" si="9"/>
        <v>0</v>
      </c>
    </row>
    <row r="632" spans="3:3">
      <c r="C632" s="45">
        <f t="shared" si="9"/>
        <v>0</v>
      </c>
    </row>
    <row r="633" spans="3:3">
      <c r="C633" s="45">
        <f t="shared" si="9"/>
        <v>0</v>
      </c>
    </row>
    <row r="634" spans="3:3">
      <c r="C634" s="45">
        <f t="shared" si="9"/>
        <v>0</v>
      </c>
    </row>
    <row r="635" spans="3:3">
      <c r="C635" s="45">
        <f t="shared" si="9"/>
        <v>0</v>
      </c>
    </row>
    <row r="636" spans="3:3">
      <c r="C636" s="45">
        <f t="shared" si="9"/>
        <v>0</v>
      </c>
    </row>
    <row r="637" spans="3:3">
      <c r="C637" s="45">
        <f t="shared" si="9"/>
        <v>0</v>
      </c>
    </row>
    <row r="638" spans="3:3">
      <c r="C638" s="45">
        <f t="shared" si="9"/>
        <v>0</v>
      </c>
    </row>
    <row r="639" spans="3:3">
      <c r="C639" s="45">
        <f t="shared" si="9"/>
        <v>0</v>
      </c>
    </row>
    <row r="640" spans="3:3">
      <c r="C640" s="45">
        <f t="shared" si="9"/>
        <v>0</v>
      </c>
    </row>
    <row r="641" spans="3:3">
      <c r="C641" s="45">
        <f t="shared" si="9"/>
        <v>0</v>
      </c>
    </row>
    <row r="642" spans="3:3">
      <c r="C642" s="45">
        <f t="shared" si="9"/>
        <v>0</v>
      </c>
    </row>
    <row r="643" spans="3:3">
      <c r="C643" s="45">
        <f t="shared" ref="C643:C706" si="10">IF(B643=0,0,SUM(B643-A643))</f>
        <v>0</v>
      </c>
    </row>
    <row r="644" spans="3:3">
      <c r="C644" s="45">
        <f t="shared" si="10"/>
        <v>0</v>
      </c>
    </row>
    <row r="645" spans="3:3">
      <c r="C645" s="45">
        <f t="shared" si="10"/>
        <v>0</v>
      </c>
    </row>
    <row r="646" spans="3:3">
      <c r="C646" s="45">
        <f t="shared" si="10"/>
        <v>0</v>
      </c>
    </row>
    <row r="647" spans="3:3">
      <c r="C647" s="45">
        <f t="shared" si="10"/>
        <v>0</v>
      </c>
    </row>
    <row r="648" spans="3:3">
      <c r="C648" s="45">
        <f t="shared" si="10"/>
        <v>0</v>
      </c>
    </row>
    <row r="649" spans="3:3">
      <c r="C649" s="45">
        <f t="shared" si="10"/>
        <v>0</v>
      </c>
    </row>
    <row r="650" spans="3:3">
      <c r="C650" s="45">
        <f t="shared" si="10"/>
        <v>0</v>
      </c>
    </row>
    <row r="651" spans="3:3">
      <c r="C651" s="45">
        <f t="shared" si="10"/>
        <v>0</v>
      </c>
    </row>
    <row r="652" spans="3:3">
      <c r="C652" s="45">
        <f t="shared" si="10"/>
        <v>0</v>
      </c>
    </row>
    <row r="653" spans="3:3">
      <c r="C653" s="45">
        <f t="shared" si="10"/>
        <v>0</v>
      </c>
    </row>
    <row r="654" spans="3:3">
      <c r="C654" s="45">
        <f t="shared" si="10"/>
        <v>0</v>
      </c>
    </row>
    <row r="655" spans="3:3">
      <c r="C655" s="45">
        <f t="shared" si="10"/>
        <v>0</v>
      </c>
    </row>
    <row r="656" spans="3:3">
      <c r="C656" s="45">
        <f t="shared" si="10"/>
        <v>0</v>
      </c>
    </row>
    <row r="657" spans="3:3">
      <c r="C657" s="45">
        <f t="shared" si="10"/>
        <v>0</v>
      </c>
    </row>
    <row r="658" spans="3:3">
      <c r="C658" s="45">
        <f t="shared" si="10"/>
        <v>0</v>
      </c>
    </row>
    <row r="659" spans="3:3">
      <c r="C659" s="45">
        <f t="shared" si="10"/>
        <v>0</v>
      </c>
    </row>
    <row r="660" spans="3:3">
      <c r="C660" s="45">
        <f t="shared" si="10"/>
        <v>0</v>
      </c>
    </row>
    <row r="661" spans="3:3">
      <c r="C661" s="45">
        <f t="shared" si="10"/>
        <v>0</v>
      </c>
    </row>
    <row r="662" spans="3:3">
      <c r="C662" s="45">
        <f t="shared" si="10"/>
        <v>0</v>
      </c>
    </row>
    <row r="663" spans="3:3">
      <c r="C663" s="45">
        <f t="shared" si="10"/>
        <v>0</v>
      </c>
    </row>
    <row r="664" spans="3:3">
      <c r="C664" s="45">
        <f t="shared" si="10"/>
        <v>0</v>
      </c>
    </row>
    <row r="665" spans="3:3">
      <c r="C665" s="45">
        <f t="shared" si="10"/>
        <v>0</v>
      </c>
    </row>
    <row r="666" spans="3:3">
      <c r="C666" s="45">
        <f t="shared" si="10"/>
        <v>0</v>
      </c>
    </row>
    <row r="667" spans="3:3">
      <c r="C667" s="45">
        <f t="shared" si="10"/>
        <v>0</v>
      </c>
    </row>
    <row r="668" spans="3:3">
      <c r="C668" s="45">
        <f t="shared" si="10"/>
        <v>0</v>
      </c>
    </row>
    <row r="669" spans="3:3">
      <c r="C669" s="45">
        <f t="shared" si="10"/>
        <v>0</v>
      </c>
    </row>
    <row r="670" spans="3:3">
      <c r="C670" s="45">
        <f t="shared" si="10"/>
        <v>0</v>
      </c>
    </row>
    <row r="671" spans="3:3">
      <c r="C671" s="45">
        <f t="shared" si="10"/>
        <v>0</v>
      </c>
    </row>
    <row r="672" spans="3:3">
      <c r="C672" s="45">
        <f t="shared" si="10"/>
        <v>0</v>
      </c>
    </row>
    <row r="673" spans="3:3">
      <c r="C673" s="45">
        <f t="shared" si="10"/>
        <v>0</v>
      </c>
    </row>
    <row r="674" spans="3:3">
      <c r="C674" s="45">
        <f t="shared" si="10"/>
        <v>0</v>
      </c>
    </row>
    <row r="675" spans="3:3">
      <c r="C675" s="45">
        <f t="shared" si="10"/>
        <v>0</v>
      </c>
    </row>
    <row r="676" spans="3:3">
      <c r="C676" s="45">
        <f t="shared" si="10"/>
        <v>0</v>
      </c>
    </row>
    <row r="677" spans="3:3">
      <c r="C677" s="45">
        <f t="shared" si="10"/>
        <v>0</v>
      </c>
    </row>
    <row r="678" spans="3:3">
      <c r="C678" s="45">
        <f t="shared" si="10"/>
        <v>0</v>
      </c>
    </row>
    <row r="679" spans="3:3">
      <c r="C679" s="45">
        <f t="shared" si="10"/>
        <v>0</v>
      </c>
    </row>
    <row r="680" spans="3:3">
      <c r="C680" s="45">
        <f t="shared" si="10"/>
        <v>0</v>
      </c>
    </row>
    <row r="681" spans="3:3">
      <c r="C681" s="45">
        <f t="shared" si="10"/>
        <v>0</v>
      </c>
    </row>
    <row r="682" spans="3:3">
      <c r="C682" s="45">
        <f t="shared" si="10"/>
        <v>0</v>
      </c>
    </row>
    <row r="683" spans="3:3">
      <c r="C683" s="45">
        <f t="shared" si="10"/>
        <v>0</v>
      </c>
    </row>
    <row r="684" spans="3:3">
      <c r="C684" s="45">
        <f t="shared" si="10"/>
        <v>0</v>
      </c>
    </row>
    <row r="685" spans="3:3">
      <c r="C685" s="45">
        <f t="shared" si="10"/>
        <v>0</v>
      </c>
    </row>
    <row r="686" spans="3:3">
      <c r="C686" s="45">
        <f t="shared" si="10"/>
        <v>0</v>
      </c>
    </row>
    <row r="687" spans="3:3">
      <c r="C687" s="45">
        <f t="shared" si="10"/>
        <v>0</v>
      </c>
    </row>
    <row r="688" spans="3:3">
      <c r="C688" s="45">
        <f t="shared" si="10"/>
        <v>0</v>
      </c>
    </row>
    <row r="689" spans="3:3">
      <c r="C689" s="45">
        <f t="shared" si="10"/>
        <v>0</v>
      </c>
    </row>
    <row r="690" spans="3:3">
      <c r="C690" s="45">
        <f t="shared" si="10"/>
        <v>0</v>
      </c>
    </row>
    <row r="691" spans="3:3">
      <c r="C691" s="45">
        <f t="shared" si="10"/>
        <v>0</v>
      </c>
    </row>
    <row r="692" spans="3:3">
      <c r="C692" s="45">
        <f t="shared" si="10"/>
        <v>0</v>
      </c>
    </row>
    <row r="693" spans="3:3">
      <c r="C693" s="45">
        <f t="shared" si="10"/>
        <v>0</v>
      </c>
    </row>
    <row r="694" spans="3:3">
      <c r="C694" s="45">
        <f t="shared" si="10"/>
        <v>0</v>
      </c>
    </row>
    <row r="695" spans="3:3">
      <c r="C695" s="45">
        <f t="shared" si="10"/>
        <v>0</v>
      </c>
    </row>
    <row r="696" spans="3:3">
      <c r="C696" s="45">
        <f t="shared" si="10"/>
        <v>0</v>
      </c>
    </row>
    <row r="697" spans="3:3">
      <c r="C697" s="45">
        <f t="shared" si="10"/>
        <v>0</v>
      </c>
    </row>
    <row r="698" spans="3:3">
      <c r="C698" s="45">
        <f t="shared" si="10"/>
        <v>0</v>
      </c>
    </row>
    <row r="699" spans="3:3">
      <c r="C699" s="45">
        <f t="shared" si="10"/>
        <v>0</v>
      </c>
    </row>
    <row r="700" spans="3:3">
      <c r="C700" s="45">
        <f t="shared" si="10"/>
        <v>0</v>
      </c>
    </row>
    <row r="701" spans="3:3">
      <c r="C701" s="45">
        <f t="shared" si="10"/>
        <v>0</v>
      </c>
    </row>
    <row r="702" spans="3:3">
      <c r="C702" s="45">
        <f t="shared" si="10"/>
        <v>0</v>
      </c>
    </row>
    <row r="703" spans="3:3">
      <c r="C703" s="45">
        <f t="shared" si="10"/>
        <v>0</v>
      </c>
    </row>
    <row r="704" spans="3:3">
      <c r="C704" s="45">
        <f t="shared" si="10"/>
        <v>0</v>
      </c>
    </row>
    <row r="705" spans="3:3">
      <c r="C705" s="45">
        <f t="shared" si="10"/>
        <v>0</v>
      </c>
    </row>
    <row r="706" spans="3:3">
      <c r="C706" s="45">
        <f t="shared" si="10"/>
        <v>0</v>
      </c>
    </row>
    <row r="707" spans="3:3">
      <c r="C707" s="45">
        <f t="shared" ref="C707:C770" si="11">IF(B707=0,0,SUM(B707-A707))</f>
        <v>0</v>
      </c>
    </row>
    <row r="708" spans="3:3">
      <c r="C708" s="45">
        <f t="shared" si="11"/>
        <v>0</v>
      </c>
    </row>
    <row r="709" spans="3:3">
      <c r="C709" s="45">
        <f t="shared" si="11"/>
        <v>0</v>
      </c>
    </row>
    <row r="710" spans="3:3">
      <c r="C710" s="45">
        <f t="shared" si="11"/>
        <v>0</v>
      </c>
    </row>
    <row r="711" spans="3:3">
      <c r="C711" s="45">
        <f t="shared" si="11"/>
        <v>0</v>
      </c>
    </row>
    <row r="712" spans="3:3">
      <c r="C712" s="45">
        <f t="shared" si="11"/>
        <v>0</v>
      </c>
    </row>
    <row r="713" spans="3:3">
      <c r="C713" s="45">
        <f t="shared" si="11"/>
        <v>0</v>
      </c>
    </row>
    <row r="714" spans="3:3">
      <c r="C714" s="45">
        <f t="shared" si="11"/>
        <v>0</v>
      </c>
    </row>
    <row r="715" spans="3:3">
      <c r="C715" s="45">
        <f t="shared" si="11"/>
        <v>0</v>
      </c>
    </row>
    <row r="716" spans="3:3">
      <c r="C716" s="45">
        <f t="shared" si="11"/>
        <v>0</v>
      </c>
    </row>
    <row r="717" spans="3:3">
      <c r="C717" s="45">
        <f t="shared" si="11"/>
        <v>0</v>
      </c>
    </row>
    <row r="718" spans="3:3">
      <c r="C718" s="45">
        <f t="shared" si="11"/>
        <v>0</v>
      </c>
    </row>
    <row r="719" spans="3:3">
      <c r="C719" s="45">
        <f t="shared" si="11"/>
        <v>0</v>
      </c>
    </row>
    <row r="720" spans="3:3">
      <c r="C720" s="45">
        <f t="shared" si="11"/>
        <v>0</v>
      </c>
    </row>
    <row r="721" spans="3:3">
      <c r="C721" s="45">
        <f t="shared" si="11"/>
        <v>0</v>
      </c>
    </row>
    <row r="722" spans="3:3">
      <c r="C722" s="45">
        <f t="shared" si="11"/>
        <v>0</v>
      </c>
    </row>
    <row r="723" spans="3:3">
      <c r="C723" s="45">
        <f t="shared" si="11"/>
        <v>0</v>
      </c>
    </row>
    <row r="724" spans="3:3">
      <c r="C724" s="45">
        <f t="shared" si="11"/>
        <v>0</v>
      </c>
    </row>
    <row r="725" spans="3:3">
      <c r="C725" s="45">
        <f t="shared" si="11"/>
        <v>0</v>
      </c>
    </row>
    <row r="726" spans="3:3">
      <c r="C726" s="45">
        <f t="shared" si="11"/>
        <v>0</v>
      </c>
    </row>
    <row r="727" spans="3:3">
      <c r="C727" s="45">
        <f t="shared" si="11"/>
        <v>0</v>
      </c>
    </row>
    <row r="728" spans="3:3">
      <c r="C728" s="45">
        <f t="shared" si="11"/>
        <v>0</v>
      </c>
    </row>
    <row r="729" spans="3:3">
      <c r="C729" s="45">
        <f t="shared" si="11"/>
        <v>0</v>
      </c>
    </row>
    <row r="730" spans="3:3">
      <c r="C730" s="45">
        <f t="shared" si="11"/>
        <v>0</v>
      </c>
    </row>
    <row r="731" spans="3:3">
      <c r="C731" s="45">
        <f t="shared" si="11"/>
        <v>0</v>
      </c>
    </row>
    <row r="732" spans="3:3">
      <c r="C732" s="45">
        <f t="shared" si="11"/>
        <v>0</v>
      </c>
    </row>
    <row r="733" spans="3:3">
      <c r="C733" s="45">
        <f t="shared" si="11"/>
        <v>0</v>
      </c>
    </row>
    <row r="734" spans="3:3">
      <c r="C734" s="45">
        <f t="shared" si="11"/>
        <v>0</v>
      </c>
    </row>
    <row r="735" spans="3:3">
      <c r="C735" s="45">
        <f t="shared" si="11"/>
        <v>0</v>
      </c>
    </row>
    <row r="736" spans="3:3">
      <c r="C736" s="45">
        <f t="shared" si="11"/>
        <v>0</v>
      </c>
    </row>
    <row r="737" spans="3:3">
      <c r="C737" s="45">
        <f t="shared" si="11"/>
        <v>0</v>
      </c>
    </row>
    <row r="738" spans="3:3">
      <c r="C738" s="45">
        <f t="shared" si="11"/>
        <v>0</v>
      </c>
    </row>
    <row r="739" spans="3:3">
      <c r="C739" s="45">
        <f t="shared" si="11"/>
        <v>0</v>
      </c>
    </row>
    <row r="740" spans="3:3">
      <c r="C740" s="45">
        <f t="shared" si="11"/>
        <v>0</v>
      </c>
    </row>
    <row r="741" spans="3:3">
      <c r="C741" s="45">
        <f t="shared" si="11"/>
        <v>0</v>
      </c>
    </row>
    <row r="742" spans="3:3">
      <c r="C742" s="45">
        <f t="shared" si="11"/>
        <v>0</v>
      </c>
    </row>
    <row r="743" spans="3:3">
      <c r="C743" s="45">
        <f t="shared" si="11"/>
        <v>0</v>
      </c>
    </row>
    <row r="744" spans="3:3">
      <c r="C744" s="45">
        <f t="shared" si="11"/>
        <v>0</v>
      </c>
    </row>
    <row r="745" spans="3:3">
      <c r="C745" s="45">
        <f t="shared" si="11"/>
        <v>0</v>
      </c>
    </row>
    <row r="746" spans="3:3">
      <c r="C746" s="45">
        <f t="shared" si="11"/>
        <v>0</v>
      </c>
    </row>
    <row r="747" spans="3:3">
      <c r="C747" s="45">
        <f t="shared" si="11"/>
        <v>0</v>
      </c>
    </row>
    <row r="748" spans="3:3">
      <c r="C748" s="45">
        <f t="shared" si="11"/>
        <v>0</v>
      </c>
    </row>
    <row r="749" spans="3:3">
      <c r="C749" s="45">
        <f t="shared" si="11"/>
        <v>0</v>
      </c>
    </row>
    <row r="750" spans="3:3">
      <c r="C750" s="45">
        <f t="shared" si="11"/>
        <v>0</v>
      </c>
    </row>
    <row r="751" spans="3:3">
      <c r="C751" s="45">
        <f t="shared" si="11"/>
        <v>0</v>
      </c>
    </row>
    <row r="752" spans="3:3">
      <c r="C752" s="45">
        <f t="shared" si="11"/>
        <v>0</v>
      </c>
    </row>
    <row r="753" spans="3:3">
      <c r="C753" s="45">
        <f t="shared" si="11"/>
        <v>0</v>
      </c>
    </row>
    <row r="754" spans="3:3">
      <c r="C754" s="45">
        <f t="shared" si="11"/>
        <v>0</v>
      </c>
    </row>
    <row r="755" spans="3:3">
      <c r="C755" s="45">
        <f t="shared" si="11"/>
        <v>0</v>
      </c>
    </row>
    <row r="756" spans="3:3">
      <c r="C756" s="45">
        <f t="shared" si="11"/>
        <v>0</v>
      </c>
    </row>
    <row r="757" spans="3:3">
      <c r="C757" s="45">
        <f t="shared" si="11"/>
        <v>0</v>
      </c>
    </row>
    <row r="758" spans="3:3">
      <c r="C758" s="45">
        <f t="shared" si="11"/>
        <v>0</v>
      </c>
    </row>
    <row r="759" spans="3:3">
      <c r="C759" s="45">
        <f t="shared" si="11"/>
        <v>0</v>
      </c>
    </row>
    <row r="760" spans="3:3">
      <c r="C760" s="45">
        <f t="shared" si="11"/>
        <v>0</v>
      </c>
    </row>
    <row r="761" spans="3:3">
      <c r="C761" s="45">
        <f t="shared" si="11"/>
        <v>0</v>
      </c>
    </row>
    <row r="762" spans="3:3">
      <c r="C762" s="45">
        <f t="shared" si="11"/>
        <v>0</v>
      </c>
    </row>
    <row r="763" spans="3:3">
      <c r="C763" s="45">
        <f t="shared" si="11"/>
        <v>0</v>
      </c>
    </row>
    <row r="764" spans="3:3">
      <c r="C764" s="45">
        <f t="shared" si="11"/>
        <v>0</v>
      </c>
    </row>
    <row r="765" spans="3:3">
      <c r="C765" s="45">
        <f t="shared" si="11"/>
        <v>0</v>
      </c>
    </row>
    <row r="766" spans="3:3">
      <c r="C766" s="45">
        <f t="shared" si="11"/>
        <v>0</v>
      </c>
    </row>
    <row r="767" spans="3:3">
      <c r="C767" s="45">
        <f t="shared" si="11"/>
        <v>0</v>
      </c>
    </row>
    <row r="768" spans="3:3">
      <c r="C768" s="45">
        <f t="shared" si="11"/>
        <v>0</v>
      </c>
    </row>
    <row r="769" spans="3:3">
      <c r="C769" s="45">
        <f t="shared" si="11"/>
        <v>0</v>
      </c>
    </row>
    <row r="770" spans="3:3">
      <c r="C770" s="45">
        <f t="shared" si="11"/>
        <v>0</v>
      </c>
    </row>
    <row r="771" spans="3:3">
      <c r="C771" s="45">
        <f t="shared" ref="C771:C834" si="12">IF(B771=0,0,SUM(B771-A771))</f>
        <v>0</v>
      </c>
    </row>
    <row r="772" spans="3:3">
      <c r="C772" s="45">
        <f t="shared" si="12"/>
        <v>0</v>
      </c>
    </row>
    <row r="773" spans="3:3">
      <c r="C773" s="45">
        <f t="shared" si="12"/>
        <v>0</v>
      </c>
    </row>
    <row r="774" spans="3:3">
      <c r="C774" s="45">
        <f t="shared" si="12"/>
        <v>0</v>
      </c>
    </row>
    <row r="775" spans="3:3">
      <c r="C775" s="45">
        <f t="shared" si="12"/>
        <v>0</v>
      </c>
    </row>
    <row r="776" spans="3:3">
      <c r="C776" s="45">
        <f t="shared" si="12"/>
        <v>0</v>
      </c>
    </row>
    <row r="777" spans="3:3">
      <c r="C777" s="45">
        <f t="shared" si="12"/>
        <v>0</v>
      </c>
    </row>
    <row r="778" spans="3:3">
      <c r="C778" s="45">
        <f t="shared" si="12"/>
        <v>0</v>
      </c>
    </row>
    <row r="779" spans="3:3">
      <c r="C779" s="45">
        <f t="shared" si="12"/>
        <v>0</v>
      </c>
    </row>
    <row r="780" spans="3:3">
      <c r="C780" s="45">
        <f t="shared" si="12"/>
        <v>0</v>
      </c>
    </row>
    <row r="781" spans="3:3">
      <c r="C781" s="45">
        <f t="shared" si="12"/>
        <v>0</v>
      </c>
    </row>
    <row r="782" spans="3:3">
      <c r="C782" s="45">
        <f t="shared" si="12"/>
        <v>0</v>
      </c>
    </row>
    <row r="783" spans="3:3">
      <c r="C783" s="45">
        <f t="shared" si="12"/>
        <v>0</v>
      </c>
    </row>
    <row r="784" spans="3:3">
      <c r="C784" s="45">
        <f t="shared" si="12"/>
        <v>0</v>
      </c>
    </row>
    <row r="785" spans="3:3">
      <c r="C785" s="45">
        <f t="shared" si="12"/>
        <v>0</v>
      </c>
    </row>
    <row r="786" spans="3:3">
      <c r="C786" s="45">
        <f t="shared" si="12"/>
        <v>0</v>
      </c>
    </row>
    <row r="787" spans="3:3">
      <c r="C787" s="45">
        <f t="shared" si="12"/>
        <v>0</v>
      </c>
    </row>
    <row r="788" spans="3:3">
      <c r="C788" s="45">
        <f t="shared" si="12"/>
        <v>0</v>
      </c>
    </row>
    <row r="789" spans="3:3">
      <c r="C789" s="45">
        <f t="shared" si="12"/>
        <v>0</v>
      </c>
    </row>
    <row r="790" spans="3:3">
      <c r="C790" s="45">
        <f t="shared" si="12"/>
        <v>0</v>
      </c>
    </row>
    <row r="791" spans="3:3">
      <c r="C791" s="45">
        <f t="shared" si="12"/>
        <v>0</v>
      </c>
    </row>
    <row r="792" spans="3:3">
      <c r="C792" s="45">
        <f t="shared" si="12"/>
        <v>0</v>
      </c>
    </row>
    <row r="793" spans="3:3">
      <c r="C793" s="45">
        <f t="shared" si="12"/>
        <v>0</v>
      </c>
    </row>
    <row r="794" spans="3:3">
      <c r="C794" s="45">
        <f t="shared" si="12"/>
        <v>0</v>
      </c>
    </row>
    <row r="795" spans="3:3">
      <c r="C795" s="45">
        <f t="shared" si="12"/>
        <v>0</v>
      </c>
    </row>
    <row r="796" spans="3:3">
      <c r="C796" s="45">
        <f t="shared" si="12"/>
        <v>0</v>
      </c>
    </row>
    <row r="797" spans="3:3">
      <c r="C797" s="45">
        <f t="shared" si="12"/>
        <v>0</v>
      </c>
    </row>
    <row r="798" spans="3:3">
      <c r="C798" s="45">
        <f t="shared" si="12"/>
        <v>0</v>
      </c>
    </row>
    <row r="799" spans="3:3">
      <c r="C799" s="45">
        <f t="shared" si="12"/>
        <v>0</v>
      </c>
    </row>
    <row r="800" spans="3:3">
      <c r="C800" s="45">
        <f t="shared" si="12"/>
        <v>0</v>
      </c>
    </row>
    <row r="801" spans="3:3">
      <c r="C801" s="45">
        <f t="shared" si="12"/>
        <v>0</v>
      </c>
    </row>
    <row r="802" spans="3:3">
      <c r="C802" s="45">
        <f t="shared" si="12"/>
        <v>0</v>
      </c>
    </row>
    <row r="803" spans="3:3">
      <c r="C803" s="45">
        <f t="shared" si="12"/>
        <v>0</v>
      </c>
    </row>
    <row r="804" spans="3:3">
      <c r="C804" s="45">
        <f t="shared" si="12"/>
        <v>0</v>
      </c>
    </row>
    <row r="805" spans="3:3">
      <c r="C805" s="45">
        <f t="shared" si="12"/>
        <v>0</v>
      </c>
    </row>
    <row r="806" spans="3:3">
      <c r="C806" s="45">
        <f t="shared" si="12"/>
        <v>0</v>
      </c>
    </row>
    <row r="807" spans="3:3">
      <c r="C807" s="45">
        <f t="shared" si="12"/>
        <v>0</v>
      </c>
    </row>
    <row r="808" spans="3:3">
      <c r="C808" s="45">
        <f t="shared" si="12"/>
        <v>0</v>
      </c>
    </row>
    <row r="809" spans="3:3">
      <c r="C809" s="45">
        <f t="shared" si="12"/>
        <v>0</v>
      </c>
    </row>
    <row r="810" spans="3:3">
      <c r="C810" s="45">
        <f t="shared" si="12"/>
        <v>0</v>
      </c>
    </row>
    <row r="811" spans="3:3">
      <c r="C811" s="45">
        <f t="shared" si="12"/>
        <v>0</v>
      </c>
    </row>
    <row r="812" spans="3:3">
      <c r="C812" s="45">
        <f t="shared" si="12"/>
        <v>0</v>
      </c>
    </row>
    <row r="813" spans="3:3">
      <c r="C813" s="45">
        <f t="shared" si="12"/>
        <v>0</v>
      </c>
    </row>
    <row r="814" spans="3:3">
      <c r="C814" s="45">
        <f t="shared" si="12"/>
        <v>0</v>
      </c>
    </row>
    <row r="815" spans="3:3">
      <c r="C815" s="45">
        <f t="shared" si="12"/>
        <v>0</v>
      </c>
    </row>
    <row r="816" spans="3:3">
      <c r="C816" s="45">
        <f t="shared" si="12"/>
        <v>0</v>
      </c>
    </row>
    <row r="817" spans="3:3">
      <c r="C817" s="45">
        <f t="shared" si="12"/>
        <v>0</v>
      </c>
    </row>
    <row r="818" spans="3:3">
      <c r="C818" s="45">
        <f t="shared" si="12"/>
        <v>0</v>
      </c>
    </row>
    <row r="819" spans="3:3">
      <c r="C819" s="45">
        <f t="shared" si="12"/>
        <v>0</v>
      </c>
    </row>
    <row r="820" spans="3:3">
      <c r="C820" s="45">
        <f t="shared" si="12"/>
        <v>0</v>
      </c>
    </row>
    <row r="821" spans="3:3">
      <c r="C821" s="45">
        <f t="shared" si="12"/>
        <v>0</v>
      </c>
    </row>
    <row r="822" spans="3:3">
      <c r="C822" s="45">
        <f t="shared" si="12"/>
        <v>0</v>
      </c>
    </row>
    <row r="823" spans="3:3">
      <c r="C823" s="45">
        <f t="shared" si="12"/>
        <v>0</v>
      </c>
    </row>
    <row r="824" spans="3:3">
      <c r="C824" s="45">
        <f t="shared" si="12"/>
        <v>0</v>
      </c>
    </row>
    <row r="825" spans="3:3">
      <c r="C825" s="45">
        <f t="shared" si="12"/>
        <v>0</v>
      </c>
    </row>
    <row r="826" spans="3:3">
      <c r="C826" s="45">
        <f t="shared" si="12"/>
        <v>0</v>
      </c>
    </row>
    <row r="827" spans="3:3">
      <c r="C827" s="45">
        <f t="shared" si="12"/>
        <v>0</v>
      </c>
    </row>
    <row r="828" spans="3:3">
      <c r="C828" s="45">
        <f t="shared" si="12"/>
        <v>0</v>
      </c>
    </row>
    <row r="829" spans="3:3">
      <c r="C829" s="45">
        <f t="shared" si="12"/>
        <v>0</v>
      </c>
    </row>
    <row r="830" spans="3:3">
      <c r="C830" s="45">
        <f t="shared" si="12"/>
        <v>0</v>
      </c>
    </row>
    <row r="831" spans="3:3">
      <c r="C831" s="45">
        <f t="shared" si="12"/>
        <v>0</v>
      </c>
    </row>
    <row r="832" spans="3:3">
      <c r="C832" s="45">
        <f t="shared" si="12"/>
        <v>0</v>
      </c>
    </row>
    <row r="833" spans="3:3">
      <c r="C833" s="45">
        <f t="shared" si="12"/>
        <v>0</v>
      </c>
    </row>
    <row r="834" spans="3:3">
      <c r="C834" s="45">
        <f t="shared" si="12"/>
        <v>0</v>
      </c>
    </row>
    <row r="835" spans="3:3">
      <c r="C835" s="45">
        <f t="shared" ref="C835:C898" si="13">IF(B835=0,0,SUM(B835-A835))</f>
        <v>0</v>
      </c>
    </row>
    <row r="836" spans="3:3">
      <c r="C836" s="45">
        <f t="shared" si="13"/>
        <v>0</v>
      </c>
    </row>
    <row r="837" spans="3:3">
      <c r="C837" s="45">
        <f t="shared" si="13"/>
        <v>0</v>
      </c>
    </row>
    <row r="838" spans="3:3">
      <c r="C838" s="45">
        <f t="shared" si="13"/>
        <v>0</v>
      </c>
    </row>
    <row r="839" spans="3:3">
      <c r="C839" s="45">
        <f t="shared" si="13"/>
        <v>0</v>
      </c>
    </row>
    <row r="840" spans="3:3">
      <c r="C840" s="45">
        <f t="shared" si="13"/>
        <v>0</v>
      </c>
    </row>
    <row r="841" spans="3:3">
      <c r="C841" s="45">
        <f t="shared" si="13"/>
        <v>0</v>
      </c>
    </row>
    <row r="842" spans="3:3">
      <c r="C842" s="45">
        <f t="shared" si="13"/>
        <v>0</v>
      </c>
    </row>
    <row r="843" spans="3:3">
      <c r="C843" s="45">
        <f t="shared" si="13"/>
        <v>0</v>
      </c>
    </row>
    <row r="844" spans="3:3">
      <c r="C844" s="45">
        <f t="shared" si="13"/>
        <v>0</v>
      </c>
    </row>
    <row r="845" spans="3:3">
      <c r="C845" s="45">
        <f t="shared" si="13"/>
        <v>0</v>
      </c>
    </row>
    <row r="846" spans="3:3">
      <c r="C846" s="45">
        <f t="shared" si="13"/>
        <v>0</v>
      </c>
    </row>
    <row r="847" spans="3:3">
      <c r="C847" s="45">
        <f t="shared" si="13"/>
        <v>0</v>
      </c>
    </row>
    <row r="848" spans="3:3">
      <c r="C848" s="45">
        <f t="shared" si="13"/>
        <v>0</v>
      </c>
    </row>
    <row r="849" spans="3:3">
      <c r="C849" s="45">
        <f t="shared" si="13"/>
        <v>0</v>
      </c>
    </row>
    <row r="850" spans="3:3">
      <c r="C850" s="45">
        <f t="shared" si="13"/>
        <v>0</v>
      </c>
    </row>
    <row r="851" spans="3:3">
      <c r="C851" s="45">
        <f t="shared" si="13"/>
        <v>0</v>
      </c>
    </row>
    <row r="852" spans="3:3">
      <c r="C852" s="45">
        <f t="shared" si="13"/>
        <v>0</v>
      </c>
    </row>
    <row r="853" spans="3:3">
      <c r="C853" s="45">
        <f t="shared" si="13"/>
        <v>0</v>
      </c>
    </row>
    <row r="854" spans="3:3">
      <c r="C854" s="45">
        <f t="shared" si="13"/>
        <v>0</v>
      </c>
    </row>
    <row r="855" spans="3:3">
      <c r="C855" s="45">
        <f t="shared" si="13"/>
        <v>0</v>
      </c>
    </row>
    <row r="856" spans="3:3">
      <c r="C856" s="45">
        <f t="shared" si="13"/>
        <v>0</v>
      </c>
    </row>
    <row r="857" spans="3:3">
      <c r="C857" s="45">
        <f t="shared" si="13"/>
        <v>0</v>
      </c>
    </row>
    <row r="858" spans="3:3">
      <c r="C858" s="45">
        <f t="shared" si="13"/>
        <v>0</v>
      </c>
    </row>
    <row r="859" spans="3:3">
      <c r="C859" s="45">
        <f t="shared" si="13"/>
        <v>0</v>
      </c>
    </row>
    <row r="860" spans="3:3">
      <c r="C860" s="45">
        <f t="shared" si="13"/>
        <v>0</v>
      </c>
    </row>
    <row r="861" spans="3:3">
      <c r="C861" s="45">
        <f t="shared" si="13"/>
        <v>0</v>
      </c>
    </row>
    <row r="862" spans="3:3">
      <c r="C862" s="45">
        <f t="shared" si="13"/>
        <v>0</v>
      </c>
    </row>
    <row r="863" spans="3:3">
      <c r="C863" s="45">
        <f t="shared" si="13"/>
        <v>0</v>
      </c>
    </row>
    <row r="864" spans="3:3">
      <c r="C864" s="45">
        <f t="shared" si="13"/>
        <v>0</v>
      </c>
    </row>
    <row r="865" spans="3:3">
      <c r="C865" s="45">
        <f t="shared" si="13"/>
        <v>0</v>
      </c>
    </row>
    <row r="866" spans="3:3">
      <c r="C866" s="45">
        <f t="shared" si="13"/>
        <v>0</v>
      </c>
    </row>
    <row r="867" spans="3:3">
      <c r="C867" s="45">
        <f t="shared" si="13"/>
        <v>0</v>
      </c>
    </row>
    <row r="868" spans="3:3">
      <c r="C868" s="45">
        <f t="shared" si="13"/>
        <v>0</v>
      </c>
    </row>
    <row r="869" spans="3:3">
      <c r="C869" s="45">
        <f t="shared" si="13"/>
        <v>0</v>
      </c>
    </row>
    <row r="870" spans="3:3">
      <c r="C870" s="45">
        <f t="shared" si="13"/>
        <v>0</v>
      </c>
    </row>
    <row r="871" spans="3:3">
      <c r="C871" s="45">
        <f t="shared" si="13"/>
        <v>0</v>
      </c>
    </row>
    <row r="872" spans="3:3">
      <c r="C872" s="45">
        <f t="shared" si="13"/>
        <v>0</v>
      </c>
    </row>
    <row r="873" spans="3:3">
      <c r="C873" s="45">
        <f t="shared" si="13"/>
        <v>0</v>
      </c>
    </row>
    <row r="874" spans="3:3">
      <c r="C874" s="45">
        <f t="shared" si="13"/>
        <v>0</v>
      </c>
    </row>
    <row r="875" spans="3:3">
      <c r="C875" s="45">
        <f t="shared" si="13"/>
        <v>0</v>
      </c>
    </row>
    <row r="876" spans="3:3">
      <c r="C876" s="45">
        <f t="shared" si="13"/>
        <v>0</v>
      </c>
    </row>
    <row r="877" spans="3:3">
      <c r="C877" s="45">
        <f t="shared" si="13"/>
        <v>0</v>
      </c>
    </row>
    <row r="878" spans="3:3">
      <c r="C878" s="45">
        <f t="shared" si="13"/>
        <v>0</v>
      </c>
    </row>
    <row r="879" spans="3:3">
      <c r="C879" s="45">
        <f t="shared" si="13"/>
        <v>0</v>
      </c>
    </row>
    <row r="880" spans="3:3">
      <c r="C880" s="45">
        <f t="shared" si="13"/>
        <v>0</v>
      </c>
    </row>
    <row r="881" spans="3:3">
      <c r="C881" s="45">
        <f t="shared" si="13"/>
        <v>0</v>
      </c>
    </row>
    <row r="882" spans="3:3">
      <c r="C882" s="45">
        <f t="shared" si="13"/>
        <v>0</v>
      </c>
    </row>
    <row r="883" spans="3:3">
      <c r="C883" s="45">
        <f t="shared" si="13"/>
        <v>0</v>
      </c>
    </row>
    <row r="884" spans="3:3">
      <c r="C884" s="45">
        <f t="shared" si="13"/>
        <v>0</v>
      </c>
    </row>
    <row r="885" spans="3:3">
      <c r="C885" s="45">
        <f t="shared" si="13"/>
        <v>0</v>
      </c>
    </row>
    <row r="886" spans="3:3">
      <c r="C886" s="45">
        <f t="shared" si="13"/>
        <v>0</v>
      </c>
    </row>
    <row r="887" spans="3:3">
      <c r="C887" s="45">
        <f t="shared" si="13"/>
        <v>0</v>
      </c>
    </row>
    <row r="888" spans="3:3">
      <c r="C888" s="45">
        <f t="shared" si="13"/>
        <v>0</v>
      </c>
    </row>
    <row r="889" spans="3:3">
      <c r="C889" s="45">
        <f t="shared" si="13"/>
        <v>0</v>
      </c>
    </row>
    <row r="890" spans="3:3">
      <c r="C890" s="45">
        <f t="shared" si="13"/>
        <v>0</v>
      </c>
    </row>
    <row r="891" spans="3:3">
      <c r="C891" s="45">
        <f t="shared" si="13"/>
        <v>0</v>
      </c>
    </row>
    <row r="892" spans="3:3">
      <c r="C892" s="45">
        <f t="shared" si="13"/>
        <v>0</v>
      </c>
    </row>
    <row r="893" spans="3:3">
      <c r="C893" s="45">
        <f t="shared" si="13"/>
        <v>0</v>
      </c>
    </row>
    <row r="894" spans="3:3">
      <c r="C894" s="45">
        <f t="shared" si="13"/>
        <v>0</v>
      </c>
    </row>
    <row r="895" spans="3:3">
      <c r="C895" s="45">
        <f t="shared" si="13"/>
        <v>0</v>
      </c>
    </row>
    <row r="896" spans="3:3">
      <c r="C896" s="45">
        <f t="shared" si="13"/>
        <v>0</v>
      </c>
    </row>
    <row r="897" spans="3:3">
      <c r="C897" s="45">
        <f t="shared" si="13"/>
        <v>0</v>
      </c>
    </row>
    <row r="898" spans="3:3">
      <c r="C898" s="45">
        <f t="shared" si="13"/>
        <v>0</v>
      </c>
    </row>
    <row r="899" spans="3:3">
      <c r="C899" s="45">
        <f t="shared" ref="C899:C962" si="14">IF(B899=0,0,SUM(B899-A899))</f>
        <v>0</v>
      </c>
    </row>
    <row r="900" spans="3:3">
      <c r="C900" s="45">
        <f t="shared" si="14"/>
        <v>0</v>
      </c>
    </row>
    <row r="901" spans="3:3">
      <c r="C901" s="45">
        <f t="shared" si="14"/>
        <v>0</v>
      </c>
    </row>
    <row r="902" spans="3:3">
      <c r="C902" s="45">
        <f t="shared" si="14"/>
        <v>0</v>
      </c>
    </row>
    <row r="903" spans="3:3">
      <c r="C903" s="45">
        <f t="shared" si="14"/>
        <v>0</v>
      </c>
    </row>
    <row r="904" spans="3:3">
      <c r="C904" s="45">
        <f t="shared" si="14"/>
        <v>0</v>
      </c>
    </row>
    <row r="905" spans="3:3">
      <c r="C905" s="45">
        <f t="shared" si="14"/>
        <v>0</v>
      </c>
    </row>
    <row r="906" spans="3:3">
      <c r="C906" s="45">
        <f t="shared" si="14"/>
        <v>0</v>
      </c>
    </row>
    <row r="907" spans="3:3">
      <c r="C907" s="45">
        <f t="shared" si="14"/>
        <v>0</v>
      </c>
    </row>
    <row r="908" spans="3:3">
      <c r="C908" s="45">
        <f t="shared" si="14"/>
        <v>0</v>
      </c>
    </row>
    <row r="909" spans="3:3">
      <c r="C909" s="45">
        <f t="shared" si="14"/>
        <v>0</v>
      </c>
    </row>
    <row r="910" spans="3:3">
      <c r="C910" s="45">
        <f t="shared" si="14"/>
        <v>0</v>
      </c>
    </row>
    <row r="911" spans="3:3">
      <c r="C911" s="45">
        <f t="shared" si="14"/>
        <v>0</v>
      </c>
    </row>
    <row r="912" spans="3:3">
      <c r="C912" s="45">
        <f t="shared" si="14"/>
        <v>0</v>
      </c>
    </row>
    <row r="913" spans="3:3">
      <c r="C913" s="45">
        <f t="shared" si="14"/>
        <v>0</v>
      </c>
    </row>
    <row r="914" spans="3:3">
      <c r="C914" s="45">
        <f t="shared" si="14"/>
        <v>0</v>
      </c>
    </row>
    <row r="915" spans="3:3">
      <c r="C915" s="45">
        <f t="shared" si="14"/>
        <v>0</v>
      </c>
    </row>
    <row r="916" spans="3:3">
      <c r="C916" s="45">
        <f t="shared" si="14"/>
        <v>0</v>
      </c>
    </row>
    <row r="917" spans="3:3">
      <c r="C917" s="45">
        <f t="shared" si="14"/>
        <v>0</v>
      </c>
    </row>
    <row r="918" spans="3:3">
      <c r="C918" s="45">
        <f t="shared" si="14"/>
        <v>0</v>
      </c>
    </row>
    <row r="919" spans="3:3">
      <c r="C919" s="45">
        <f t="shared" si="14"/>
        <v>0</v>
      </c>
    </row>
    <row r="920" spans="3:3">
      <c r="C920" s="45">
        <f t="shared" si="14"/>
        <v>0</v>
      </c>
    </row>
    <row r="921" spans="3:3">
      <c r="C921" s="45">
        <f t="shared" si="14"/>
        <v>0</v>
      </c>
    </row>
    <row r="922" spans="3:3">
      <c r="C922" s="45">
        <f t="shared" si="14"/>
        <v>0</v>
      </c>
    </row>
    <row r="923" spans="3:3">
      <c r="C923" s="45">
        <f t="shared" si="14"/>
        <v>0</v>
      </c>
    </row>
    <row r="924" spans="3:3">
      <c r="C924" s="45">
        <f t="shared" si="14"/>
        <v>0</v>
      </c>
    </row>
    <row r="925" spans="3:3">
      <c r="C925" s="45">
        <f t="shared" si="14"/>
        <v>0</v>
      </c>
    </row>
    <row r="926" spans="3:3">
      <c r="C926" s="45">
        <f t="shared" si="14"/>
        <v>0</v>
      </c>
    </row>
    <row r="927" spans="3:3">
      <c r="C927" s="45">
        <f t="shared" si="14"/>
        <v>0</v>
      </c>
    </row>
    <row r="928" spans="3:3">
      <c r="C928" s="45">
        <f t="shared" si="14"/>
        <v>0</v>
      </c>
    </row>
    <row r="929" spans="3:3">
      <c r="C929" s="45">
        <f t="shared" si="14"/>
        <v>0</v>
      </c>
    </row>
    <row r="930" spans="3:3">
      <c r="C930" s="45">
        <f t="shared" si="14"/>
        <v>0</v>
      </c>
    </row>
    <row r="931" spans="3:3">
      <c r="C931" s="45">
        <f t="shared" si="14"/>
        <v>0</v>
      </c>
    </row>
    <row r="932" spans="3:3">
      <c r="C932" s="45">
        <f t="shared" si="14"/>
        <v>0</v>
      </c>
    </row>
    <row r="933" spans="3:3">
      <c r="C933" s="45">
        <f t="shared" si="14"/>
        <v>0</v>
      </c>
    </row>
    <row r="934" spans="3:3">
      <c r="C934" s="45">
        <f t="shared" si="14"/>
        <v>0</v>
      </c>
    </row>
    <row r="935" spans="3:3">
      <c r="C935" s="45">
        <f t="shared" si="14"/>
        <v>0</v>
      </c>
    </row>
    <row r="936" spans="3:3">
      <c r="C936" s="45">
        <f t="shared" si="14"/>
        <v>0</v>
      </c>
    </row>
    <row r="937" spans="3:3">
      <c r="C937" s="45">
        <f t="shared" si="14"/>
        <v>0</v>
      </c>
    </row>
    <row r="938" spans="3:3">
      <c r="C938" s="45">
        <f t="shared" si="14"/>
        <v>0</v>
      </c>
    </row>
    <row r="939" spans="3:3">
      <c r="C939" s="45">
        <f t="shared" si="14"/>
        <v>0</v>
      </c>
    </row>
    <row r="940" spans="3:3">
      <c r="C940" s="45">
        <f t="shared" si="14"/>
        <v>0</v>
      </c>
    </row>
    <row r="941" spans="3:3">
      <c r="C941" s="45">
        <f t="shared" si="14"/>
        <v>0</v>
      </c>
    </row>
    <row r="942" spans="3:3">
      <c r="C942" s="45">
        <f t="shared" si="14"/>
        <v>0</v>
      </c>
    </row>
    <row r="943" spans="3:3">
      <c r="C943" s="45">
        <f t="shared" si="14"/>
        <v>0</v>
      </c>
    </row>
    <row r="944" spans="3:3">
      <c r="C944" s="45">
        <f t="shared" si="14"/>
        <v>0</v>
      </c>
    </row>
    <row r="945" spans="3:3">
      <c r="C945" s="45">
        <f t="shared" si="14"/>
        <v>0</v>
      </c>
    </row>
    <row r="946" spans="3:3">
      <c r="C946" s="45">
        <f t="shared" si="14"/>
        <v>0</v>
      </c>
    </row>
    <row r="947" spans="3:3">
      <c r="C947" s="45">
        <f t="shared" si="14"/>
        <v>0</v>
      </c>
    </row>
    <row r="948" spans="3:3">
      <c r="C948" s="45">
        <f t="shared" si="14"/>
        <v>0</v>
      </c>
    </row>
    <row r="949" spans="3:3">
      <c r="C949" s="45">
        <f t="shared" si="14"/>
        <v>0</v>
      </c>
    </row>
    <row r="950" spans="3:3">
      <c r="C950" s="45">
        <f t="shared" si="14"/>
        <v>0</v>
      </c>
    </row>
    <row r="951" spans="3:3">
      <c r="C951" s="45">
        <f t="shared" si="14"/>
        <v>0</v>
      </c>
    </row>
    <row r="952" spans="3:3">
      <c r="C952" s="45">
        <f t="shared" si="14"/>
        <v>0</v>
      </c>
    </row>
    <row r="953" spans="3:3">
      <c r="C953" s="45">
        <f t="shared" si="14"/>
        <v>0</v>
      </c>
    </row>
    <row r="954" spans="3:3">
      <c r="C954" s="45">
        <f t="shared" si="14"/>
        <v>0</v>
      </c>
    </row>
    <row r="955" spans="3:3">
      <c r="C955" s="45">
        <f t="shared" si="14"/>
        <v>0</v>
      </c>
    </row>
    <row r="956" spans="3:3">
      <c r="C956" s="45">
        <f t="shared" si="14"/>
        <v>0</v>
      </c>
    </row>
    <row r="957" spans="3:3">
      <c r="C957" s="45">
        <f t="shared" si="14"/>
        <v>0</v>
      </c>
    </row>
    <row r="958" spans="3:3">
      <c r="C958" s="45">
        <f t="shared" si="14"/>
        <v>0</v>
      </c>
    </row>
    <row r="959" spans="3:3">
      <c r="C959" s="45">
        <f t="shared" si="14"/>
        <v>0</v>
      </c>
    </row>
    <row r="960" spans="3:3">
      <c r="C960" s="45">
        <f t="shared" si="14"/>
        <v>0</v>
      </c>
    </row>
    <row r="961" spans="3:3">
      <c r="C961" s="45">
        <f t="shared" si="14"/>
        <v>0</v>
      </c>
    </row>
    <row r="962" spans="3:3">
      <c r="C962" s="45">
        <f t="shared" si="14"/>
        <v>0</v>
      </c>
    </row>
    <row r="963" spans="3:3">
      <c r="C963" s="45">
        <f t="shared" ref="C963:C975" si="15">IF(B963=0,0,SUM(B963-A963))</f>
        <v>0</v>
      </c>
    </row>
    <row r="964" spans="3:3">
      <c r="C964" s="45">
        <f t="shared" si="15"/>
        <v>0</v>
      </c>
    </row>
    <row r="965" spans="3:3">
      <c r="C965" s="45">
        <f t="shared" si="15"/>
        <v>0</v>
      </c>
    </row>
    <row r="966" spans="3:3">
      <c r="C966" s="45">
        <f t="shared" si="15"/>
        <v>0</v>
      </c>
    </row>
    <row r="967" spans="3:3">
      <c r="C967" s="45">
        <f t="shared" si="15"/>
        <v>0</v>
      </c>
    </row>
    <row r="968" spans="3:3">
      <c r="C968" s="45">
        <f t="shared" si="15"/>
        <v>0</v>
      </c>
    </row>
    <row r="969" spans="3:3">
      <c r="C969" s="45">
        <f t="shared" si="15"/>
        <v>0</v>
      </c>
    </row>
    <row r="970" spans="3:3">
      <c r="C970" s="45">
        <f t="shared" si="15"/>
        <v>0</v>
      </c>
    </row>
    <row r="971" spans="3:3">
      <c r="C971" s="45">
        <f t="shared" si="15"/>
        <v>0</v>
      </c>
    </row>
    <row r="972" spans="3:3">
      <c r="C972" s="45">
        <f t="shared" si="15"/>
        <v>0</v>
      </c>
    </row>
    <row r="973" spans="3:3">
      <c r="C973" s="45">
        <f t="shared" si="15"/>
        <v>0</v>
      </c>
    </row>
    <row r="974" spans="3:3">
      <c r="C974" s="45">
        <f t="shared" si="15"/>
        <v>0</v>
      </c>
    </row>
    <row r="975" spans="3:3">
      <c r="C975" s="45">
        <f t="shared" si="15"/>
        <v>0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AC296"/>
  <sheetViews>
    <sheetView showGridLines="0" showRowColHeaders="0" workbookViewId="0">
      <selection activeCell="B4" sqref="B4:K20"/>
    </sheetView>
  </sheetViews>
  <sheetFormatPr defaultRowHeight="15"/>
  <sheetData>
    <row r="1" spans="1:29" ht="50.25" customHeight="1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ht="18.75">
      <c r="A2" s="60"/>
      <c r="B2" s="244" t="s">
        <v>103</v>
      </c>
      <c r="C2" s="244"/>
      <c r="D2" s="244"/>
      <c r="E2" s="244"/>
      <c r="F2" s="244"/>
      <c r="G2" s="244"/>
      <c r="H2" s="244"/>
      <c r="I2" s="244"/>
      <c r="J2" s="244"/>
      <c r="K2" s="244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</row>
    <row r="3" spans="1:29" ht="6.75" customHeight="1">
      <c r="A3" s="60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</row>
    <row r="4" spans="1:29">
      <c r="A4" s="60"/>
      <c r="B4" s="245"/>
      <c r="C4" s="245"/>
      <c r="D4" s="245"/>
      <c r="E4" s="245"/>
      <c r="F4" s="245"/>
      <c r="G4" s="245"/>
      <c r="H4" s="245"/>
      <c r="I4" s="245"/>
      <c r="J4" s="245"/>
      <c r="K4" s="245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</row>
    <row r="5" spans="1:29">
      <c r="A5" s="60"/>
      <c r="B5" s="245"/>
      <c r="C5" s="245"/>
      <c r="D5" s="245"/>
      <c r="E5" s="245"/>
      <c r="F5" s="245"/>
      <c r="G5" s="245"/>
      <c r="H5" s="245"/>
      <c r="I5" s="245"/>
      <c r="J5" s="245"/>
      <c r="K5" s="245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</row>
    <row r="6" spans="1:29">
      <c r="A6" s="60"/>
      <c r="B6" s="245"/>
      <c r="C6" s="245"/>
      <c r="D6" s="245"/>
      <c r="E6" s="245"/>
      <c r="F6" s="245"/>
      <c r="G6" s="245"/>
      <c r="H6" s="245"/>
      <c r="I6" s="245"/>
      <c r="J6" s="245"/>
      <c r="K6" s="245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</row>
    <row r="7" spans="1:29">
      <c r="A7" s="60"/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</row>
    <row r="8" spans="1:29">
      <c r="A8" s="60"/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</row>
    <row r="9" spans="1:29">
      <c r="A9" s="60"/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</row>
    <row r="10" spans="1:29">
      <c r="A10" s="60"/>
      <c r="B10" s="245"/>
      <c r="C10" s="245"/>
      <c r="D10" s="245"/>
      <c r="E10" s="245"/>
      <c r="F10" s="245"/>
      <c r="G10" s="245"/>
      <c r="H10" s="245"/>
      <c r="I10" s="245"/>
      <c r="J10" s="245"/>
      <c r="K10" s="245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</row>
    <row r="11" spans="1:29">
      <c r="A11" s="60"/>
      <c r="B11" s="245"/>
      <c r="C11" s="245"/>
      <c r="D11" s="245"/>
      <c r="E11" s="245"/>
      <c r="F11" s="245"/>
      <c r="G11" s="245"/>
      <c r="H11" s="245"/>
      <c r="I11" s="245"/>
      <c r="J11" s="245"/>
      <c r="K11" s="245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</row>
    <row r="12" spans="1:29">
      <c r="A12" s="60"/>
      <c r="B12" s="245"/>
      <c r="C12" s="245"/>
      <c r="D12" s="245"/>
      <c r="E12" s="245"/>
      <c r="F12" s="245"/>
      <c r="G12" s="245"/>
      <c r="H12" s="245"/>
      <c r="I12" s="245"/>
      <c r="J12" s="245"/>
      <c r="K12" s="245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</row>
    <row r="13" spans="1:29">
      <c r="A13" s="60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</row>
    <row r="14" spans="1:29">
      <c r="A14" s="60"/>
      <c r="B14" s="245"/>
      <c r="C14" s="245"/>
      <c r="D14" s="245"/>
      <c r="E14" s="245"/>
      <c r="F14" s="245"/>
      <c r="G14" s="245"/>
      <c r="H14" s="245"/>
      <c r="I14" s="245"/>
      <c r="J14" s="245"/>
      <c r="K14" s="245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</row>
    <row r="15" spans="1:29">
      <c r="A15" s="60"/>
      <c r="B15" s="245"/>
      <c r="C15" s="245"/>
      <c r="D15" s="245"/>
      <c r="E15" s="245"/>
      <c r="F15" s="245"/>
      <c r="G15" s="245"/>
      <c r="H15" s="245"/>
      <c r="I15" s="245"/>
      <c r="J15" s="245"/>
      <c r="K15" s="245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</row>
    <row r="16" spans="1:29">
      <c r="A16" s="60"/>
      <c r="B16" s="245"/>
      <c r="C16" s="245"/>
      <c r="D16" s="245"/>
      <c r="E16" s="245"/>
      <c r="F16" s="245"/>
      <c r="G16" s="245"/>
      <c r="H16" s="245"/>
      <c r="I16" s="245"/>
      <c r="J16" s="245"/>
      <c r="K16" s="245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</row>
    <row r="17" spans="1:29">
      <c r="A17" s="60"/>
      <c r="B17" s="245"/>
      <c r="C17" s="245"/>
      <c r="D17" s="245"/>
      <c r="E17" s="245"/>
      <c r="F17" s="245"/>
      <c r="G17" s="245"/>
      <c r="H17" s="245"/>
      <c r="I17" s="245"/>
      <c r="J17" s="245"/>
      <c r="K17" s="245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</row>
    <row r="18" spans="1:29">
      <c r="A18" s="60"/>
      <c r="B18" s="245"/>
      <c r="C18" s="245"/>
      <c r="D18" s="245"/>
      <c r="E18" s="245"/>
      <c r="F18" s="245"/>
      <c r="G18" s="245"/>
      <c r="H18" s="245"/>
      <c r="I18" s="245"/>
      <c r="J18" s="245"/>
      <c r="K18" s="245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</row>
    <row r="19" spans="1:29">
      <c r="A19" s="60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</row>
    <row r="20" spans="1:29">
      <c r="A20" s="60"/>
      <c r="B20" s="245"/>
      <c r="C20" s="245"/>
      <c r="D20" s="245"/>
      <c r="E20" s="245"/>
      <c r="F20" s="245"/>
      <c r="G20" s="245"/>
      <c r="H20" s="245"/>
      <c r="I20" s="245"/>
      <c r="J20" s="245"/>
      <c r="K20" s="245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</row>
    <row r="21" spans="1:29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</row>
    <row r="22" spans="1:29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</row>
    <row r="23" spans="1:29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</row>
    <row r="24" spans="1:29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</row>
    <row r="25" spans="1:29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</row>
    <row r="26" spans="1:29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</row>
    <row r="27" spans="1:29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</row>
    <row r="28" spans="1:29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</row>
    <row r="29" spans="1:29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</row>
    <row r="30" spans="1:29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</row>
    <row r="31" spans="1:29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</row>
    <row r="32" spans="1:29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</row>
    <row r="33" spans="1:29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</row>
    <row r="34" spans="1:29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</row>
    <row r="35" spans="1:29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</row>
    <row r="36" spans="1:29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</row>
    <row r="37" spans="1:29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</row>
    <row r="38" spans="1:29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</row>
    <row r="39" spans="1:29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</row>
    <row r="40" spans="1:29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</row>
    <row r="41" spans="1:29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</row>
    <row r="42" spans="1:29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</row>
    <row r="43" spans="1:29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</row>
    <row r="44" spans="1:29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</row>
    <row r="45" spans="1:29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</row>
    <row r="46" spans="1:29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</row>
    <row r="47" spans="1:29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</row>
    <row r="48" spans="1:29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</row>
    <row r="49" spans="1:29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</row>
    <row r="50" spans="1:29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</row>
    <row r="51" spans="1:29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</row>
    <row r="52" spans="1:29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</row>
    <row r="53" spans="1:29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</row>
    <row r="54" spans="1:29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</row>
    <row r="55" spans="1:29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</row>
    <row r="56" spans="1:29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</row>
    <row r="57" spans="1:29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</row>
    <row r="58" spans="1:29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</row>
    <row r="59" spans="1:29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</row>
    <row r="60" spans="1:29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</row>
    <row r="61" spans="1:29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</row>
    <row r="62" spans="1:29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</row>
    <row r="63" spans="1:29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</row>
    <row r="64" spans="1:29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</row>
    <row r="65" spans="1:29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</row>
    <row r="66" spans="1:29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</row>
    <row r="67" spans="1:29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</row>
    <row r="68" spans="1:29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</row>
    <row r="69" spans="1:29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</row>
    <row r="70" spans="1:29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</row>
    <row r="71" spans="1:29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</row>
    <row r="72" spans="1:29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</row>
    <row r="73" spans="1:29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</row>
    <row r="74" spans="1:29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</row>
    <row r="75" spans="1:29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</row>
    <row r="76" spans="1:29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</row>
    <row r="77" spans="1:29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</row>
    <row r="78" spans="1:29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</row>
    <row r="79" spans="1:29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</row>
    <row r="80" spans="1:29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</row>
    <row r="81" spans="1:29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</row>
    <row r="82" spans="1:29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</row>
    <row r="83" spans="1:29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</row>
    <row r="84" spans="1:29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</row>
    <row r="85" spans="1:29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</row>
    <row r="86" spans="1:29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</row>
    <row r="87" spans="1:29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</row>
    <row r="88" spans="1:29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</row>
    <row r="89" spans="1:29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</row>
    <row r="90" spans="1:29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</row>
    <row r="91" spans="1:29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</row>
    <row r="92" spans="1:29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</row>
    <row r="93" spans="1:29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</row>
    <row r="94" spans="1:29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</row>
    <row r="95" spans="1:29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</row>
    <row r="96" spans="1:29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</row>
    <row r="97" spans="1:29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</row>
    <row r="98" spans="1:29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</row>
    <row r="99" spans="1:29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</row>
    <row r="100" spans="1:29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</row>
    <row r="101" spans="1:29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</row>
    <row r="102" spans="1:29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</row>
    <row r="103" spans="1:29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</row>
    <row r="104" spans="1:29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</row>
    <row r="105" spans="1:29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</row>
    <row r="106" spans="1:29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</row>
    <row r="107" spans="1:29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</row>
    <row r="108" spans="1:29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</row>
    <row r="109" spans="1:29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</row>
    <row r="110" spans="1:29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</row>
    <row r="111" spans="1:29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</row>
    <row r="112" spans="1:29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</row>
    <row r="113" spans="1:29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</row>
    <row r="114" spans="1:29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</row>
    <row r="115" spans="1:29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</row>
    <row r="116" spans="1:29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</row>
    <row r="117" spans="1:29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</row>
    <row r="118" spans="1:29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</row>
    <row r="119" spans="1:29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</row>
    <row r="120" spans="1:29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</row>
    <row r="121" spans="1:29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</row>
    <row r="122" spans="1:29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</row>
    <row r="123" spans="1:29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</row>
    <row r="124" spans="1:29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</row>
    <row r="125" spans="1:29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</row>
    <row r="126" spans="1:29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</row>
    <row r="127" spans="1:29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</row>
    <row r="128" spans="1:29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</row>
    <row r="129" spans="1:29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</row>
    <row r="130" spans="1:29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</row>
    <row r="131" spans="1:29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</row>
    <row r="132" spans="1:29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</row>
    <row r="133" spans="1:29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</row>
    <row r="134" spans="1:29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</row>
    <row r="135" spans="1:29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</row>
    <row r="136" spans="1:29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</row>
    <row r="137" spans="1:29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</row>
    <row r="138" spans="1:29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</row>
    <row r="139" spans="1:29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</row>
    <row r="140" spans="1:29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</row>
    <row r="141" spans="1:29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</row>
    <row r="142" spans="1:29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</row>
    <row r="143" spans="1:29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</row>
    <row r="144" spans="1:29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</row>
    <row r="145" spans="1:29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</row>
    <row r="146" spans="1:29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</row>
    <row r="147" spans="1:29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</row>
    <row r="148" spans="1:29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</row>
    <row r="149" spans="1:29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</row>
    <row r="150" spans="1:29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</row>
    <row r="151" spans="1:29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</row>
    <row r="152" spans="1:29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</row>
    <row r="153" spans="1:29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</row>
    <row r="154" spans="1:29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</row>
    <row r="155" spans="1:29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</row>
    <row r="156" spans="1:29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</row>
    <row r="157" spans="1:29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</row>
    <row r="158" spans="1:29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</row>
    <row r="159" spans="1:29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</row>
    <row r="160" spans="1:29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</row>
    <row r="161" spans="1:29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</row>
    <row r="162" spans="1:29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</row>
    <row r="163" spans="1:29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</row>
    <row r="164" spans="1:29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</row>
    <row r="165" spans="1:29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</row>
    <row r="166" spans="1:29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</row>
    <row r="167" spans="1:29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</row>
    <row r="168" spans="1:29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</row>
    <row r="169" spans="1:29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</row>
    <row r="170" spans="1:29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</row>
    <row r="171" spans="1:29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</row>
    <row r="172" spans="1:29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</row>
    <row r="173" spans="1:29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</row>
    <row r="174" spans="1:29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</row>
    <row r="175" spans="1:29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</row>
    <row r="176" spans="1:29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</row>
    <row r="177" spans="1:29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</row>
    <row r="178" spans="1:29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</row>
    <row r="179" spans="1:29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</row>
    <row r="180" spans="1:29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</row>
    <row r="181" spans="1:29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</row>
    <row r="182" spans="1:29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</row>
    <row r="183" spans="1:29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</row>
    <row r="184" spans="1:29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</row>
    <row r="185" spans="1:29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</row>
    <row r="186" spans="1:29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</row>
    <row r="187" spans="1:29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</row>
    <row r="188" spans="1:29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</row>
    <row r="189" spans="1:29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</row>
    <row r="190" spans="1:29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</row>
    <row r="191" spans="1:29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</row>
    <row r="192" spans="1:29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</row>
    <row r="193" spans="1:29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</row>
    <row r="194" spans="1:29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</row>
    <row r="195" spans="1:29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</row>
    <row r="196" spans="1:29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</row>
    <row r="197" spans="1:29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</row>
    <row r="198" spans="1:29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</row>
    <row r="199" spans="1:29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</row>
    <row r="200" spans="1:29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</row>
    <row r="201" spans="1:29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</row>
    <row r="202" spans="1:29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</row>
    <row r="203" spans="1:29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</row>
    <row r="204" spans="1:29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</row>
    <row r="205" spans="1:29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</row>
    <row r="206" spans="1:29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</row>
    <row r="207" spans="1:29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</row>
    <row r="208" spans="1:29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</row>
    <row r="209" spans="1:29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</row>
    <row r="210" spans="1:29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</row>
    <row r="211" spans="1:29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</row>
    <row r="212" spans="1:29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</row>
    <row r="213" spans="1:29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</row>
    <row r="214" spans="1:29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</row>
    <row r="215" spans="1:29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</row>
    <row r="216" spans="1:29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</row>
    <row r="217" spans="1:29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</row>
    <row r="218" spans="1:29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</row>
    <row r="219" spans="1:29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</row>
    <row r="220" spans="1:29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</row>
    <row r="221" spans="1:29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</row>
    <row r="222" spans="1:29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</row>
    <row r="223" spans="1:29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</row>
    <row r="224" spans="1:29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</row>
    <row r="225" spans="1:29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</row>
    <row r="226" spans="1:29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</row>
    <row r="227" spans="1:29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</row>
    <row r="228" spans="1:29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</row>
    <row r="229" spans="1:29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</row>
    <row r="230" spans="1:29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</row>
    <row r="231" spans="1:29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</row>
    <row r="232" spans="1:29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</row>
    <row r="233" spans="1:29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</row>
    <row r="234" spans="1:29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</row>
    <row r="235" spans="1:29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</row>
    <row r="236" spans="1:29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</row>
    <row r="237" spans="1:29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</row>
    <row r="238" spans="1:29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</row>
    <row r="239" spans="1:29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</row>
    <row r="240" spans="1:29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</row>
    <row r="241" spans="1:29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</row>
    <row r="242" spans="1:29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</row>
    <row r="243" spans="1:29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</row>
    <row r="244" spans="1:29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</row>
    <row r="245" spans="1:29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</row>
    <row r="246" spans="1:29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</row>
    <row r="247" spans="1:29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</row>
    <row r="248" spans="1:29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</row>
    <row r="249" spans="1:29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</row>
    <row r="250" spans="1:29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</row>
    <row r="251" spans="1:29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</row>
    <row r="252" spans="1:29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</row>
    <row r="253" spans="1:29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</row>
    <row r="254" spans="1:29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</row>
    <row r="255" spans="1:29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</row>
    <row r="256" spans="1:29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</row>
    <row r="257" spans="1:29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</row>
    <row r="258" spans="1:29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</row>
    <row r="259" spans="1:29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</row>
    <row r="260" spans="1:29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</row>
    <row r="261" spans="1:29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</row>
    <row r="262" spans="1:29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</row>
    <row r="263" spans="1:29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</row>
    <row r="264" spans="1:29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</row>
    <row r="265" spans="1:29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</row>
    <row r="266" spans="1:29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</row>
    <row r="267" spans="1:29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</row>
    <row r="268" spans="1:29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</row>
    <row r="269" spans="1:29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</row>
    <row r="270" spans="1:29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</row>
    <row r="271" spans="1:29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</row>
    <row r="272" spans="1:29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</row>
    <row r="273" spans="1:29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</row>
    <row r="274" spans="1:29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</row>
    <row r="275" spans="1:29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</row>
    <row r="276" spans="1:29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</row>
    <row r="277" spans="1:29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</row>
    <row r="278" spans="1:29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</row>
    <row r="279" spans="1:29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</row>
    <row r="280" spans="1:29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</row>
    <row r="281" spans="1:29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</row>
    <row r="282" spans="1:29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</row>
    <row r="283" spans="1:29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</row>
    <row r="284" spans="1:29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</row>
    <row r="285" spans="1:29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</row>
    <row r="286" spans="1:29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</row>
    <row r="287" spans="1:29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</row>
    <row r="288" spans="1:29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</row>
    <row r="289" spans="1:29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</row>
    <row r="290" spans="1:29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</row>
    <row r="291" spans="1:29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</row>
    <row r="292" spans="1:29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</row>
    <row r="293" spans="1:29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</row>
    <row r="294" spans="1:29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</row>
    <row r="295" spans="1:29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</row>
    <row r="296" spans="1:29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</row>
  </sheetData>
  <sheetProtection password="EE3E" sheet="1" objects="1" scenarios="1" selectLockedCells="1"/>
  <mergeCells count="3">
    <mergeCell ref="B2:K2"/>
    <mergeCell ref="B4:K20"/>
    <mergeCell ref="B3:K3"/>
  </mergeCells>
  <pageMargins left="0.511811024" right="0.511811024" top="0.78740157499999996" bottom="0.78740157499999996" header="0.31496062000000002" footer="0.31496062000000002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_OS">
                <anchor moveWithCells="1">
                  <from>
                    <xdr:col>7</xdr:col>
                    <xdr:colOff>352425</xdr:colOff>
                    <xdr:row>0</xdr:row>
                    <xdr:rowOff>152400</xdr:rowOff>
                  </from>
                  <to>
                    <xdr:col>10</xdr:col>
                    <xdr:colOff>600075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B14"/>
  <sheetViews>
    <sheetView showGridLines="0" showRowColHeaders="0" workbookViewId="0">
      <selection sqref="A1:B1"/>
    </sheetView>
  </sheetViews>
  <sheetFormatPr defaultRowHeight="15"/>
  <cols>
    <col min="1" max="1" width="36.42578125" customWidth="1"/>
    <col min="2" max="2" width="30.140625" customWidth="1"/>
  </cols>
  <sheetData>
    <row r="1" spans="1:2" s="7" customFormat="1" ht="39" customHeight="1">
      <c r="A1" s="247" t="s">
        <v>105</v>
      </c>
      <c r="B1" s="247"/>
    </row>
    <row r="2" spans="1:2">
      <c r="A2" s="61" t="s">
        <v>104</v>
      </c>
      <c r="B2" s="248">
        <v>43172.946805555555</v>
      </c>
    </row>
    <row r="3" spans="1:2">
      <c r="A3" s="7"/>
      <c r="B3" s="62"/>
    </row>
    <row r="4" spans="1:2">
      <c r="A4" s="7"/>
      <c r="B4" s="62"/>
    </row>
    <row r="5" spans="1:2">
      <c r="A5" s="62"/>
    </row>
    <row r="6" spans="1:2">
      <c r="A6" s="7"/>
    </row>
    <row r="7" spans="1:2">
      <c r="A7" s="7"/>
      <c r="B7" s="62"/>
    </row>
    <row r="8" spans="1:2">
      <c r="A8" s="7"/>
      <c r="B8" s="62"/>
    </row>
    <row r="9" spans="1:2">
      <c r="A9" s="7"/>
      <c r="B9" s="62"/>
    </row>
    <row r="10" spans="1:2">
      <c r="A10" s="7"/>
      <c r="B10" s="62"/>
    </row>
    <row r="11" spans="1:2">
      <c r="A11" s="7"/>
      <c r="B11" s="62"/>
    </row>
    <row r="12" spans="1:2">
      <c r="A12" s="7"/>
      <c r="B12" s="62"/>
    </row>
    <row r="13" spans="1:2">
      <c r="A13" s="7"/>
      <c r="B13" s="62"/>
    </row>
    <row r="14" spans="1:2">
      <c r="A14" s="7"/>
      <c r="B14" s="62"/>
    </row>
  </sheetData>
  <sheetProtection algorithmName="SHA-512" hashValue="CrYocTzKNiLZyGw/p++f8CNQIZlX2JaWFjA6cpDjrvapJFwkeRa0xWAz6fjvFrE+zdD06s2Rl0qqvikYxWYDyA==" saltValue="spejYBkSTWKx2EGhjIJkkg==" spinCount="100000" sheet="1" objects="1" scenarios="1" selectLockedCells="1"/>
  <mergeCells count="1">
    <mergeCell ref="A1:B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oltar_Logs">
                <anchor moveWithCells="1">
                  <from>
                    <xdr:col>1</xdr:col>
                    <xdr:colOff>990600</xdr:colOff>
                    <xdr:row>0</xdr:row>
                    <xdr:rowOff>152400</xdr:rowOff>
                  </from>
                  <to>
                    <xdr:col>1</xdr:col>
                    <xdr:colOff>1847850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Z7215"/>
  <sheetViews>
    <sheetView topLeftCell="A262" workbookViewId="0">
      <selection activeCell="F294" sqref="F294:G298"/>
    </sheetView>
  </sheetViews>
  <sheetFormatPr defaultColWidth="18.5703125" defaultRowHeight="15"/>
  <cols>
    <col min="1" max="1" width="18.5703125" style="82" customWidth="1"/>
    <col min="2" max="2" width="17.85546875" style="82" customWidth="1"/>
    <col min="3" max="3" width="14.7109375" style="82" customWidth="1"/>
    <col min="4" max="4" width="14" style="85" customWidth="1"/>
    <col min="5" max="5" width="18.5703125" style="82" customWidth="1"/>
    <col min="6" max="6" width="23.7109375" style="82" customWidth="1"/>
    <col min="7" max="7" width="18.5703125" style="77" customWidth="1"/>
    <col min="8" max="16384" width="18.5703125" style="77"/>
  </cols>
  <sheetData>
    <row r="1" spans="1:26" s="76" customFormat="1" ht="56.25" customHeight="1">
      <c r="A1" s="138" t="s">
        <v>112</v>
      </c>
      <c r="B1" s="138" t="s">
        <v>113</v>
      </c>
      <c r="C1" s="138" t="s">
        <v>114</v>
      </c>
      <c r="D1" s="139" t="s">
        <v>115</v>
      </c>
      <c r="E1" s="138" t="s">
        <v>104</v>
      </c>
      <c r="F1" s="138" t="s">
        <v>124</v>
      </c>
      <c r="G1" s="138" t="s">
        <v>123</v>
      </c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</row>
    <row r="2" spans="1:26">
      <c r="A2" s="81">
        <v>42857.785266203704</v>
      </c>
      <c r="B2" s="82" t="s">
        <v>132</v>
      </c>
      <c r="C2" s="82" t="s">
        <v>133</v>
      </c>
      <c r="D2" s="85">
        <v>69.400000000000006</v>
      </c>
      <c r="E2" s="82" t="s">
        <v>116</v>
      </c>
      <c r="F2" s="81">
        <v>42857.785277777781</v>
      </c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26">
      <c r="A3" s="81">
        <v>42857.785266203704</v>
      </c>
      <c r="B3" s="82" t="s">
        <v>132</v>
      </c>
      <c r="C3" s="82" t="s">
        <v>135</v>
      </c>
      <c r="D3" s="85" t="s">
        <v>134</v>
      </c>
      <c r="E3" s="82" t="s">
        <v>116</v>
      </c>
      <c r="F3" s="81">
        <v>42857.785277777781</v>
      </c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</row>
    <row r="4" spans="1:26">
      <c r="A4" s="81">
        <v>42857.785266203704</v>
      </c>
      <c r="B4" s="82" t="s">
        <v>132</v>
      </c>
      <c r="C4" s="82" t="s">
        <v>137</v>
      </c>
      <c r="D4" s="85" t="s">
        <v>136</v>
      </c>
      <c r="E4" s="82" t="s">
        <v>116</v>
      </c>
      <c r="F4" s="81">
        <v>42857.785277777781</v>
      </c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</row>
    <row r="5" spans="1:26">
      <c r="A5" s="81">
        <v>42857.785266203704</v>
      </c>
      <c r="B5" s="82" t="s">
        <v>132</v>
      </c>
      <c r="C5" s="82" t="s">
        <v>139</v>
      </c>
      <c r="D5" s="85" t="s">
        <v>138</v>
      </c>
      <c r="E5" s="82" t="s">
        <v>116</v>
      </c>
      <c r="F5" s="81">
        <v>42857.785277777781</v>
      </c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</row>
    <row r="6" spans="1:26">
      <c r="A6" s="81">
        <v>42857.785266203704</v>
      </c>
      <c r="B6" s="82" t="s">
        <v>132</v>
      </c>
      <c r="C6" s="82" t="s">
        <v>141</v>
      </c>
      <c r="D6" s="85" t="s">
        <v>140</v>
      </c>
      <c r="E6" s="82" t="s">
        <v>116</v>
      </c>
      <c r="F6" s="81">
        <v>42857.785277777781</v>
      </c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</row>
    <row r="7" spans="1:26">
      <c r="A7" s="81">
        <v>42857.785266203704</v>
      </c>
      <c r="B7" s="82" t="s">
        <v>132</v>
      </c>
      <c r="C7" s="82" t="s">
        <v>143</v>
      </c>
      <c r="D7" s="85" t="s">
        <v>142</v>
      </c>
      <c r="E7" s="82" t="s">
        <v>116</v>
      </c>
      <c r="F7" s="81">
        <v>42857.785277777781</v>
      </c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</row>
    <row r="8" spans="1:26">
      <c r="A8" s="81">
        <v>42857.785266203704</v>
      </c>
      <c r="B8" s="82" t="s">
        <v>132</v>
      </c>
      <c r="C8" s="82" t="s">
        <v>145</v>
      </c>
      <c r="D8" s="85" t="s">
        <v>144</v>
      </c>
      <c r="E8" s="82" t="s">
        <v>116</v>
      </c>
      <c r="F8" s="81">
        <v>42857.785277777781</v>
      </c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</row>
    <row r="9" spans="1:26">
      <c r="A9" s="81">
        <v>42857.785266203704</v>
      </c>
      <c r="B9" s="82" t="s">
        <v>132</v>
      </c>
      <c r="C9" s="82" t="s">
        <v>146</v>
      </c>
      <c r="D9" s="85">
        <v>64083650</v>
      </c>
      <c r="E9" s="82" t="s">
        <v>116</v>
      </c>
      <c r="F9" s="81">
        <v>42857.785277777781</v>
      </c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</row>
    <row r="10" spans="1:26">
      <c r="A10" s="81">
        <v>42857.785266203704</v>
      </c>
      <c r="B10" s="82" t="s">
        <v>132</v>
      </c>
      <c r="C10" s="82" t="s">
        <v>147</v>
      </c>
      <c r="D10" s="85" t="s">
        <v>65</v>
      </c>
      <c r="E10" s="82" t="s">
        <v>116</v>
      </c>
      <c r="F10" s="81">
        <v>42857.785277777781</v>
      </c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</row>
    <row r="11" spans="1:26">
      <c r="A11" s="81">
        <v>42857.785266203704</v>
      </c>
      <c r="B11" s="82" t="s">
        <v>132</v>
      </c>
      <c r="C11" s="82" t="s">
        <v>148</v>
      </c>
      <c r="D11" s="85">
        <v>225</v>
      </c>
      <c r="E11" s="82" t="s">
        <v>116</v>
      </c>
      <c r="F11" s="81">
        <v>42857.785277777781</v>
      </c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</row>
    <row r="12" spans="1:26">
      <c r="A12" s="81">
        <v>42857.785266203704</v>
      </c>
      <c r="B12" s="82" t="s">
        <v>132</v>
      </c>
      <c r="C12" s="82" t="s">
        <v>149</v>
      </c>
      <c r="D12" s="85">
        <v>646</v>
      </c>
      <c r="E12" s="82" t="s">
        <v>116</v>
      </c>
      <c r="F12" s="81">
        <v>42857.785277777781</v>
      </c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</row>
    <row r="13" spans="1:26">
      <c r="A13" s="81">
        <v>42857.785266203704</v>
      </c>
      <c r="B13" s="82" t="s">
        <v>132</v>
      </c>
      <c r="C13" s="82" t="s">
        <v>150</v>
      </c>
      <c r="D13" s="85">
        <v>720</v>
      </c>
      <c r="E13" s="82" t="s">
        <v>116</v>
      </c>
      <c r="F13" s="81">
        <v>42857.785277777781</v>
      </c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</row>
    <row r="14" spans="1:26">
      <c r="A14" s="81">
        <v>42857.785266203704</v>
      </c>
      <c r="B14" s="82" t="s">
        <v>132</v>
      </c>
      <c r="C14" s="82" t="s">
        <v>151</v>
      </c>
      <c r="D14" s="85">
        <v>639</v>
      </c>
      <c r="E14" s="82" t="s">
        <v>116</v>
      </c>
      <c r="F14" s="81">
        <v>42857.785277777781</v>
      </c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</row>
    <row r="15" spans="1:26">
      <c r="A15" s="81">
        <v>42857.785266203704</v>
      </c>
      <c r="B15" s="82" t="s">
        <v>132</v>
      </c>
      <c r="C15" s="82" t="s">
        <v>152</v>
      </c>
      <c r="D15" s="85">
        <v>670</v>
      </c>
      <c r="E15" s="82" t="s">
        <v>116</v>
      </c>
      <c r="F15" s="81">
        <v>42857.785277777781</v>
      </c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</row>
    <row r="16" spans="1:26">
      <c r="A16" s="81">
        <v>42857.785266203704</v>
      </c>
      <c r="B16" s="82" t="s">
        <v>132</v>
      </c>
      <c r="C16" s="82" t="s">
        <v>153</v>
      </c>
      <c r="D16" s="85">
        <v>607</v>
      </c>
      <c r="E16" s="82" t="s">
        <v>116</v>
      </c>
      <c r="F16" s="81">
        <v>42857.78528935185</v>
      </c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</row>
    <row r="17" spans="1:26">
      <c r="A17" s="81">
        <v>42857.785266203704</v>
      </c>
      <c r="B17" s="82" t="s">
        <v>132</v>
      </c>
      <c r="C17" s="82" t="s">
        <v>154</v>
      </c>
      <c r="D17" s="85">
        <v>0</v>
      </c>
      <c r="E17" s="82" t="s">
        <v>116</v>
      </c>
      <c r="F17" s="81">
        <v>42857.78528935185</v>
      </c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</row>
    <row r="18" spans="1:26">
      <c r="A18" s="81">
        <v>42857.785266203704</v>
      </c>
      <c r="B18" s="82" t="s">
        <v>132</v>
      </c>
      <c r="C18" s="82" t="s">
        <v>155</v>
      </c>
      <c r="D18" s="85">
        <v>0</v>
      </c>
      <c r="E18" s="82" t="s">
        <v>116</v>
      </c>
      <c r="F18" s="81">
        <v>42857.78528935185</v>
      </c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</row>
    <row r="19" spans="1:26">
      <c r="A19" s="81">
        <v>42857.785266203704</v>
      </c>
      <c r="B19" s="82" t="s">
        <v>132</v>
      </c>
      <c r="C19" s="82" t="s">
        <v>156</v>
      </c>
      <c r="D19" s="85">
        <v>0</v>
      </c>
      <c r="E19" s="82" t="s">
        <v>116</v>
      </c>
      <c r="F19" s="81">
        <v>42857.78528935185</v>
      </c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</row>
    <row r="20" spans="1:26">
      <c r="A20" s="81">
        <v>42857.785266203704</v>
      </c>
      <c r="B20" s="82" t="s">
        <v>132</v>
      </c>
      <c r="C20" s="82" t="s">
        <v>157</v>
      </c>
      <c r="D20" s="85">
        <v>0</v>
      </c>
      <c r="E20" s="82" t="s">
        <v>116</v>
      </c>
      <c r="F20" s="81">
        <v>42857.78528935185</v>
      </c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</row>
    <row r="21" spans="1:26">
      <c r="A21" s="81">
        <v>42857.785266203704</v>
      </c>
      <c r="B21" s="82" t="s">
        <v>132</v>
      </c>
      <c r="C21" s="82" t="s">
        <v>158</v>
      </c>
      <c r="D21" s="85">
        <v>0</v>
      </c>
      <c r="E21" s="82" t="s">
        <v>116</v>
      </c>
      <c r="F21" s="81">
        <v>42857.78528935185</v>
      </c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</row>
    <row r="22" spans="1:26">
      <c r="A22" s="81">
        <v>42857.785277777781</v>
      </c>
      <c r="B22" s="82" t="s">
        <v>132</v>
      </c>
      <c r="C22" s="82" t="s">
        <v>159</v>
      </c>
      <c r="D22" s="85">
        <v>0</v>
      </c>
      <c r="E22" s="82" t="s">
        <v>116</v>
      </c>
      <c r="F22" s="81">
        <v>42857.78528935185</v>
      </c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</row>
    <row r="23" spans="1:26">
      <c r="A23" s="81">
        <v>42857.785277777781</v>
      </c>
      <c r="B23" s="82" t="s">
        <v>132</v>
      </c>
      <c r="C23" s="82" t="s">
        <v>160</v>
      </c>
      <c r="D23" s="85">
        <v>0</v>
      </c>
      <c r="E23" s="82" t="s">
        <v>116</v>
      </c>
      <c r="F23" s="81">
        <v>42857.78528935185</v>
      </c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</row>
    <row r="24" spans="1:26">
      <c r="A24" s="81">
        <v>42857.785277777781</v>
      </c>
      <c r="B24" s="82" t="s">
        <v>132</v>
      </c>
      <c r="C24" s="82" t="s">
        <v>161</v>
      </c>
      <c r="D24" s="85">
        <v>0</v>
      </c>
      <c r="E24" s="82" t="s">
        <v>116</v>
      </c>
      <c r="F24" s="81">
        <v>42857.78528935185</v>
      </c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</row>
    <row r="25" spans="1:26">
      <c r="A25" s="81">
        <v>42857.785277777781</v>
      </c>
      <c r="B25" s="82" t="s">
        <v>132</v>
      </c>
      <c r="C25" s="82" t="s">
        <v>162</v>
      </c>
      <c r="D25" s="85">
        <v>0</v>
      </c>
      <c r="E25" s="82" t="s">
        <v>116</v>
      </c>
      <c r="F25" s="81">
        <v>42857.78528935185</v>
      </c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</row>
    <row r="26" spans="1:26">
      <c r="A26" s="81">
        <v>42857.785277777781</v>
      </c>
      <c r="B26" s="82" t="s">
        <v>132</v>
      </c>
      <c r="C26" s="82" t="s">
        <v>163</v>
      </c>
      <c r="D26" s="85">
        <v>0</v>
      </c>
      <c r="E26" s="82" t="s">
        <v>116</v>
      </c>
      <c r="F26" s="81">
        <v>42857.78528935185</v>
      </c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</row>
    <row r="27" spans="1:26">
      <c r="A27" s="81">
        <v>42857.785277777781</v>
      </c>
      <c r="B27" s="82" t="s">
        <v>132</v>
      </c>
      <c r="C27" s="82" t="s">
        <v>164</v>
      </c>
      <c r="D27" s="85">
        <v>671</v>
      </c>
      <c r="E27" s="82" t="s">
        <v>116</v>
      </c>
      <c r="F27" s="81">
        <v>42857.78528935185</v>
      </c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</row>
    <row r="28" spans="1:26">
      <c r="A28" s="81">
        <v>42857.785277777781</v>
      </c>
      <c r="B28" s="82" t="s">
        <v>132</v>
      </c>
      <c r="C28" s="82" t="s">
        <v>165</v>
      </c>
      <c r="D28" s="85">
        <v>649</v>
      </c>
      <c r="E28" s="82" t="s">
        <v>116</v>
      </c>
      <c r="F28" s="81">
        <v>42857.78528935185</v>
      </c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</row>
    <row r="29" spans="1:26">
      <c r="A29" s="81">
        <v>42857.785277777781</v>
      </c>
      <c r="B29" s="82" t="s">
        <v>132</v>
      </c>
      <c r="C29" s="82" t="s">
        <v>166</v>
      </c>
      <c r="D29" s="85">
        <v>0</v>
      </c>
      <c r="E29" s="82" t="s">
        <v>116</v>
      </c>
      <c r="F29" s="81">
        <v>42857.78528935185</v>
      </c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</row>
    <row r="30" spans="1:26">
      <c r="A30" s="81">
        <v>42857.785277777781</v>
      </c>
      <c r="B30" s="82" t="s">
        <v>132</v>
      </c>
      <c r="C30" s="82" t="s">
        <v>167</v>
      </c>
      <c r="D30" s="85">
        <v>0</v>
      </c>
      <c r="E30" s="82" t="s">
        <v>116</v>
      </c>
      <c r="F30" s="81">
        <v>42857.78528935185</v>
      </c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</row>
    <row r="31" spans="1:26">
      <c r="A31" s="81">
        <v>42857.785277777781</v>
      </c>
      <c r="B31" s="82" t="s">
        <v>132</v>
      </c>
      <c r="C31" s="82" t="s">
        <v>168</v>
      </c>
      <c r="D31" s="85">
        <v>0</v>
      </c>
      <c r="E31" s="82" t="s">
        <v>116</v>
      </c>
      <c r="F31" s="81">
        <v>42857.78528935185</v>
      </c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</row>
    <row r="32" spans="1:26">
      <c r="A32" s="81">
        <v>42857.785277777781</v>
      </c>
      <c r="B32" s="82" t="s">
        <v>132</v>
      </c>
      <c r="C32" s="82" t="s">
        <v>169</v>
      </c>
      <c r="D32" s="85">
        <v>0</v>
      </c>
      <c r="E32" s="82" t="s">
        <v>116</v>
      </c>
      <c r="F32" s="81">
        <v>42857.78528935185</v>
      </c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</row>
    <row r="33" spans="1:26">
      <c r="A33" s="81">
        <v>42857.785277777781</v>
      </c>
      <c r="B33" s="82" t="s">
        <v>132</v>
      </c>
      <c r="C33" s="82" t="s">
        <v>170</v>
      </c>
      <c r="D33" s="85">
        <v>0</v>
      </c>
      <c r="E33" s="82" t="s">
        <v>116</v>
      </c>
      <c r="F33" s="81">
        <v>42857.78528935185</v>
      </c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</row>
    <row r="34" spans="1:26">
      <c r="A34" s="81">
        <v>42857.785277777781</v>
      </c>
      <c r="B34" s="82" t="s">
        <v>132</v>
      </c>
      <c r="C34" s="82" t="s">
        <v>171</v>
      </c>
      <c r="D34" s="85">
        <v>0</v>
      </c>
      <c r="E34" s="82" t="s">
        <v>116</v>
      </c>
      <c r="F34" s="81">
        <v>42857.78528935185</v>
      </c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</row>
    <row r="35" spans="1:26">
      <c r="A35" s="81">
        <v>42857.785277777781</v>
      </c>
      <c r="B35" s="82" t="s">
        <v>132</v>
      </c>
      <c r="C35" s="82" t="s">
        <v>172</v>
      </c>
      <c r="D35" s="85">
        <v>0</v>
      </c>
      <c r="E35" s="82" t="s">
        <v>116</v>
      </c>
      <c r="F35" s="81">
        <v>42857.78528935185</v>
      </c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</row>
    <row r="36" spans="1:26">
      <c r="A36" s="81">
        <v>42857.785277777781</v>
      </c>
      <c r="B36" s="82" t="s">
        <v>132</v>
      </c>
      <c r="C36" s="82" t="s">
        <v>173</v>
      </c>
      <c r="D36" s="85">
        <v>0</v>
      </c>
      <c r="E36" s="82" t="s">
        <v>116</v>
      </c>
      <c r="F36" s="81">
        <v>42857.78528935185</v>
      </c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</row>
    <row r="37" spans="1:26">
      <c r="A37" s="81">
        <v>42857.785277777781</v>
      </c>
      <c r="B37" s="82" t="s">
        <v>132</v>
      </c>
      <c r="C37" s="82" t="s">
        <v>174</v>
      </c>
      <c r="D37" s="85">
        <v>0.22500000000000001</v>
      </c>
      <c r="E37" s="82" t="s">
        <v>116</v>
      </c>
      <c r="F37" s="81">
        <v>42857.78528935185</v>
      </c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</row>
    <row r="38" spans="1:26">
      <c r="A38" s="81">
        <v>42857.785277777781</v>
      </c>
      <c r="B38" s="82" t="s">
        <v>132</v>
      </c>
      <c r="C38" s="82" t="s">
        <v>175</v>
      </c>
      <c r="D38" s="85">
        <v>1.4624999999999999</v>
      </c>
      <c r="E38" s="82" t="s">
        <v>116</v>
      </c>
      <c r="F38" s="81">
        <v>42857.78528935185</v>
      </c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</row>
    <row r="39" spans="1:26">
      <c r="A39" s="81">
        <v>42857.785277777781</v>
      </c>
      <c r="B39" s="82" t="s">
        <v>132</v>
      </c>
      <c r="C39" s="82" t="s">
        <v>176</v>
      </c>
      <c r="D39" s="85">
        <v>6.6937499999999996</v>
      </c>
      <c r="E39" s="82" t="s">
        <v>116</v>
      </c>
      <c r="F39" s="81">
        <v>42857.78528935185</v>
      </c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</row>
    <row r="40" spans="1:26">
      <c r="A40" s="81">
        <v>42857.785277777781</v>
      </c>
      <c r="B40" s="82" t="s">
        <v>132</v>
      </c>
      <c r="C40" s="82" t="s">
        <v>177</v>
      </c>
      <c r="D40" s="85">
        <v>20.475000000000001</v>
      </c>
      <c r="E40" s="82" t="s">
        <v>116</v>
      </c>
      <c r="F40" s="81">
        <v>42857.78528935185</v>
      </c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</row>
    <row r="41" spans="1:26">
      <c r="A41" s="81">
        <v>42857.785277777781</v>
      </c>
      <c r="B41" s="82" t="s">
        <v>132</v>
      </c>
      <c r="C41" s="82" t="s">
        <v>178</v>
      </c>
      <c r="D41" s="85">
        <v>160.98750000000001</v>
      </c>
      <c r="E41" s="82" t="s">
        <v>116</v>
      </c>
      <c r="F41" s="81">
        <v>42857.78528935185</v>
      </c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</row>
    <row r="42" spans="1:26">
      <c r="A42" s="81">
        <v>42857.785277777781</v>
      </c>
      <c r="B42" s="82" t="s">
        <v>132</v>
      </c>
      <c r="C42" s="82" t="s">
        <v>179</v>
      </c>
      <c r="D42" s="85">
        <v>0</v>
      </c>
      <c r="E42" s="82" t="s">
        <v>116</v>
      </c>
      <c r="F42" s="81">
        <v>42857.78528935185</v>
      </c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</row>
    <row r="43" spans="1:26">
      <c r="A43" s="81">
        <v>42857.785277777781</v>
      </c>
      <c r="B43" s="82" t="s">
        <v>132</v>
      </c>
      <c r="C43" s="82" t="s">
        <v>180</v>
      </c>
      <c r="D43" s="85">
        <v>0</v>
      </c>
      <c r="E43" s="82" t="s">
        <v>116</v>
      </c>
      <c r="F43" s="81">
        <v>42857.785300925927</v>
      </c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</row>
    <row r="44" spans="1:26">
      <c r="A44" s="81">
        <v>42857.785277777781</v>
      </c>
      <c r="B44" s="82" t="s">
        <v>132</v>
      </c>
      <c r="C44" s="82" t="s">
        <v>181</v>
      </c>
      <c r="D44" s="85">
        <v>0</v>
      </c>
      <c r="E44" s="82" t="s">
        <v>116</v>
      </c>
      <c r="F44" s="81">
        <v>42857.785300925927</v>
      </c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</row>
    <row r="45" spans="1:26">
      <c r="A45" s="81">
        <v>42857.785277777781</v>
      </c>
      <c r="B45" s="82" t="s">
        <v>132</v>
      </c>
      <c r="C45" s="82" t="s">
        <v>182</v>
      </c>
      <c r="D45" s="85">
        <v>0</v>
      </c>
      <c r="E45" s="82" t="s">
        <v>116</v>
      </c>
      <c r="F45" s="81">
        <v>42857.785300925927</v>
      </c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</row>
    <row r="46" spans="1:26">
      <c r="A46" s="81">
        <v>42857.785277777781</v>
      </c>
      <c r="B46" s="82" t="s">
        <v>132</v>
      </c>
      <c r="C46" s="82" t="s">
        <v>183</v>
      </c>
      <c r="D46" s="85">
        <v>0</v>
      </c>
      <c r="E46" s="82" t="s">
        <v>116</v>
      </c>
      <c r="F46" s="81">
        <v>42857.785300925927</v>
      </c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</row>
    <row r="47" spans="1:26">
      <c r="A47" s="81">
        <v>42857.785277777781</v>
      </c>
      <c r="B47" s="82" t="s">
        <v>132</v>
      </c>
      <c r="C47" s="82" t="s">
        <v>184</v>
      </c>
      <c r="D47" s="85">
        <v>0</v>
      </c>
      <c r="E47" s="82" t="s">
        <v>116</v>
      </c>
      <c r="F47" s="81">
        <v>42857.785300925927</v>
      </c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</row>
    <row r="48" spans="1:26">
      <c r="A48" s="81">
        <v>42857.785277777781</v>
      </c>
      <c r="B48" s="82" t="s">
        <v>132</v>
      </c>
      <c r="C48" s="82" t="s">
        <v>185</v>
      </c>
      <c r="D48" s="85">
        <v>0</v>
      </c>
      <c r="E48" s="82" t="s">
        <v>116</v>
      </c>
      <c r="F48" s="81">
        <v>42857.785300925927</v>
      </c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</row>
    <row r="49" spans="1:26">
      <c r="A49" s="81">
        <v>42857.785277777781</v>
      </c>
      <c r="B49" s="82" t="s">
        <v>132</v>
      </c>
      <c r="C49" s="82" t="s">
        <v>186</v>
      </c>
      <c r="D49" s="85">
        <v>0</v>
      </c>
      <c r="E49" s="82" t="s">
        <v>116</v>
      </c>
      <c r="F49" s="81">
        <v>42857.785300925927</v>
      </c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</row>
    <row r="50" spans="1:26">
      <c r="A50" s="81">
        <v>42857.785277777781</v>
      </c>
      <c r="B50" s="82" t="s">
        <v>132</v>
      </c>
      <c r="C50" s="82" t="s">
        <v>187</v>
      </c>
      <c r="D50" s="85">
        <v>0</v>
      </c>
      <c r="E50" s="82" t="s">
        <v>116</v>
      </c>
      <c r="F50" s="81">
        <v>42857.785300925927</v>
      </c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</row>
    <row r="51" spans="1:26">
      <c r="A51" s="81">
        <v>42857.78528935185</v>
      </c>
      <c r="B51" s="82" t="s">
        <v>132</v>
      </c>
      <c r="C51" s="82" t="s">
        <v>188</v>
      </c>
      <c r="D51" s="85">
        <v>0</v>
      </c>
      <c r="E51" s="82" t="s">
        <v>116</v>
      </c>
      <c r="F51" s="81">
        <v>42857.785300925927</v>
      </c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</row>
    <row r="52" spans="1:26">
      <c r="A52" s="81">
        <v>42857.78528935185</v>
      </c>
      <c r="B52" s="82" t="s">
        <v>132</v>
      </c>
      <c r="C52" s="82" t="s">
        <v>189</v>
      </c>
      <c r="D52" s="85">
        <v>24.524999999999999</v>
      </c>
      <c r="E52" s="82" t="s">
        <v>116</v>
      </c>
      <c r="F52" s="81">
        <v>42857.785300925927</v>
      </c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</row>
    <row r="53" spans="1:26">
      <c r="A53" s="81">
        <v>42857.78528935185</v>
      </c>
      <c r="B53" s="82" t="s">
        <v>132</v>
      </c>
      <c r="C53" s="82" t="s">
        <v>190</v>
      </c>
      <c r="D53" s="85">
        <v>0.1125</v>
      </c>
      <c r="E53" s="82" t="s">
        <v>116</v>
      </c>
      <c r="F53" s="81">
        <v>42857.785300925927</v>
      </c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</row>
    <row r="54" spans="1:26">
      <c r="A54" s="81">
        <v>42857.78528935185</v>
      </c>
      <c r="B54" s="82" t="s">
        <v>132</v>
      </c>
      <c r="C54" s="82" t="s">
        <v>191</v>
      </c>
      <c r="D54" s="85">
        <v>0</v>
      </c>
      <c r="E54" s="82" t="s">
        <v>116</v>
      </c>
      <c r="F54" s="81">
        <v>42857.785300925927</v>
      </c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</row>
    <row r="55" spans="1:26">
      <c r="A55" s="81">
        <v>42857.78528935185</v>
      </c>
      <c r="B55" s="82" t="s">
        <v>132</v>
      </c>
      <c r="C55" s="82" t="s">
        <v>192</v>
      </c>
      <c r="D55" s="85">
        <v>0</v>
      </c>
      <c r="E55" s="82" t="s">
        <v>116</v>
      </c>
      <c r="F55" s="81">
        <v>42857.785300925927</v>
      </c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</row>
    <row r="56" spans="1:26">
      <c r="A56" s="81">
        <v>42857.78528935185</v>
      </c>
      <c r="B56" s="82" t="s">
        <v>132</v>
      </c>
      <c r="C56" s="82" t="s">
        <v>193</v>
      </c>
      <c r="D56" s="85">
        <v>0</v>
      </c>
      <c r="E56" s="82" t="s">
        <v>116</v>
      </c>
      <c r="F56" s="81">
        <v>42857.785300925927</v>
      </c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</row>
    <row r="57" spans="1:26">
      <c r="A57" s="81">
        <v>42857.78528935185</v>
      </c>
      <c r="B57" s="82" t="s">
        <v>132</v>
      </c>
      <c r="C57" s="82" t="s">
        <v>194</v>
      </c>
      <c r="D57" s="85">
        <v>0</v>
      </c>
      <c r="E57" s="82" t="s">
        <v>116</v>
      </c>
      <c r="F57" s="81">
        <v>42857.785300925927</v>
      </c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</row>
    <row r="58" spans="1:26">
      <c r="A58" s="81">
        <v>42857.78528935185</v>
      </c>
      <c r="B58" s="82" t="s">
        <v>132</v>
      </c>
      <c r="C58" s="82" t="s">
        <v>195</v>
      </c>
      <c r="D58" s="85">
        <v>0</v>
      </c>
      <c r="E58" s="82" t="s">
        <v>116</v>
      </c>
      <c r="F58" s="81">
        <v>42857.785300925927</v>
      </c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</row>
    <row r="59" spans="1:26">
      <c r="A59" s="81">
        <v>42857.78528935185</v>
      </c>
      <c r="B59" s="82" t="s">
        <v>132</v>
      </c>
      <c r="C59" s="82" t="s">
        <v>196</v>
      </c>
      <c r="D59" s="85">
        <v>0</v>
      </c>
      <c r="E59" s="82" t="s">
        <v>116</v>
      </c>
      <c r="F59" s="81">
        <v>42857.785300925927</v>
      </c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</row>
    <row r="60" spans="1:26">
      <c r="A60" s="81">
        <v>42857.78528935185</v>
      </c>
      <c r="B60" s="82" t="s">
        <v>132</v>
      </c>
      <c r="C60" s="82" t="s">
        <v>197</v>
      </c>
      <c r="D60" s="85">
        <v>0</v>
      </c>
      <c r="E60" s="82" t="s">
        <v>116</v>
      </c>
      <c r="F60" s="81">
        <v>42857.785300925927</v>
      </c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</row>
    <row r="61" spans="1:26">
      <c r="A61" s="81">
        <v>42857.78528935185</v>
      </c>
      <c r="B61" s="82" t="s">
        <v>132</v>
      </c>
      <c r="C61" s="82" t="s">
        <v>198</v>
      </c>
      <c r="D61" s="85">
        <v>0</v>
      </c>
      <c r="E61" s="82" t="s">
        <v>116</v>
      </c>
      <c r="F61" s="81">
        <v>42857.785300925927</v>
      </c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</row>
    <row r="62" spans="1:26">
      <c r="A62" s="81">
        <v>42857.78528935185</v>
      </c>
      <c r="B62" s="82" t="s">
        <v>132</v>
      </c>
      <c r="C62" s="82" t="s">
        <v>199</v>
      </c>
      <c r="D62" s="85">
        <v>0</v>
      </c>
      <c r="E62" s="82" t="s">
        <v>116</v>
      </c>
      <c r="F62" s="81">
        <v>42857.785300925927</v>
      </c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</row>
    <row r="63" spans="1:26">
      <c r="A63" s="81">
        <v>42857.78528935185</v>
      </c>
      <c r="B63" s="82" t="s">
        <v>132</v>
      </c>
      <c r="C63" s="82" t="s">
        <v>200</v>
      </c>
      <c r="D63" s="85">
        <v>0</v>
      </c>
      <c r="E63" s="82" t="s">
        <v>116</v>
      </c>
      <c r="F63" s="81">
        <v>42857.785300925927</v>
      </c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</row>
    <row r="64" spans="1:26">
      <c r="A64" s="81">
        <v>42857.78528935185</v>
      </c>
      <c r="B64" s="82" t="s">
        <v>132</v>
      </c>
      <c r="C64" s="82" t="s">
        <v>201</v>
      </c>
      <c r="D64" s="85">
        <v>0</v>
      </c>
      <c r="E64" s="82" t="s">
        <v>116</v>
      </c>
      <c r="F64" s="81">
        <v>42857.785300925927</v>
      </c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</row>
    <row r="65" spans="1:26">
      <c r="A65" s="81">
        <v>42857.78528935185</v>
      </c>
      <c r="B65" s="82" t="s">
        <v>132</v>
      </c>
      <c r="C65" s="82" t="s">
        <v>202</v>
      </c>
      <c r="D65" s="85">
        <v>0</v>
      </c>
      <c r="E65" s="82" t="s">
        <v>116</v>
      </c>
      <c r="F65" s="81">
        <v>42857.785300925927</v>
      </c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</row>
    <row r="66" spans="1:26">
      <c r="A66" s="81">
        <v>42857.78528935185</v>
      </c>
      <c r="B66" s="82" t="s">
        <v>132</v>
      </c>
      <c r="C66" s="82" t="s">
        <v>203</v>
      </c>
      <c r="D66" s="85">
        <v>0</v>
      </c>
      <c r="E66" s="82" t="s">
        <v>116</v>
      </c>
      <c r="F66" s="81">
        <v>42857.785300925927</v>
      </c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</row>
    <row r="67" spans="1:26">
      <c r="A67" s="81">
        <v>42857.78528935185</v>
      </c>
      <c r="B67" s="82" t="s">
        <v>132</v>
      </c>
      <c r="C67" s="82" t="s">
        <v>204</v>
      </c>
      <c r="D67" s="85">
        <v>0</v>
      </c>
      <c r="E67" s="82" t="s">
        <v>116</v>
      </c>
      <c r="F67" s="81">
        <v>42857.785300925927</v>
      </c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</row>
    <row r="68" spans="1:26">
      <c r="A68" s="81">
        <v>42857.78528935185</v>
      </c>
      <c r="B68" s="82" t="s">
        <v>132</v>
      </c>
      <c r="C68" s="82" t="s">
        <v>205</v>
      </c>
      <c r="D68" s="85">
        <v>0</v>
      </c>
      <c r="E68" s="82" t="s">
        <v>116</v>
      </c>
      <c r="F68" s="81">
        <v>42857.785300925927</v>
      </c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</row>
    <row r="69" spans="1:26">
      <c r="A69" s="81">
        <v>42857.78528935185</v>
      </c>
      <c r="B69" s="82" t="s">
        <v>132</v>
      </c>
      <c r="C69" s="82" t="s">
        <v>206</v>
      </c>
      <c r="D69" s="85">
        <v>0</v>
      </c>
      <c r="E69" s="82" t="s">
        <v>116</v>
      </c>
      <c r="F69" s="81">
        <v>42857.785300925927</v>
      </c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</row>
    <row r="70" spans="1:26">
      <c r="A70" s="81">
        <v>42857.78528935185</v>
      </c>
      <c r="B70" s="82" t="s">
        <v>132</v>
      </c>
      <c r="C70" s="82" t="s">
        <v>207</v>
      </c>
      <c r="D70" s="85">
        <v>0</v>
      </c>
      <c r="E70" s="82" t="s">
        <v>116</v>
      </c>
      <c r="F70" s="81">
        <v>42857.785300925927</v>
      </c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</row>
    <row r="71" spans="1:26">
      <c r="A71" s="81">
        <v>42857.78528935185</v>
      </c>
      <c r="B71" s="82" t="s">
        <v>132</v>
      </c>
      <c r="C71" s="82" t="s">
        <v>208</v>
      </c>
      <c r="D71" s="85">
        <v>0</v>
      </c>
      <c r="E71" s="82" t="s">
        <v>116</v>
      </c>
      <c r="F71" s="81">
        <v>42857.785312499997</v>
      </c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</row>
    <row r="72" spans="1:26">
      <c r="A72" s="81">
        <v>42857.78528935185</v>
      </c>
      <c r="B72" s="82" t="s">
        <v>132</v>
      </c>
      <c r="C72" s="82" t="s">
        <v>209</v>
      </c>
      <c r="D72" s="85">
        <v>0</v>
      </c>
      <c r="E72" s="82" t="s">
        <v>116</v>
      </c>
      <c r="F72" s="81">
        <v>42857.785312499997</v>
      </c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</row>
    <row r="73" spans="1:26">
      <c r="A73" s="81">
        <v>42857.78528935185</v>
      </c>
      <c r="B73" s="82" t="s">
        <v>132</v>
      </c>
      <c r="C73" s="82" t="s">
        <v>210</v>
      </c>
      <c r="D73" s="85">
        <v>0</v>
      </c>
      <c r="E73" s="82" t="s">
        <v>116</v>
      </c>
      <c r="F73" s="81">
        <v>42857.785312499997</v>
      </c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</row>
    <row r="74" spans="1:26">
      <c r="A74" s="81">
        <v>42857.78528935185</v>
      </c>
      <c r="B74" s="82" t="s">
        <v>132</v>
      </c>
      <c r="C74" s="82" t="s">
        <v>211</v>
      </c>
      <c r="D74" s="85">
        <v>0</v>
      </c>
      <c r="E74" s="82" t="s">
        <v>116</v>
      </c>
      <c r="F74" s="81">
        <v>42857.785312499997</v>
      </c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</row>
    <row r="75" spans="1:26">
      <c r="A75" s="81">
        <v>42857.78528935185</v>
      </c>
      <c r="B75" s="82" t="s">
        <v>132</v>
      </c>
      <c r="C75" s="82" t="s">
        <v>212</v>
      </c>
      <c r="D75" s="85">
        <v>0</v>
      </c>
      <c r="E75" s="82" t="s">
        <v>116</v>
      </c>
      <c r="F75" s="81">
        <v>42857.785312499997</v>
      </c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</row>
    <row r="76" spans="1:26">
      <c r="A76" s="81">
        <v>42857.78528935185</v>
      </c>
      <c r="B76" s="82" t="s">
        <v>132</v>
      </c>
      <c r="C76" s="82" t="s">
        <v>213</v>
      </c>
      <c r="D76" s="85">
        <v>0</v>
      </c>
      <c r="E76" s="82" t="s">
        <v>116</v>
      </c>
      <c r="F76" s="81">
        <v>42857.785312499997</v>
      </c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</row>
    <row r="77" spans="1:26">
      <c r="A77" s="81">
        <v>42857.78528935185</v>
      </c>
      <c r="B77" s="82" t="s">
        <v>132</v>
      </c>
      <c r="C77" s="82" t="s">
        <v>214</v>
      </c>
      <c r="D77" s="85">
        <v>0</v>
      </c>
      <c r="E77" s="82" t="s">
        <v>116</v>
      </c>
      <c r="F77" s="81">
        <v>42857.785312499997</v>
      </c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</row>
    <row r="78" spans="1:26">
      <c r="A78" s="81">
        <v>42857.78528935185</v>
      </c>
      <c r="B78" s="82" t="s">
        <v>132</v>
      </c>
      <c r="C78" s="82" t="s">
        <v>215</v>
      </c>
      <c r="D78" s="85">
        <v>0</v>
      </c>
      <c r="E78" s="82" t="s">
        <v>116</v>
      </c>
      <c r="F78" s="81">
        <v>42857.785312499997</v>
      </c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</row>
    <row r="79" spans="1:26">
      <c r="A79" s="81">
        <v>42857.785300925927</v>
      </c>
      <c r="B79" s="82" t="s">
        <v>132</v>
      </c>
      <c r="C79" s="82" t="s">
        <v>216</v>
      </c>
      <c r="D79" s="85">
        <v>0</v>
      </c>
      <c r="E79" s="82" t="s">
        <v>116</v>
      </c>
      <c r="F79" s="81">
        <v>42857.785312499997</v>
      </c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</row>
    <row r="80" spans="1:26">
      <c r="A80" s="81">
        <v>42857.785300925927</v>
      </c>
      <c r="B80" s="82" t="s">
        <v>132</v>
      </c>
      <c r="C80" s="82" t="s">
        <v>217</v>
      </c>
      <c r="D80" s="85">
        <v>0</v>
      </c>
      <c r="E80" s="82" t="s">
        <v>116</v>
      </c>
      <c r="F80" s="81">
        <v>42857.785312499997</v>
      </c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</row>
    <row r="81" spans="1:26">
      <c r="A81" s="81">
        <v>42857.785300925927</v>
      </c>
      <c r="B81" s="82" t="s">
        <v>132</v>
      </c>
      <c r="C81" s="82" t="s">
        <v>218</v>
      </c>
      <c r="D81" s="85">
        <v>0</v>
      </c>
      <c r="E81" s="82" t="s">
        <v>116</v>
      </c>
      <c r="F81" s="81">
        <v>42857.785312499997</v>
      </c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</row>
    <row r="82" spans="1:26">
      <c r="A82" s="81">
        <v>42857.785300925927</v>
      </c>
      <c r="B82" s="82" t="s">
        <v>132</v>
      </c>
      <c r="C82" s="82" t="s">
        <v>219</v>
      </c>
      <c r="D82" s="85">
        <v>0</v>
      </c>
      <c r="E82" s="82" t="s">
        <v>116</v>
      </c>
      <c r="F82" s="81">
        <v>42857.785312499997</v>
      </c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</row>
    <row r="83" spans="1:26">
      <c r="A83" s="81">
        <v>42857.785300925927</v>
      </c>
      <c r="B83" s="82" t="s">
        <v>132</v>
      </c>
      <c r="C83" s="82" t="s">
        <v>220</v>
      </c>
      <c r="D83" s="85">
        <v>0</v>
      </c>
      <c r="E83" s="82" t="s">
        <v>116</v>
      </c>
      <c r="F83" s="81">
        <v>42857.785312499997</v>
      </c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</row>
    <row r="84" spans="1:26">
      <c r="A84" s="81">
        <v>42857.785300925927</v>
      </c>
      <c r="B84" s="82" t="s">
        <v>132</v>
      </c>
      <c r="C84" s="82" t="s">
        <v>221</v>
      </c>
      <c r="D84" s="85">
        <v>0</v>
      </c>
      <c r="E84" s="82" t="s">
        <v>116</v>
      </c>
      <c r="F84" s="81">
        <v>42857.785312499997</v>
      </c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</row>
    <row r="85" spans="1:26">
      <c r="A85" s="81">
        <v>42857.785300925927</v>
      </c>
      <c r="B85" s="82" t="s">
        <v>132</v>
      </c>
      <c r="C85" s="82" t="s">
        <v>222</v>
      </c>
      <c r="D85" s="85">
        <v>0</v>
      </c>
      <c r="E85" s="82" t="s">
        <v>116</v>
      </c>
      <c r="F85" s="81">
        <v>42857.785312499997</v>
      </c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</row>
    <row r="86" spans="1:26">
      <c r="A86" s="81">
        <v>42857.785300925927</v>
      </c>
      <c r="B86" s="82" t="s">
        <v>132</v>
      </c>
      <c r="C86" s="82" t="s">
        <v>223</v>
      </c>
      <c r="D86" s="85">
        <v>0</v>
      </c>
      <c r="E86" s="82" t="s">
        <v>116</v>
      </c>
      <c r="F86" s="81">
        <v>42857.785312499997</v>
      </c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</row>
    <row r="87" spans="1:26">
      <c r="A87" s="81">
        <v>42857.785300925927</v>
      </c>
      <c r="B87" s="82" t="s">
        <v>132</v>
      </c>
      <c r="C87" s="82" t="s">
        <v>224</v>
      </c>
      <c r="D87" s="85">
        <v>0</v>
      </c>
      <c r="E87" s="82" t="s">
        <v>116</v>
      </c>
      <c r="F87" s="81">
        <v>42857.785312499997</v>
      </c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</row>
    <row r="88" spans="1:26">
      <c r="A88" s="81">
        <v>42857.785300925927</v>
      </c>
      <c r="B88" s="82" t="s">
        <v>132</v>
      </c>
      <c r="C88" s="82" t="s">
        <v>225</v>
      </c>
      <c r="D88" s="85">
        <v>0</v>
      </c>
      <c r="E88" s="82" t="s">
        <v>116</v>
      </c>
      <c r="F88" s="81">
        <v>42857.785312499997</v>
      </c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</row>
    <row r="89" spans="1:26">
      <c r="A89" s="81">
        <v>42857.785300925927</v>
      </c>
      <c r="B89" s="82" t="s">
        <v>132</v>
      </c>
      <c r="C89" s="82" t="s">
        <v>226</v>
      </c>
      <c r="D89" s="85">
        <v>0</v>
      </c>
      <c r="E89" s="82" t="s">
        <v>116</v>
      </c>
      <c r="F89" s="81">
        <v>42857.785312499997</v>
      </c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</row>
    <row r="90" spans="1:26">
      <c r="A90" s="81">
        <v>42857.785300925927</v>
      </c>
      <c r="B90" s="82" t="s">
        <v>132</v>
      </c>
      <c r="C90" s="82" t="s">
        <v>227</v>
      </c>
      <c r="D90" s="85">
        <v>0</v>
      </c>
      <c r="E90" s="82" t="s">
        <v>116</v>
      </c>
      <c r="F90" s="81">
        <v>42857.785312499997</v>
      </c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</row>
    <row r="91" spans="1:26">
      <c r="A91" s="81">
        <v>42857.785300925927</v>
      </c>
      <c r="B91" s="82" t="s">
        <v>132</v>
      </c>
      <c r="C91" s="82" t="s">
        <v>228</v>
      </c>
      <c r="D91" s="85">
        <v>0</v>
      </c>
      <c r="E91" s="82" t="s">
        <v>116</v>
      </c>
      <c r="F91" s="81">
        <v>42857.785312499997</v>
      </c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</row>
    <row r="92" spans="1:26">
      <c r="A92" s="81">
        <v>42857.785300925927</v>
      </c>
      <c r="B92" s="82" t="s">
        <v>132</v>
      </c>
      <c r="C92" s="82" t="s">
        <v>229</v>
      </c>
      <c r="D92" s="85">
        <v>0</v>
      </c>
      <c r="E92" s="82" t="s">
        <v>116</v>
      </c>
      <c r="F92" s="81">
        <v>42857.785312499997</v>
      </c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</row>
    <row r="93" spans="1:26">
      <c r="A93" s="81">
        <v>42857.785300925927</v>
      </c>
      <c r="B93" s="82" t="s">
        <v>132</v>
      </c>
      <c r="C93" s="82" t="s">
        <v>230</v>
      </c>
      <c r="D93" s="85">
        <v>0</v>
      </c>
      <c r="E93" s="82" t="s">
        <v>116</v>
      </c>
      <c r="F93" s="81">
        <v>42857.785312499997</v>
      </c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</row>
    <row r="94" spans="1:26">
      <c r="A94" s="81">
        <v>42857.785300925927</v>
      </c>
      <c r="B94" s="82" t="s">
        <v>132</v>
      </c>
      <c r="C94" s="82" t="s">
        <v>231</v>
      </c>
      <c r="D94" s="85">
        <v>0</v>
      </c>
      <c r="E94" s="82" t="s">
        <v>116</v>
      </c>
      <c r="F94" s="81">
        <v>42857.785312499997</v>
      </c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</row>
    <row r="95" spans="1:26">
      <c r="A95" s="81">
        <v>42857.785300925927</v>
      </c>
      <c r="B95" s="82" t="s">
        <v>132</v>
      </c>
      <c r="C95" s="82" t="s">
        <v>232</v>
      </c>
      <c r="D95" s="85">
        <v>0</v>
      </c>
      <c r="E95" s="82" t="s">
        <v>116</v>
      </c>
      <c r="F95" s="81">
        <v>42857.785312499997</v>
      </c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</row>
    <row r="96" spans="1:26">
      <c r="A96" s="81">
        <v>42857.785300925927</v>
      </c>
      <c r="B96" s="82" t="s">
        <v>132</v>
      </c>
      <c r="C96" s="82" t="s">
        <v>233</v>
      </c>
      <c r="D96" s="85">
        <v>0</v>
      </c>
      <c r="E96" s="82" t="s">
        <v>116</v>
      </c>
      <c r="F96" s="81">
        <v>42857.785312499997</v>
      </c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</row>
    <row r="97" spans="1:26">
      <c r="A97" s="81">
        <v>42857.785300925927</v>
      </c>
      <c r="B97" s="82" t="s">
        <v>132</v>
      </c>
      <c r="C97" s="82" t="s">
        <v>234</v>
      </c>
      <c r="D97" s="85">
        <v>0</v>
      </c>
      <c r="E97" s="82" t="s">
        <v>116</v>
      </c>
      <c r="F97" s="81">
        <v>42857.785312499997</v>
      </c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</row>
    <row r="98" spans="1:26">
      <c r="A98" s="81">
        <v>42857.785300925927</v>
      </c>
      <c r="B98" s="82" t="s">
        <v>132</v>
      </c>
      <c r="C98" s="82" t="s">
        <v>235</v>
      </c>
      <c r="D98" s="85">
        <v>0</v>
      </c>
      <c r="E98" s="82" t="s">
        <v>116</v>
      </c>
      <c r="F98" s="81">
        <v>42857.785324074073</v>
      </c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</row>
    <row r="99" spans="1:26">
      <c r="A99" s="81">
        <v>42857.785300925927</v>
      </c>
      <c r="B99" s="82" t="s">
        <v>132</v>
      </c>
      <c r="C99" s="82" t="s">
        <v>236</v>
      </c>
      <c r="D99" s="85">
        <v>0</v>
      </c>
      <c r="E99" s="82" t="s">
        <v>116</v>
      </c>
      <c r="F99" s="81">
        <v>42857.785324074073</v>
      </c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</row>
    <row r="100" spans="1:26">
      <c r="A100" s="81">
        <v>42857.785300925927</v>
      </c>
      <c r="B100" s="82" t="s">
        <v>132</v>
      </c>
      <c r="C100" s="82" t="s">
        <v>237</v>
      </c>
      <c r="D100" s="85">
        <v>0</v>
      </c>
      <c r="E100" s="82" t="s">
        <v>116</v>
      </c>
      <c r="F100" s="81">
        <v>42857.785324074073</v>
      </c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</row>
    <row r="101" spans="1:26">
      <c r="A101" s="81">
        <v>42857.785300925927</v>
      </c>
      <c r="B101" s="82" t="s">
        <v>132</v>
      </c>
      <c r="C101" s="82" t="s">
        <v>238</v>
      </c>
      <c r="D101" s="85">
        <v>0</v>
      </c>
      <c r="E101" s="82" t="s">
        <v>116</v>
      </c>
      <c r="F101" s="81">
        <v>42857.785324074073</v>
      </c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</row>
    <row r="102" spans="1:26">
      <c r="A102" s="81">
        <v>42857.785300925927</v>
      </c>
      <c r="B102" s="82" t="s">
        <v>132</v>
      </c>
      <c r="C102" s="82" t="s">
        <v>239</v>
      </c>
      <c r="D102" s="85">
        <v>0</v>
      </c>
      <c r="E102" s="82" t="s">
        <v>116</v>
      </c>
      <c r="F102" s="81">
        <v>42857.785324074073</v>
      </c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</row>
    <row r="103" spans="1:26">
      <c r="A103" s="81">
        <v>42857.785300925927</v>
      </c>
      <c r="B103" s="82" t="s">
        <v>132</v>
      </c>
      <c r="C103" s="82" t="s">
        <v>240</v>
      </c>
      <c r="D103" s="85">
        <v>0</v>
      </c>
      <c r="E103" s="82" t="s">
        <v>116</v>
      </c>
      <c r="F103" s="81">
        <v>42857.785324074073</v>
      </c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</row>
    <row r="104" spans="1:26">
      <c r="A104" s="81">
        <v>42857.785300925927</v>
      </c>
      <c r="B104" s="82" t="s">
        <v>132</v>
      </c>
      <c r="C104" s="82" t="s">
        <v>241</v>
      </c>
      <c r="D104" s="85">
        <v>0</v>
      </c>
      <c r="E104" s="82" t="s">
        <v>116</v>
      </c>
      <c r="F104" s="81">
        <v>42857.785324074073</v>
      </c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</row>
    <row r="105" spans="1:26">
      <c r="A105" s="81">
        <v>42857.785300925927</v>
      </c>
      <c r="B105" s="82" t="s">
        <v>132</v>
      </c>
      <c r="C105" s="82" t="s">
        <v>242</v>
      </c>
      <c r="D105" s="85">
        <v>0</v>
      </c>
      <c r="E105" s="82" t="s">
        <v>116</v>
      </c>
      <c r="F105" s="81">
        <v>42857.785324074073</v>
      </c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</row>
    <row r="106" spans="1:26">
      <c r="A106" s="81">
        <v>42857.785312499997</v>
      </c>
      <c r="B106" s="82" t="s">
        <v>132</v>
      </c>
      <c r="C106" s="82" t="s">
        <v>243</v>
      </c>
      <c r="D106" s="85">
        <v>0</v>
      </c>
      <c r="E106" s="82" t="s">
        <v>116</v>
      </c>
      <c r="F106" s="81">
        <v>42857.785324074073</v>
      </c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</row>
    <row r="107" spans="1:26">
      <c r="A107" s="81">
        <v>42857.785312499997</v>
      </c>
      <c r="B107" s="82" t="s">
        <v>132</v>
      </c>
      <c r="C107" s="82" t="s">
        <v>244</v>
      </c>
      <c r="D107" s="85">
        <v>0</v>
      </c>
      <c r="E107" s="82" t="s">
        <v>116</v>
      </c>
      <c r="F107" s="81">
        <v>42857.785324074073</v>
      </c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</row>
    <row r="108" spans="1:26">
      <c r="A108" s="81">
        <v>42857.785312499997</v>
      </c>
      <c r="B108" s="82" t="s">
        <v>132</v>
      </c>
      <c r="C108" s="82" t="s">
        <v>245</v>
      </c>
      <c r="D108" s="85">
        <v>0</v>
      </c>
      <c r="E108" s="82" t="s">
        <v>116</v>
      </c>
      <c r="F108" s="81">
        <v>42857.785324074073</v>
      </c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</row>
    <row r="109" spans="1:26">
      <c r="A109" s="81">
        <v>42857.785312499997</v>
      </c>
      <c r="B109" s="82" t="s">
        <v>132</v>
      </c>
      <c r="C109" s="82" t="s">
        <v>246</v>
      </c>
      <c r="D109" s="85">
        <v>0</v>
      </c>
      <c r="E109" s="82" t="s">
        <v>116</v>
      </c>
      <c r="F109" s="81">
        <v>42857.785324074073</v>
      </c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</row>
    <row r="110" spans="1:26">
      <c r="A110" s="81">
        <v>42857.785312499997</v>
      </c>
      <c r="B110" s="82" t="s">
        <v>132</v>
      </c>
      <c r="C110" s="82" t="s">
        <v>247</v>
      </c>
      <c r="D110" s="85">
        <v>0</v>
      </c>
      <c r="E110" s="82" t="s">
        <v>116</v>
      </c>
      <c r="F110" s="81">
        <v>42857.785324074073</v>
      </c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</row>
    <row r="111" spans="1:26">
      <c r="A111" s="81">
        <v>42857.785312499997</v>
      </c>
      <c r="B111" s="82" t="s">
        <v>132</v>
      </c>
      <c r="C111" s="82" t="s">
        <v>248</v>
      </c>
      <c r="D111" s="85">
        <v>0</v>
      </c>
      <c r="E111" s="82" t="s">
        <v>116</v>
      </c>
      <c r="F111" s="81">
        <v>42857.785324074073</v>
      </c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</row>
    <row r="112" spans="1:26">
      <c r="A112" s="81">
        <v>42857.785312499997</v>
      </c>
      <c r="B112" s="82" t="s">
        <v>132</v>
      </c>
      <c r="C112" s="82" t="s">
        <v>249</v>
      </c>
      <c r="D112" s="85">
        <v>0</v>
      </c>
      <c r="E112" s="82" t="s">
        <v>116</v>
      </c>
      <c r="F112" s="81">
        <v>42857.785324074073</v>
      </c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</row>
    <row r="113" spans="1:26">
      <c r="A113" s="81">
        <v>42857.785312499997</v>
      </c>
      <c r="B113" s="82" t="s">
        <v>132</v>
      </c>
      <c r="C113" s="82" t="s">
        <v>250</v>
      </c>
      <c r="D113" s="85">
        <v>0</v>
      </c>
      <c r="E113" s="82" t="s">
        <v>116</v>
      </c>
      <c r="F113" s="81">
        <v>42857.785324074073</v>
      </c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</row>
    <row r="114" spans="1:26">
      <c r="A114" s="81">
        <v>42857.785312499997</v>
      </c>
      <c r="B114" s="82" t="s">
        <v>132</v>
      </c>
      <c r="C114" s="82" t="s">
        <v>251</v>
      </c>
      <c r="D114" s="85">
        <v>0</v>
      </c>
      <c r="E114" s="82" t="s">
        <v>116</v>
      </c>
      <c r="F114" s="81">
        <v>42857.785324074073</v>
      </c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</row>
    <row r="115" spans="1:26">
      <c r="A115" s="81">
        <v>42857.785312499997</v>
      </c>
      <c r="B115" s="82" t="s">
        <v>132</v>
      </c>
      <c r="C115" s="82" t="s">
        <v>252</v>
      </c>
      <c r="D115" s="85">
        <v>0</v>
      </c>
      <c r="E115" s="82" t="s">
        <v>116</v>
      </c>
      <c r="F115" s="81">
        <v>42857.785324074073</v>
      </c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</row>
    <row r="116" spans="1:26">
      <c r="A116" s="81">
        <v>42857.785312499997</v>
      </c>
      <c r="B116" s="82" t="s">
        <v>132</v>
      </c>
      <c r="C116" s="82" t="s">
        <v>253</v>
      </c>
      <c r="D116" s="85">
        <v>0</v>
      </c>
      <c r="E116" s="82" t="s">
        <v>116</v>
      </c>
      <c r="F116" s="81">
        <v>42857.785324074073</v>
      </c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</row>
    <row r="117" spans="1:26">
      <c r="A117" s="81">
        <v>42857.785312499997</v>
      </c>
      <c r="B117" s="82" t="s">
        <v>132</v>
      </c>
      <c r="C117" s="82" t="s">
        <v>254</v>
      </c>
      <c r="D117" s="85">
        <v>0</v>
      </c>
      <c r="E117" s="82" t="s">
        <v>116</v>
      </c>
      <c r="F117" s="81">
        <v>42857.785324074073</v>
      </c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</row>
    <row r="118" spans="1:26">
      <c r="A118" s="81">
        <v>42857.785312499997</v>
      </c>
      <c r="B118" s="82" t="s">
        <v>132</v>
      </c>
      <c r="C118" s="82" t="s">
        <v>255</v>
      </c>
      <c r="D118" s="85">
        <v>0</v>
      </c>
      <c r="E118" s="82" t="s">
        <v>116</v>
      </c>
      <c r="F118" s="81">
        <v>42857.785324074073</v>
      </c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</row>
    <row r="119" spans="1:26">
      <c r="A119" s="81">
        <v>42857.785312499997</v>
      </c>
      <c r="B119" s="82" t="s">
        <v>132</v>
      </c>
      <c r="C119" s="82" t="s">
        <v>256</v>
      </c>
      <c r="D119" s="85">
        <v>0</v>
      </c>
      <c r="E119" s="82" t="s">
        <v>116</v>
      </c>
      <c r="F119" s="81">
        <v>42857.785324074073</v>
      </c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</row>
    <row r="120" spans="1:26">
      <c r="A120" s="81">
        <v>42857.785312499997</v>
      </c>
      <c r="B120" s="82" t="s">
        <v>132</v>
      </c>
      <c r="C120" s="82" t="s">
        <v>257</v>
      </c>
      <c r="D120" s="85">
        <v>0</v>
      </c>
      <c r="E120" s="82" t="s">
        <v>116</v>
      </c>
      <c r="F120" s="81">
        <v>42857.785324074073</v>
      </c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</row>
    <row r="121" spans="1:26">
      <c r="A121" s="81">
        <v>42857.785312499997</v>
      </c>
      <c r="B121" s="82" t="s">
        <v>132</v>
      </c>
      <c r="C121" s="82" t="s">
        <v>258</v>
      </c>
      <c r="D121" s="85">
        <v>0</v>
      </c>
      <c r="E121" s="82" t="s">
        <v>116</v>
      </c>
      <c r="F121" s="81">
        <v>42857.785324074073</v>
      </c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</row>
    <row r="122" spans="1:26">
      <c r="A122" s="81">
        <v>42857.785312499997</v>
      </c>
      <c r="B122" s="82" t="s">
        <v>132</v>
      </c>
      <c r="C122" s="82" t="s">
        <v>259</v>
      </c>
      <c r="D122" s="85">
        <v>0</v>
      </c>
      <c r="E122" s="82" t="s">
        <v>116</v>
      </c>
      <c r="F122" s="81">
        <v>42857.785324074073</v>
      </c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</row>
    <row r="123" spans="1:26">
      <c r="A123" s="81">
        <v>42857.785312499997</v>
      </c>
      <c r="B123" s="82" t="s">
        <v>132</v>
      </c>
      <c r="C123" s="82" t="s">
        <v>260</v>
      </c>
      <c r="D123" s="85">
        <v>0</v>
      </c>
      <c r="E123" s="82" t="s">
        <v>116</v>
      </c>
      <c r="F123" s="81">
        <v>42857.785324074073</v>
      </c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</row>
    <row r="124" spans="1:26">
      <c r="A124" s="81">
        <v>42857.785312499997</v>
      </c>
      <c r="B124" s="82" t="s">
        <v>132</v>
      </c>
      <c r="C124" s="82" t="s">
        <v>261</v>
      </c>
      <c r="D124" s="85">
        <v>0</v>
      </c>
      <c r="E124" s="82" t="s">
        <v>116</v>
      </c>
      <c r="F124" s="81">
        <v>42857.785324074073</v>
      </c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</row>
    <row r="125" spans="1:26">
      <c r="A125" s="81">
        <v>42857.785312499997</v>
      </c>
      <c r="B125" s="82" t="s">
        <v>132</v>
      </c>
      <c r="C125" s="82" t="s">
        <v>262</v>
      </c>
      <c r="D125" s="85">
        <v>0</v>
      </c>
      <c r="E125" s="82" t="s">
        <v>116</v>
      </c>
      <c r="F125" s="81">
        <v>42857.785324074073</v>
      </c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</row>
    <row r="126" spans="1:26">
      <c r="A126" s="81">
        <v>42857.785312499997</v>
      </c>
      <c r="B126" s="82" t="s">
        <v>132</v>
      </c>
      <c r="C126" s="82" t="s">
        <v>263</v>
      </c>
      <c r="D126" s="85">
        <v>0</v>
      </c>
      <c r="E126" s="82" t="s">
        <v>116</v>
      </c>
      <c r="F126" s="81">
        <v>42857.78533564815</v>
      </c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</row>
    <row r="127" spans="1:26">
      <c r="A127" s="81">
        <v>42857.785312499997</v>
      </c>
      <c r="B127" s="82" t="s">
        <v>132</v>
      </c>
      <c r="C127" s="82" t="s">
        <v>264</v>
      </c>
      <c r="D127" s="85">
        <v>0</v>
      </c>
      <c r="E127" s="82" t="s">
        <v>116</v>
      </c>
      <c r="F127" s="81">
        <v>42857.78533564815</v>
      </c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</row>
    <row r="128" spans="1:26">
      <c r="A128" s="81">
        <v>42857.785312499997</v>
      </c>
      <c r="B128" s="82" t="s">
        <v>132</v>
      </c>
      <c r="C128" s="82" t="s">
        <v>265</v>
      </c>
      <c r="D128" s="85">
        <v>0</v>
      </c>
      <c r="E128" s="82" t="s">
        <v>116</v>
      </c>
      <c r="F128" s="81">
        <v>42857.78533564815</v>
      </c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</row>
    <row r="129" spans="1:26">
      <c r="A129" s="81">
        <v>42857.785312499997</v>
      </c>
      <c r="B129" s="82" t="s">
        <v>132</v>
      </c>
      <c r="C129" s="82" t="s">
        <v>266</v>
      </c>
      <c r="D129" s="85">
        <v>0</v>
      </c>
      <c r="E129" s="82" t="s">
        <v>116</v>
      </c>
      <c r="F129" s="81">
        <v>42857.78533564815</v>
      </c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</row>
    <row r="130" spans="1:26">
      <c r="A130" s="81">
        <v>42857.785312499997</v>
      </c>
      <c r="B130" s="82" t="s">
        <v>132</v>
      </c>
      <c r="C130" s="82" t="s">
        <v>267</v>
      </c>
      <c r="D130" s="85">
        <v>0</v>
      </c>
      <c r="E130" s="82" t="s">
        <v>116</v>
      </c>
      <c r="F130" s="81">
        <v>42857.78533564815</v>
      </c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</row>
    <row r="131" spans="1:26">
      <c r="A131" s="81">
        <v>42857.785312499997</v>
      </c>
      <c r="B131" s="82" t="s">
        <v>132</v>
      </c>
      <c r="C131" s="82" t="s">
        <v>268</v>
      </c>
      <c r="D131" s="85">
        <v>0</v>
      </c>
      <c r="E131" s="82" t="s">
        <v>116</v>
      </c>
      <c r="F131" s="81">
        <v>42857.78533564815</v>
      </c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</row>
    <row r="132" spans="1:26">
      <c r="A132" s="81">
        <v>42857.785312499997</v>
      </c>
      <c r="B132" s="82" t="s">
        <v>132</v>
      </c>
      <c r="C132" s="82" t="s">
        <v>269</v>
      </c>
      <c r="D132" s="85">
        <v>0</v>
      </c>
      <c r="E132" s="82" t="s">
        <v>116</v>
      </c>
      <c r="F132" s="81">
        <v>42857.78533564815</v>
      </c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</row>
    <row r="133" spans="1:26">
      <c r="A133" s="81">
        <v>42857.785324074073</v>
      </c>
      <c r="B133" s="82" t="s">
        <v>132</v>
      </c>
      <c r="C133" s="82" t="s">
        <v>270</v>
      </c>
      <c r="D133" s="85">
        <v>0</v>
      </c>
      <c r="E133" s="82" t="s">
        <v>116</v>
      </c>
      <c r="F133" s="81">
        <v>42857.78533564815</v>
      </c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</row>
    <row r="134" spans="1:26">
      <c r="A134" s="81">
        <v>42857.785324074073</v>
      </c>
      <c r="B134" s="82" t="s">
        <v>132</v>
      </c>
      <c r="C134" s="82" t="s">
        <v>271</v>
      </c>
      <c r="D134" s="85">
        <v>0</v>
      </c>
      <c r="E134" s="82" t="s">
        <v>116</v>
      </c>
      <c r="F134" s="81">
        <v>42857.78533564815</v>
      </c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</row>
    <row r="135" spans="1:26">
      <c r="A135" s="81">
        <v>42857.785324074073</v>
      </c>
      <c r="B135" s="82" t="s">
        <v>132</v>
      </c>
      <c r="C135" s="82" t="s">
        <v>272</v>
      </c>
      <c r="D135" s="85">
        <v>0</v>
      </c>
      <c r="E135" s="82" t="s">
        <v>116</v>
      </c>
      <c r="F135" s="81">
        <v>42857.78533564815</v>
      </c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</row>
    <row r="136" spans="1:26">
      <c r="A136" s="81">
        <v>42857.785324074073</v>
      </c>
      <c r="B136" s="82" t="s">
        <v>132</v>
      </c>
      <c r="C136" s="82" t="s">
        <v>273</v>
      </c>
      <c r="D136" s="85">
        <v>0</v>
      </c>
      <c r="E136" s="82" t="s">
        <v>116</v>
      </c>
      <c r="F136" s="81">
        <v>42857.78533564815</v>
      </c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</row>
    <row r="137" spans="1:26">
      <c r="A137" s="81">
        <v>42857.785324074073</v>
      </c>
      <c r="B137" s="82" t="s">
        <v>132</v>
      </c>
      <c r="C137" s="82" t="s">
        <v>274</v>
      </c>
      <c r="D137" s="85">
        <v>0</v>
      </c>
      <c r="E137" s="82" t="s">
        <v>116</v>
      </c>
      <c r="F137" s="81">
        <v>42857.78533564815</v>
      </c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</row>
    <row r="138" spans="1:26">
      <c r="A138" s="81">
        <v>42857.785324074073</v>
      </c>
      <c r="B138" s="82" t="s">
        <v>132</v>
      </c>
      <c r="C138" s="82" t="s">
        <v>275</v>
      </c>
      <c r="D138" s="85">
        <v>0</v>
      </c>
      <c r="E138" s="82" t="s">
        <v>116</v>
      </c>
      <c r="F138" s="81">
        <v>42857.78533564815</v>
      </c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</row>
    <row r="139" spans="1:26">
      <c r="A139" s="81">
        <v>42857.785324074073</v>
      </c>
      <c r="B139" s="82" t="s">
        <v>132</v>
      </c>
      <c r="C139" s="82" t="s">
        <v>276</v>
      </c>
      <c r="D139" s="85">
        <v>0</v>
      </c>
      <c r="E139" s="82" t="s">
        <v>116</v>
      </c>
      <c r="F139" s="81">
        <v>42857.78533564815</v>
      </c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</row>
    <row r="140" spans="1:26">
      <c r="A140" s="81">
        <v>42857.785324074073</v>
      </c>
      <c r="B140" s="82" t="s">
        <v>132</v>
      </c>
      <c r="C140" s="82" t="s">
        <v>277</v>
      </c>
      <c r="D140" s="85">
        <v>0</v>
      </c>
      <c r="E140" s="82" t="s">
        <v>116</v>
      </c>
      <c r="F140" s="81">
        <v>42857.78533564815</v>
      </c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</row>
    <row r="141" spans="1:26">
      <c r="A141" s="81">
        <v>42857.785324074073</v>
      </c>
      <c r="B141" s="82" t="s">
        <v>132</v>
      </c>
      <c r="C141" s="82" t="s">
        <v>278</v>
      </c>
      <c r="D141" s="85">
        <v>0</v>
      </c>
      <c r="E141" s="82" t="s">
        <v>116</v>
      </c>
      <c r="F141" s="81">
        <v>42857.78533564815</v>
      </c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</row>
    <row r="142" spans="1:26">
      <c r="A142" s="81">
        <v>42857.785324074073</v>
      </c>
      <c r="B142" s="82" t="s">
        <v>132</v>
      </c>
      <c r="C142" s="82" t="s">
        <v>279</v>
      </c>
      <c r="D142" s="85">
        <v>0</v>
      </c>
      <c r="E142" s="82" t="s">
        <v>116</v>
      </c>
      <c r="F142" s="81">
        <v>42857.78533564815</v>
      </c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</row>
    <row r="143" spans="1:26">
      <c r="A143" s="81">
        <v>42857.785324074073</v>
      </c>
      <c r="B143" s="82" t="s">
        <v>132</v>
      </c>
      <c r="C143" s="82" t="s">
        <v>280</v>
      </c>
      <c r="D143" s="85">
        <v>0</v>
      </c>
      <c r="E143" s="82" t="s">
        <v>116</v>
      </c>
      <c r="F143" s="81">
        <v>42857.78533564815</v>
      </c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</row>
    <row r="144" spans="1:26">
      <c r="A144" s="81">
        <v>42857.785324074073</v>
      </c>
      <c r="B144" s="82" t="s">
        <v>132</v>
      </c>
      <c r="C144" s="82" t="s">
        <v>281</v>
      </c>
      <c r="D144" s="85">
        <v>0</v>
      </c>
      <c r="E144" s="82" t="s">
        <v>116</v>
      </c>
      <c r="F144" s="81">
        <v>42857.78533564815</v>
      </c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</row>
    <row r="145" spans="1:26">
      <c r="A145" s="81">
        <v>42857.785324074073</v>
      </c>
      <c r="B145" s="82" t="s">
        <v>132</v>
      </c>
      <c r="C145" s="82" t="s">
        <v>282</v>
      </c>
      <c r="D145" s="85">
        <v>0</v>
      </c>
      <c r="E145" s="82" t="s">
        <v>116</v>
      </c>
      <c r="F145" s="81">
        <v>42857.78533564815</v>
      </c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</row>
    <row r="146" spans="1:26">
      <c r="A146" s="81">
        <v>42857.785324074073</v>
      </c>
      <c r="B146" s="82" t="s">
        <v>132</v>
      </c>
      <c r="C146" s="82" t="s">
        <v>283</v>
      </c>
      <c r="D146" s="85">
        <v>0</v>
      </c>
      <c r="E146" s="82" t="s">
        <v>116</v>
      </c>
      <c r="F146" s="81">
        <v>42857.78533564815</v>
      </c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</row>
    <row r="147" spans="1:26">
      <c r="A147" s="81">
        <v>42857.785324074073</v>
      </c>
      <c r="B147" s="82" t="s">
        <v>132</v>
      </c>
      <c r="C147" s="82" t="s">
        <v>284</v>
      </c>
      <c r="D147" s="85">
        <v>0</v>
      </c>
      <c r="E147" s="82" t="s">
        <v>116</v>
      </c>
      <c r="F147" s="81">
        <v>42857.78533564815</v>
      </c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</row>
    <row r="148" spans="1:26">
      <c r="A148" s="81">
        <v>42857.785324074073</v>
      </c>
      <c r="B148" s="82" t="s">
        <v>132</v>
      </c>
      <c r="C148" s="82" t="s">
        <v>285</v>
      </c>
      <c r="D148" s="85">
        <v>0</v>
      </c>
      <c r="E148" s="82" t="s">
        <v>116</v>
      </c>
      <c r="F148" s="81">
        <v>42857.78533564815</v>
      </c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</row>
    <row r="149" spans="1:26">
      <c r="A149" s="81">
        <v>42857.785324074073</v>
      </c>
      <c r="B149" s="82" t="s">
        <v>132</v>
      </c>
      <c r="C149" s="82" t="s">
        <v>286</v>
      </c>
      <c r="D149" s="85">
        <v>0</v>
      </c>
      <c r="E149" s="82" t="s">
        <v>116</v>
      </c>
      <c r="F149" s="81">
        <v>42857.78533564815</v>
      </c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</row>
    <row r="150" spans="1:26">
      <c r="A150" s="81">
        <v>42857.785324074073</v>
      </c>
      <c r="B150" s="82" t="s">
        <v>132</v>
      </c>
      <c r="C150" s="82" t="s">
        <v>287</v>
      </c>
      <c r="D150" s="85">
        <v>0</v>
      </c>
      <c r="E150" s="82" t="s">
        <v>116</v>
      </c>
      <c r="F150" s="81">
        <v>42857.78533564815</v>
      </c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</row>
    <row r="151" spans="1:26">
      <c r="A151" s="81">
        <v>42857.785324074073</v>
      </c>
      <c r="B151" s="82" t="s">
        <v>132</v>
      </c>
      <c r="C151" s="82" t="s">
        <v>288</v>
      </c>
      <c r="D151" s="85">
        <v>0</v>
      </c>
      <c r="E151" s="82" t="s">
        <v>116</v>
      </c>
      <c r="F151" s="81">
        <v>42857.78533564815</v>
      </c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</row>
    <row r="152" spans="1:26">
      <c r="A152" s="81">
        <v>42857.785324074073</v>
      </c>
      <c r="B152" s="82" t="s">
        <v>132</v>
      </c>
      <c r="C152" s="82" t="s">
        <v>289</v>
      </c>
      <c r="D152" s="85">
        <v>0</v>
      </c>
      <c r="E152" s="82" t="s">
        <v>116</v>
      </c>
      <c r="F152" s="81">
        <v>42857.78533564815</v>
      </c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</row>
    <row r="153" spans="1:26">
      <c r="A153" s="81">
        <v>42857.785324074073</v>
      </c>
      <c r="B153" s="82" t="s">
        <v>132</v>
      </c>
      <c r="C153" s="82" t="s">
        <v>290</v>
      </c>
      <c r="D153" s="85">
        <v>0</v>
      </c>
      <c r="E153" s="82" t="s">
        <v>116</v>
      </c>
      <c r="F153" s="81">
        <v>42857.78533564815</v>
      </c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</row>
    <row r="154" spans="1:26">
      <c r="A154" s="81">
        <v>42857.785324074073</v>
      </c>
      <c r="B154" s="82" t="s">
        <v>132</v>
      </c>
      <c r="C154" s="82" t="s">
        <v>291</v>
      </c>
      <c r="D154" s="85">
        <v>0</v>
      </c>
      <c r="E154" s="82" t="s">
        <v>116</v>
      </c>
      <c r="F154" s="81">
        <v>42857.78533564815</v>
      </c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</row>
    <row r="155" spans="1:26">
      <c r="A155" s="81">
        <v>42857.785324074073</v>
      </c>
      <c r="B155" s="82" t="s">
        <v>132</v>
      </c>
      <c r="C155" s="82" t="s">
        <v>292</v>
      </c>
      <c r="D155" s="85">
        <v>0</v>
      </c>
      <c r="E155" s="82" t="s">
        <v>116</v>
      </c>
      <c r="F155" s="81">
        <v>42857.78533564815</v>
      </c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</row>
    <row r="156" spans="1:26">
      <c r="A156" s="81">
        <v>42857.785324074073</v>
      </c>
      <c r="B156" s="82" t="s">
        <v>132</v>
      </c>
      <c r="C156" s="82" t="s">
        <v>293</v>
      </c>
      <c r="D156" s="85">
        <v>0</v>
      </c>
      <c r="E156" s="82" t="s">
        <v>116</v>
      </c>
      <c r="F156" s="81">
        <v>42857.78533564815</v>
      </c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</row>
    <row r="157" spans="1:26">
      <c r="A157" s="81">
        <v>42857.785324074073</v>
      </c>
      <c r="B157" s="82" t="s">
        <v>132</v>
      </c>
      <c r="C157" s="82" t="s">
        <v>294</v>
      </c>
      <c r="D157" s="85">
        <v>0</v>
      </c>
      <c r="E157" s="82" t="s">
        <v>116</v>
      </c>
      <c r="F157" s="81">
        <v>42857.78533564815</v>
      </c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</row>
    <row r="158" spans="1:26">
      <c r="A158" s="81">
        <v>42857.785324074073</v>
      </c>
      <c r="B158" s="82" t="s">
        <v>132</v>
      </c>
      <c r="C158" s="82" t="s">
        <v>295</v>
      </c>
      <c r="D158" s="85">
        <v>0</v>
      </c>
      <c r="E158" s="82" t="s">
        <v>116</v>
      </c>
      <c r="F158" s="81">
        <v>42857.78533564815</v>
      </c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</row>
    <row r="159" spans="1:26">
      <c r="A159" s="81">
        <v>42857.785324074073</v>
      </c>
      <c r="B159" s="82" t="s">
        <v>132</v>
      </c>
      <c r="C159" s="82" t="s">
        <v>296</v>
      </c>
      <c r="D159" s="85">
        <v>0</v>
      </c>
      <c r="E159" s="82" t="s">
        <v>116</v>
      </c>
      <c r="F159" s="81">
        <v>42857.78533564815</v>
      </c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</row>
    <row r="160" spans="1:26">
      <c r="A160" s="81">
        <v>42857.785324074073</v>
      </c>
      <c r="B160" s="82" t="s">
        <v>132</v>
      </c>
      <c r="C160" s="82" t="s">
        <v>297</v>
      </c>
      <c r="D160" s="85">
        <v>0</v>
      </c>
      <c r="E160" s="82" t="s">
        <v>116</v>
      </c>
      <c r="F160" s="81">
        <v>42857.78533564815</v>
      </c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</row>
    <row r="161" spans="1:26">
      <c r="A161" s="81">
        <v>42857.78533564815</v>
      </c>
      <c r="B161" s="82" t="s">
        <v>132</v>
      </c>
      <c r="C161" s="82" t="s">
        <v>298</v>
      </c>
      <c r="D161" s="85">
        <v>0</v>
      </c>
      <c r="E161" s="82" t="s">
        <v>116</v>
      </c>
      <c r="F161" s="81">
        <v>42857.78533564815</v>
      </c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</row>
    <row r="162" spans="1:26">
      <c r="A162" s="81">
        <v>42857.78533564815</v>
      </c>
      <c r="B162" s="82" t="s">
        <v>132</v>
      </c>
      <c r="C162" s="82" t="s">
        <v>299</v>
      </c>
      <c r="E162" s="82" t="s">
        <v>116</v>
      </c>
      <c r="F162" s="81">
        <v>42857.78533564815</v>
      </c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</row>
    <row r="163" spans="1:26">
      <c r="A163" s="81">
        <v>42857.78533564815</v>
      </c>
      <c r="B163" s="82" t="s">
        <v>132</v>
      </c>
      <c r="C163" s="82" t="s">
        <v>173</v>
      </c>
      <c r="E163" s="82" t="s">
        <v>116</v>
      </c>
      <c r="F163" s="81">
        <v>42857.78533564815</v>
      </c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</row>
    <row r="164" spans="1:26">
      <c r="A164" s="81">
        <v>42857.78533564815</v>
      </c>
      <c r="B164" s="82" t="s">
        <v>132</v>
      </c>
      <c r="C164" s="82" t="s">
        <v>172</v>
      </c>
      <c r="E164" s="82" t="s">
        <v>116</v>
      </c>
      <c r="F164" s="81">
        <v>42857.78533564815</v>
      </c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</row>
    <row r="165" spans="1:26">
      <c r="A165" s="81">
        <v>42857.78533564815</v>
      </c>
      <c r="B165" s="82" t="s">
        <v>132</v>
      </c>
      <c r="C165" s="82" t="s">
        <v>171</v>
      </c>
      <c r="E165" s="82" t="s">
        <v>116</v>
      </c>
      <c r="F165" s="81">
        <v>42857.78533564815</v>
      </c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</row>
    <row r="166" spans="1:26">
      <c r="A166" s="81">
        <v>42857.78533564815</v>
      </c>
      <c r="B166" s="82" t="s">
        <v>132</v>
      </c>
      <c r="C166" s="82" t="s">
        <v>170</v>
      </c>
      <c r="E166" s="82" t="s">
        <v>116</v>
      </c>
      <c r="F166" s="81">
        <v>42857.78533564815</v>
      </c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</row>
    <row r="167" spans="1:26">
      <c r="A167" s="81">
        <v>42857.78533564815</v>
      </c>
      <c r="B167" s="82" t="s">
        <v>132</v>
      </c>
      <c r="C167" s="82" t="s">
        <v>169</v>
      </c>
      <c r="E167" s="82" t="s">
        <v>116</v>
      </c>
      <c r="F167" s="81">
        <v>42857.78533564815</v>
      </c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</row>
    <row r="168" spans="1:26">
      <c r="A168" s="81">
        <v>42857.78533564815</v>
      </c>
      <c r="B168" s="82" t="s">
        <v>132</v>
      </c>
      <c r="C168" s="82" t="s">
        <v>168</v>
      </c>
      <c r="E168" s="82" t="s">
        <v>116</v>
      </c>
      <c r="F168" s="81">
        <v>42857.78533564815</v>
      </c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</row>
    <row r="169" spans="1:26">
      <c r="A169" s="81">
        <v>42857.78533564815</v>
      </c>
      <c r="B169" s="82" t="s">
        <v>132</v>
      </c>
      <c r="C169" s="82" t="s">
        <v>167</v>
      </c>
      <c r="E169" s="82" t="s">
        <v>116</v>
      </c>
      <c r="F169" s="81">
        <v>42857.78533564815</v>
      </c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</row>
    <row r="170" spans="1:26">
      <c r="A170" s="81">
        <v>42857.78533564815</v>
      </c>
      <c r="B170" s="82" t="s">
        <v>132</v>
      </c>
      <c r="C170" s="82" t="s">
        <v>166</v>
      </c>
      <c r="E170" s="82" t="s">
        <v>116</v>
      </c>
      <c r="F170" s="81">
        <v>42857.78533564815</v>
      </c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</row>
    <row r="171" spans="1:26">
      <c r="A171" s="81">
        <v>42857.78533564815</v>
      </c>
      <c r="B171" s="82" t="s">
        <v>132</v>
      </c>
      <c r="C171" s="82" t="s">
        <v>300</v>
      </c>
      <c r="E171" s="82" t="s">
        <v>116</v>
      </c>
      <c r="F171" s="81">
        <v>42857.78533564815</v>
      </c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</row>
    <row r="172" spans="1:26">
      <c r="A172" s="81">
        <v>42857.78533564815</v>
      </c>
      <c r="B172" s="82" t="s">
        <v>132</v>
      </c>
      <c r="C172" s="82" t="s">
        <v>163</v>
      </c>
      <c r="E172" s="82" t="s">
        <v>116</v>
      </c>
      <c r="F172" s="81">
        <v>42857.78534722222</v>
      </c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</row>
    <row r="173" spans="1:26">
      <c r="A173" s="81">
        <v>42857.78533564815</v>
      </c>
      <c r="B173" s="82" t="s">
        <v>132</v>
      </c>
      <c r="C173" s="82" t="s">
        <v>162</v>
      </c>
      <c r="E173" s="82" t="s">
        <v>116</v>
      </c>
      <c r="F173" s="81">
        <v>42857.78534722222</v>
      </c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</row>
    <row r="174" spans="1:26">
      <c r="A174" s="81">
        <v>42857.78533564815</v>
      </c>
      <c r="B174" s="82" t="s">
        <v>132</v>
      </c>
      <c r="C174" s="82" t="s">
        <v>161</v>
      </c>
      <c r="E174" s="82" t="s">
        <v>116</v>
      </c>
      <c r="F174" s="81">
        <v>42857.78534722222</v>
      </c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</row>
    <row r="175" spans="1:26">
      <c r="A175" s="81">
        <v>42857.78533564815</v>
      </c>
      <c r="B175" s="82" t="s">
        <v>132</v>
      </c>
      <c r="C175" s="82" t="s">
        <v>160</v>
      </c>
      <c r="E175" s="82" t="s">
        <v>116</v>
      </c>
      <c r="F175" s="81">
        <v>42857.78534722222</v>
      </c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</row>
    <row r="176" spans="1:26">
      <c r="A176" s="81">
        <v>42857.78533564815</v>
      </c>
      <c r="B176" s="82" t="s">
        <v>132</v>
      </c>
      <c r="C176" s="82" t="s">
        <v>159</v>
      </c>
      <c r="E176" s="82" t="s">
        <v>116</v>
      </c>
      <c r="F176" s="81">
        <v>42857.78534722222</v>
      </c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</row>
    <row r="177" spans="1:26">
      <c r="A177" s="81">
        <v>42857.78533564815</v>
      </c>
      <c r="B177" s="82" t="s">
        <v>132</v>
      </c>
      <c r="C177" s="82" t="s">
        <v>158</v>
      </c>
      <c r="E177" s="82" t="s">
        <v>116</v>
      </c>
      <c r="F177" s="81">
        <v>42857.78534722222</v>
      </c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</row>
    <row r="178" spans="1:26">
      <c r="A178" s="81">
        <v>42857.78533564815</v>
      </c>
      <c r="B178" s="82" t="s">
        <v>132</v>
      </c>
      <c r="C178" s="82" t="s">
        <v>157</v>
      </c>
      <c r="E178" s="82" t="s">
        <v>116</v>
      </c>
      <c r="F178" s="81">
        <v>42857.78534722222</v>
      </c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</row>
    <row r="179" spans="1:26">
      <c r="A179" s="81">
        <v>42857.78533564815</v>
      </c>
      <c r="B179" s="82" t="s">
        <v>132</v>
      </c>
      <c r="C179" s="82" t="s">
        <v>156</v>
      </c>
      <c r="E179" s="82" t="s">
        <v>116</v>
      </c>
      <c r="F179" s="81">
        <v>42857.78534722222</v>
      </c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</row>
    <row r="180" spans="1:26">
      <c r="A180" s="81">
        <v>42857.78533564815</v>
      </c>
      <c r="B180" s="82" t="s">
        <v>132</v>
      </c>
      <c r="C180" s="82" t="s">
        <v>155</v>
      </c>
      <c r="E180" s="82" t="s">
        <v>116</v>
      </c>
      <c r="F180" s="81">
        <v>42857.78534722222</v>
      </c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</row>
    <row r="181" spans="1:26">
      <c r="A181" s="81">
        <v>42857.78533564815</v>
      </c>
      <c r="B181" s="82" t="s">
        <v>132</v>
      </c>
      <c r="C181" s="82" t="s">
        <v>154</v>
      </c>
      <c r="E181" s="82" t="s">
        <v>116</v>
      </c>
      <c r="F181" s="81">
        <v>42857.78534722222</v>
      </c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</row>
    <row r="182" spans="1:26">
      <c r="A182" s="81">
        <v>42857.78533564815</v>
      </c>
      <c r="B182" s="82" t="s">
        <v>132</v>
      </c>
      <c r="C182" s="82" t="s">
        <v>198</v>
      </c>
      <c r="E182" s="82" t="s">
        <v>116</v>
      </c>
      <c r="F182" s="81">
        <v>42857.78534722222</v>
      </c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</row>
    <row r="183" spans="1:26">
      <c r="A183" s="81">
        <v>42857.78533564815</v>
      </c>
      <c r="B183" s="82" t="s">
        <v>132</v>
      </c>
      <c r="C183" s="82" t="s">
        <v>197</v>
      </c>
      <c r="E183" s="82" t="s">
        <v>116</v>
      </c>
      <c r="F183" s="81">
        <v>42857.78534722222</v>
      </c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</row>
    <row r="184" spans="1:26">
      <c r="A184" s="81">
        <v>42857.78533564815</v>
      </c>
      <c r="B184" s="82" t="s">
        <v>132</v>
      </c>
      <c r="C184" s="82" t="s">
        <v>196</v>
      </c>
      <c r="E184" s="82" t="s">
        <v>116</v>
      </c>
      <c r="F184" s="81">
        <v>42857.78534722222</v>
      </c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</row>
    <row r="185" spans="1:26">
      <c r="A185" s="81">
        <v>42857.78533564815</v>
      </c>
      <c r="B185" s="82" t="s">
        <v>132</v>
      </c>
      <c r="C185" s="82" t="s">
        <v>195</v>
      </c>
      <c r="E185" s="82" t="s">
        <v>116</v>
      </c>
      <c r="F185" s="81">
        <v>42857.78534722222</v>
      </c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</row>
    <row r="186" spans="1:26">
      <c r="A186" s="81">
        <v>42857.78533564815</v>
      </c>
      <c r="B186" s="82" t="s">
        <v>132</v>
      </c>
      <c r="C186" s="82" t="s">
        <v>194</v>
      </c>
      <c r="E186" s="82" t="s">
        <v>116</v>
      </c>
      <c r="F186" s="81">
        <v>42857.78534722222</v>
      </c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</row>
    <row r="187" spans="1:26">
      <c r="A187" s="81">
        <v>42857.78533564815</v>
      </c>
      <c r="B187" s="82" t="s">
        <v>132</v>
      </c>
      <c r="C187" s="82" t="s">
        <v>193</v>
      </c>
      <c r="E187" s="82" t="s">
        <v>116</v>
      </c>
      <c r="F187" s="81">
        <v>42857.78534722222</v>
      </c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</row>
    <row r="188" spans="1:26">
      <c r="A188" s="81">
        <v>42857.78533564815</v>
      </c>
      <c r="B188" s="82" t="s">
        <v>132</v>
      </c>
      <c r="C188" s="82" t="s">
        <v>192</v>
      </c>
      <c r="E188" s="82" t="s">
        <v>116</v>
      </c>
      <c r="F188" s="81">
        <v>42857.78534722222</v>
      </c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</row>
    <row r="189" spans="1:26">
      <c r="A189" s="81">
        <v>42857.78533564815</v>
      </c>
      <c r="B189" s="82" t="s">
        <v>132</v>
      </c>
      <c r="C189" s="82" t="s">
        <v>191</v>
      </c>
      <c r="E189" s="82" t="s">
        <v>116</v>
      </c>
      <c r="F189" s="81">
        <v>42857.78534722222</v>
      </c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</row>
    <row r="190" spans="1:26">
      <c r="A190" s="81">
        <v>42857.78533564815</v>
      </c>
      <c r="B190" s="82" t="s">
        <v>132</v>
      </c>
      <c r="C190" s="82" t="s">
        <v>188</v>
      </c>
      <c r="E190" s="82" t="s">
        <v>116</v>
      </c>
      <c r="F190" s="81">
        <v>42857.78534722222</v>
      </c>
      <c r="G190" s="82"/>
      <c r="H190" s="82"/>
      <c r="I190" s="82"/>
      <c r="J190" s="82"/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</row>
    <row r="191" spans="1:26">
      <c r="A191" s="81">
        <v>42857.78533564815</v>
      </c>
      <c r="B191" s="82" t="s">
        <v>132</v>
      </c>
      <c r="C191" s="82" t="s">
        <v>187</v>
      </c>
      <c r="E191" s="82" t="s">
        <v>116</v>
      </c>
      <c r="F191" s="81">
        <v>42857.78534722222</v>
      </c>
      <c r="G191" s="82"/>
      <c r="H191" s="82"/>
      <c r="I191" s="82"/>
      <c r="J191" s="82"/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</row>
    <row r="192" spans="1:26">
      <c r="A192" s="81">
        <v>42857.78533564815</v>
      </c>
      <c r="B192" s="82" t="s">
        <v>132</v>
      </c>
      <c r="C192" s="82" t="s">
        <v>186</v>
      </c>
      <c r="E192" s="82" t="s">
        <v>116</v>
      </c>
      <c r="F192" s="81">
        <v>42857.78534722222</v>
      </c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</row>
    <row r="193" spans="1:26">
      <c r="A193" s="81">
        <v>42857.78533564815</v>
      </c>
      <c r="B193" s="82" t="s">
        <v>132</v>
      </c>
      <c r="C193" s="82" t="s">
        <v>185</v>
      </c>
      <c r="E193" s="82" t="s">
        <v>116</v>
      </c>
      <c r="F193" s="81">
        <v>42857.78534722222</v>
      </c>
      <c r="G193" s="82"/>
      <c r="H193" s="82"/>
      <c r="I193" s="82"/>
      <c r="J193" s="82"/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</row>
    <row r="194" spans="1:26">
      <c r="A194" s="81">
        <v>42857.78533564815</v>
      </c>
      <c r="B194" s="82" t="s">
        <v>132</v>
      </c>
      <c r="C194" s="82" t="s">
        <v>184</v>
      </c>
      <c r="E194" s="82" t="s">
        <v>116</v>
      </c>
      <c r="F194" s="81">
        <v>42857.78534722222</v>
      </c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</row>
    <row r="195" spans="1:26">
      <c r="A195" s="81">
        <v>42857.78533564815</v>
      </c>
      <c r="B195" s="82" t="s">
        <v>132</v>
      </c>
      <c r="C195" s="82" t="s">
        <v>183</v>
      </c>
      <c r="E195" s="82" t="s">
        <v>116</v>
      </c>
      <c r="F195" s="81">
        <v>42857.78534722222</v>
      </c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</row>
    <row r="196" spans="1:26">
      <c r="A196" s="81">
        <v>42857.78533564815</v>
      </c>
      <c r="B196" s="82" t="s">
        <v>132</v>
      </c>
      <c r="C196" s="82" t="s">
        <v>182</v>
      </c>
      <c r="E196" s="82" t="s">
        <v>116</v>
      </c>
      <c r="F196" s="81">
        <v>42857.78534722222</v>
      </c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</row>
    <row r="197" spans="1:26">
      <c r="A197" s="81">
        <v>42857.78533564815</v>
      </c>
      <c r="B197" s="82" t="s">
        <v>132</v>
      </c>
      <c r="C197" s="82" t="s">
        <v>181</v>
      </c>
      <c r="E197" s="82" t="s">
        <v>116</v>
      </c>
      <c r="F197" s="81">
        <v>42857.78534722222</v>
      </c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</row>
    <row r="198" spans="1:26">
      <c r="A198" s="81">
        <v>42857.78533564815</v>
      </c>
      <c r="B198" s="82" t="s">
        <v>132</v>
      </c>
      <c r="C198" s="82" t="s">
        <v>180</v>
      </c>
      <c r="E198" s="82" t="s">
        <v>116</v>
      </c>
      <c r="F198" s="81">
        <v>42857.78534722222</v>
      </c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</row>
    <row r="199" spans="1:26">
      <c r="A199" s="81">
        <v>42857.78533564815</v>
      </c>
      <c r="B199" s="82" t="s">
        <v>132</v>
      </c>
      <c r="C199" s="82" t="s">
        <v>179</v>
      </c>
      <c r="E199" s="82" t="s">
        <v>116</v>
      </c>
      <c r="F199" s="81">
        <v>42857.78534722222</v>
      </c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</row>
    <row r="200" spans="1:26">
      <c r="A200" s="81">
        <v>42857.78533564815</v>
      </c>
      <c r="B200" s="82" t="s">
        <v>132</v>
      </c>
      <c r="C200" s="82" t="s">
        <v>223</v>
      </c>
      <c r="E200" s="82" t="s">
        <v>116</v>
      </c>
      <c r="F200" s="81">
        <v>42857.78534722222</v>
      </c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</row>
    <row r="201" spans="1:26">
      <c r="A201" s="81">
        <v>42857.78533564815</v>
      </c>
      <c r="B201" s="82" t="s">
        <v>132</v>
      </c>
      <c r="C201" s="82" t="s">
        <v>222</v>
      </c>
      <c r="E201" s="82" t="s">
        <v>116</v>
      </c>
      <c r="F201" s="81">
        <v>42857.78534722222</v>
      </c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</row>
    <row r="202" spans="1:26">
      <c r="A202" s="81">
        <v>42857.78533564815</v>
      </c>
      <c r="B202" s="82" t="s">
        <v>132</v>
      </c>
      <c r="C202" s="82" t="s">
        <v>221</v>
      </c>
      <c r="E202" s="82" t="s">
        <v>116</v>
      </c>
      <c r="F202" s="81">
        <v>42857.78534722222</v>
      </c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</row>
    <row r="203" spans="1:26">
      <c r="A203" s="81">
        <v>42857.78533564815</v>
      </c>
      <c r="B203" s="82" t="s">
        <v>132</v>
      </c>
      <c r="C203" s="82" t="s">
        <v>220</v>
      </c>
      <c r="E203" s="82" t="s">
        <v>116</v>
      </c>
      <c r="F203" s="81">
        <v>42857.78534722222</v>
      </c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</row>
    <row r="204" spans="1:26">
      <c r="A204" s="81">
        <v>42857.78533564815</v>
      </c>
      <c r="B204" s="82" t="s">
        <v>132</v>
      </c>
      <c r="C204" s="82" t="s">
        <v>219</v>
      </c>
      <c r="E204" s="82" t="s">
        <v>116</v>
      </c>
      <c r="F204" s="81">
        <v>42857.78534722222</v>
      </c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</row>
    <row r="205" spans="1:26">
      <c r="A205" s="81">
        <v>42857.78533564815</v>
      </c>
      <c r="B205" s="82" t="s">
        <v>132</v>
      </c>
      <c r="C205" s="82" t="s">
        <v>218</v>
      </c>
      <c r="E205" s="82" t="s">
        <v>116</v>
      </c>
      <c r="F205" s="81">
        <v>42857.78534722222</v>
      </c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</row>
    <row r="206" spans="1:26">
      <c r="A206" s="81">
        <v>42857.78533564815</v>
      </c>
      <c r="B206" s="82" t="s">
        <v>132</v>
      </c>
      <c r="C206" s="82" t="s">
        <v>217</v>
      </c>
      <c r="E206" s="82" t="s">
        <v>116</v>
      </c>
      <c r="F206" s="81">
        <v>42857.78534722222</v>
      </c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</row>
    <row r="207" spans="1:26">
      <c r="A207" s="81">
        <v>42857.78533564815</v>
      </c>
      <c r="B207" s="82" t="s">
        <v>132</v>
      </c>
      <c r="C207" s="82" t="s">
        <v>216</v>
      </c>
      <c r="E207" s="82" t="s">
        <v>116</v>
      </c>
      <c r="F207" s="81">
        <v>42857.78534722222</v>
      </c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</row>
    <row r="208" spans="1:26">
      <c r="A208" s="81">
        <v>42857.78533564815</v>
      </c>
      <c r="B208" s="82" t="s">
        <v>132</v>
      </c>
      <c r="C208" s="82" t="s">
        <v>215</v>
      </c>
      <c r="E208" s="82" t="s">
        <v>116</v>
      </c>
      <c r="F208" s="81">
        <v>42857.78534722222</v>
      </c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</row>
    <row r="209" spans="1:26">
      <c r="A209" s="81">
        <v>42857.78533564815</v>
      </c>
      <c r="B209" s="82" t="s">
        <v>132</v>
      </c>
      <c r="C209" s="82" t="s">
        <v>214</v>
      </c>
      <c r="E209" s="82" t="s">
        <v>116</v>
      </c>
      <c r="F209" s="81">
        <v>42857.78534722222</v>
      </c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</row>
    <row r="210" spans="1:26">
      <c r="A210" s="81">
        <v>42857.78533564815</v>
      </c>
      <c r="B210" s="82" t="s">
        <v>132</v>
      </c>
      <c r="C210" s="82" t="s">
        <v>301</v>
      </c>
      <c r="E210" s="82" t="s">
        <v>116</v>
      </c>
      <c r="F210" s="81">
        <v>42857.78534722222</v>
      </c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</row>
    <row r="211" spans="1:26">
      <c r="A211" s="81">
        <v>42857.78533564815</v>
      </c>
      <c r="B211" s="82" t="s">
        <v>132</v>
      </c>
      <c r="C211" s="82" t="s">
        <v>213</v>
      </c>
      <c r="E211" s="82" t="s">
        <v>116</v>
      </c>
      <c r="F211" s="81">
        <v>42857.78534722222</v>
      </c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</row>
    <row r="212" spans="1:26">
      <c r="A212" s="81">
        <v>42857.78533564815</v>
      </c>
      <c r="B212" s="82" t="s">
        <v>132</v>
      </c>
      <c r="C212" s="82" t="s">
        <v>212</v>
      </c>
      <c r="E212" s="82" t="s">
        <v>116</v>
      </c>
      <c r="F212" s="81">
        <v>42857.78534722222</v>
      </c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</row>
    <row r="213" spans="1:26">
      <c r="A213" s="81">
        <v>42857.78533564815</v>
      </c>
      <c r="B213" s="82" t="s">
        <v>132</v>
      </c>
      <c r="C213" s="82" t="s">
        <v>211</v>
      </c>
      <c r="E213" s="82" t="s">
        <v>116</v>
      </c>
      <c r="F213" s="81">
        <v>42857.78534722222</v>
      </c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</row>
    <row r="214" spans="1:26">
      <c r="A214" s="81">
        <v>42857.78533564815</v>
      </c>
      <c r="B214" s="82" t="s">
        <v>132</v>
      </c>
      <c r="C214" s="82" t="s">
        <v>210</v>
      </c>
      <c r="E214" s="82" t="s">
        <v>116</v>
      </c>
      <c r="F214" s="81">
        <v>42857.78534722222</v>
      </c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</row>
    <row r="215" spans="1:26">
      <c r="A215" s="81">
        <v>42857.78533564815</v>
      </c>
      <c r="B215" s="82" t="s">
        <v>132</v>
      </c>
      <c r="C215" s="82" t="s">
        <v>209</v>
      </c>
      <c r="E215" s="82" t="s">
        <v>116</v>
      </c>
      <c r="F215" s="81">
        <v>42857.78534722222</v>
      </c>
      <c r="G215" s="82"/>
      <c r="H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</row>
    <row r="216" spans="1:26">
      <c r="A216" s="81">
        <v>42857.78533564815</v>
      </c>
      <c r="B216" s="82" t="s">
        <v>132</v>
      </c>
      <c r="C216" s="82" t="s">
        <v>208</v>
      </c>
      <c r="E216" s="82" t="s">
        <v>116</v>
      </c>
      <c r="F216" s="81">
        <v>42857.78534722222</v>
      </c>
      <c r="G216" s="82"/>
      <c r="H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</row>
    <row r="217" spans="1:26">
      <c r="A217" s="81">
        <v>42857.78533564815</v>
      </c>
      <c r="B217" s="82" t="s">
        <v>132</v>
      </c>
      <c r="C217" s="82" t="s">
        <v>207</v>
      </c>
      <c r="E217" s="82" t="s">
        <v>116</v>
      </c>
      <c r="F217" s="81">
        <v>42857.78534722222</v>
      </c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</row>
    <row r="218" spans="1:26">
      <c r="A218" s="81">
        <v>42857.78533564815</v>
      </c>
      <c r="B218" s="82" t="s">
        <v>132</v>
      </c>
      <c r="C218" s="82" t="s">
        <v>206</v>
      </c>
      <c r="E218" s="82" t="s">
        <v>116</v>
      </c>
      <c r="F218" s="81">
        <v>42857.78534722222</v>
      </c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</row>
    <row r="219" spans="1:26">
      <c r="A219" s="81">
        <v>42857.78533564815</v>
      </c>
      <c r="B219" s="82" t="s">
        <v>132</v>
      </c>
      <c r="C219" s="82" t="s">
        <v>205</v>
      </c>
      <c r="E219" s="82" t="s">
        <v>116</v>
      </c>
      <c r="F219" s="81">
        <v>42857.78534722222</v>
      </c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</row>
    <row r="220" spans="1:26">
      <c r="A220" s="81">
        <v>42857.78533564815</v>
      </c>
      <c r="B220" s="82" t="s">
        <v>132</v>
      </c>
      <c r="C220" s="82" t="s">
        <v>204</v>
      </c>
      <c r="E220" s="82" t="s">
        <v>116</v>
      </c>
      <c r="F220" s="81">
        <v>42857.78534722222</v>
      </c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</row>
    <row r="221" spans="1:26">
      <c r="A221" s="81">
        <v>42857.78533564815</v>
      </c>
      <c r="B221" s="82" t="s">
        <v>132</v>
      </c>
      <c r="C221" s="82" t="s">
        <v>203</v>
      </c>
      <c r="E221" s="82" t="s">
        <v>116</v>
      </c>
      <c r="F221" s="81">
        <v>42857.78534722222</v>
      </c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</row>
    <row r="222" spans="1:26">
      <c r="A222" s="81">
        <v>42857.78533564815</v>
      </c>
      <c r="B222" s="82" t="s">
        <v>132</v>
      </c>
      <c r="C222" s="82" t="s">
        <v>202</v>
      </c>
      <c r="E222" s="82" t="s">
        <v>116</v>
      </c>
      <c r="F222" s="81">
        <v>42857.78534722222</v>
      </c>
      <c r="G222" s="82"/>
      <c r="H222" s="82"/>
      <c r="I222" s="82"/>
      <c r="J222" s="82"/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</row>
    <row r="223" spans="1:26">
      <c r="A223" s="81">
        <v>42857.78533564815</v>
      </c>
      <c r="B223" s="82" t="s">
        <v>132</v>
      </c>
      <c r="C223" s="82" t="s">
        <v>201</v>
      </c>
      <c r="E223" s="82" t="s">
        <v>116</v>
      </c>
      <c r="F223" s="81">
        <v>42857.78534722222</v>
      </c>
      <c r="G223" s="82"/>
      <c r="H223" s="82"/>
      <c r="I223" s="82"/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</row>
    <row r="224" spans="1:26">
      <c r="A224" s="81">
        <v>42857.78533564815</v>
      </c>
      <c r="B224" s="82" t="s">
        <v>132</v>
      </c>
      <c r="C224" s="82" t="s">
        <v>200</v>
      </c>
      <c r="E224" s="82" t="s">
        <v>116</v>
      </c>
      <c r="F224" s="81">
        <v>42857.78534722222</v>
      </c>
      <c r="G224" s="82"/>
      <c r="H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</row>
    <row r="225" spans="1:26">
      <c r="A225" s="81">
        <v>42857.78533564815</v>
      </c>
      <c r="B225" s="82" t="s">
        <v>132</v>
      </c>
      <c r="C225" s="82" t="s">
        <v>199</v>
      </c>
      <c r="E225" s="82" t="s">
        <v>116</v>
      </c>
      <c r="F225" s="81">
        <v>42857.78534722222</v>
      </c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</row>
    <row r="226" spans="1:26">
      <c r="A226" s="81">
        <v>42857.78533564815</v>
      </c>
      <c r="B226" s="82" t="s">
        <v>132</v>
      </c>
      <c r="C226" s="82" t="s">
        <v>248</v>
      </c>
      <c r="E226" s="82" t="s">
        <v>116</v>
      </c>
      <c r="F226" s="81">
        <v>42857.78534722222</v>
      </c>
      <c r="G226" s="82"/>
      <c r="H226" s="82"/>
      <c r="I226" s="82"/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</row>
    <row r="227" spans="1:26">
      <c r="A227" s="81">
        <v>42857.78534722222</v>
      </c>
      <c r="B227" s="82" t="s">
        <v>132</v>
      </c>
      <c r="C227" s="82" t="s">
        <v>247</v>
      </c>
      <c r="E227" s="82" t="s">
        <v>116</v>
      </c>
      <c r="F227" s="81">
        <v>42857.78534722222</v>
      </c>
      <c r="G227" s="82"/>
      <c r="H227" s="82"/>
      <c r="I227" s="82"/>
      <c r="J227" s="82"/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</row>
    <row r="228" spans="1:26">
      <c r="A228" s="81">
        <v>42857.78534722222</v>
      </c>
      <c r="B228" s="82" t="s">
        <v>132</v>
      </c>
      <c r="C228" s="82" t="s">
        <v>246</v>
      </c>
      <c r="E228" s="82" t="s">
        <v>116</v>
      </c>
      <c r="F228" s="81">
        <v>42857.78534722222</v>
      </c>
      <c r="G228" s="82"/>
      <c r="H228" s="82"/>
      <c r="I228" s="82"/>
      <c r="J228" s="82"/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</row>
    <row r="229" spans="1:26">
      <c r="A229" s="81">
        <v>42857.78534722222</v>
      </c>
      <c r="B229" s="82" t="s">
        <v>132</v>
      </c>
      <c r="C229" s="82" t="s">
        <v>245</v>
      </c>
      <c r="E229" s="82" t="s">
        <v>116</v>
      </c>
      <c r="F229" s="81">
        <v>42857.78534722222</v>
      </c>
      <c r="G229" s="82"/>
      <c r="H229" s="82"/>
      <c r="I229" s="82"/>
      <c r="J229" s="82"/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</row>
    <row r="230" spans="1:26">
      <c r="A230" s="81">
        <v>42857.78534722222</v>
      </c>
      <c r="B230" s="82" t="s">
        <v>132</v>
      </c>
      <c r="C230" s="82" t="s">
        <v>244</v>
      </c>
      <c r="E230" s="82" t="s">
        <v>116</v>
      </c>
      <c r="F230" s="81">
        <v>42857.78534722222</v>
      </c>
      <c r="G230" s="82"/>
      <c r="H230" s="82"/>
      <c r="I230" s="82"/>
      <c r="J230" s="82"/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</row>
    <row r="231" spans="1:26">
      <c r="A231" s="81">
        <v>42857.78534722222</v>
      </c>
      <c r="B231" s="82" t="s">
        <v>132</v>
      </c>
      <c r="C231" s="82" t="s">
        <v>243</v>
      </c>
      <c r="E231" s="82" t="s">
        <v>116</v>
      </c>
      <c r="F231" s="81">
        <v>42857.78534722222</v>
      </c>
      <c r="G231" s="82"/>
      <c r="H231" s="82"/>
      <c r="I231" s="82"/>
      <c r="J231" s="82"/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</row>
    <row r="232" spans="1:26">
      <c r="A232" s="81">
        <v>42857.78534722222</v>
      </c>
      <c r="B232" s="82" t="s">
        <v>132</v>
      </c>
      <c r="C232" s="82" t="s">
        <v>242</v>
      </c>
      <c r="E232" s="82" t="s">
        <v>116</v>
      </c>
      <c r="F232" s="81">
        <v>42857.78534722222</v>
      </c>
      <c r="G232" s="82"/>
      <c r="H232" s="82"/>
      <c r="I232" s="82"/>
      <c r="J232" s="82"/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</row>
    <row r="233" spans="1:26">
      <c r="A233" s="81">
        <v>42857.78534722222</v>
      </c>
      <c r="B233" s="82" t="s">
        <v>132</v>
      </c>
      <c r="C233" s="82" t="s">
        <v>241</v>
      </c>
      <c r="E233" s="82" t="s">
        <v>116</v>
      </c>
      <c r="F233" s="81">
        <v>42857.78534722222</v>
      </c>
      <c r="G233" s="82"/>
      <c r="H233" s="82"/>
      <c r="I233" s="82"/>
      <c r="J233" s="82"/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</row>
    <row r="234" spans="1:26">
      <c r="A234" s="81">
        <v>42857.78534722222</v>
      </c>
      <c r="B234" s="82" t="s">
        <v>132</v>
      </c>
      <c r="C234" s="82" t="s">
        <v>240</v>
      </c>
      <c r="E234" s="82" t="s">
        <v>116</v>
      </c>
      <c r="F234" s="81">
        <v>42857.78534722222</v>
      </c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</row>
    <row r="235" spans="1:26">
      <c r="A235" s="81">
        <v>42857.78534722222</v>
      </c>
      <c r="B235" s="82" t="s">
        <v>132</v>
      </c>
      <c r="C235" s="82" t="s">
        <v>239</v>
      </c>
      <c r="E235" s="82" t="s">
        <v>116</v>
      </c>
      <c r="F235" s="81">
        <v>42857.78534722222</v>
      </c>
      <c r="G235" s="82"/>
      <c r="H235" s="82"/>
      <c r="I235" s="82"/>
      <c r="J235" s="82"/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</row>
    <row r="236" spans="1:26">
      <c r="A236" s="81">
        <v>42857.78534722222</v>
      </c>
      <c r="B236" s="82" t="s">
        <v>132</v>
      </c>
      <c r="C236" s="82" t="s">
        <v>302</v>
      </c>
      <c r="E236" s="82" t="s">
        <v>116</v>
      </c>
      <c r="F236" s="81">
        <v>42857.78534722222</v>
      </c>
      <c r="G236" s="82"/>
      <c r="H236" s="82"/>
      <c r="I236" s="82"/>
      <c r="J236" s="82"/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</row>
    <row r="237" spans="1:26">
      <c r="A237" s="81">
        <v>42857.78534722222</v>
      </c>
      <c r="B237" s="82" t="s">
        <v>132</v>
      </c>
      <c r="C237" s="82" t="s">
        <v>238</v>
      </c>
      <c r="E237" s="82" t="s">
        <v>116</v>
      </c>
      <c r="F237" s="81">
        <v>42857.785358796296</v>
      </c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</row>
    <row r="238" spans="1:26">
      <c r="A238" s="81">
        <v>42857.78534722222</v>
      </c>
      <c r="B238" s="82" t="s">
        <v>132</v>
      </c>
      <c r="C238" s="82" t="s">
        <v>237</v>
      </c>
      <c r="E238" s="82" t="s">
        <v>116</v>
      </c>
      <c r="F238" s="81">
        <v>42857.785358796296</v>
      </c>
      <c r="G238" s="82"/>
      <c r="H238" s="82"/>
      <c r="I238" s="82"/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</row>
    <row r="239" spans="1:26">
      <c r="A239" s="81">
        <v>42857.78534722222</v>
      </c>
      <c r="B239" s="82" t="s">
        <v>132</v>
      </c>
      <c r="C239" s="82" t="s">
        <v>236</v>
      </c>
      <c r="E239" s="82" t="s">
        <v>116</v>
      </c>
      <c r="F239" s="81">
        <v>42857.785358796296</v>
      </c>
      <c r="G239" s="82"/>
      <c r="H239" s="82"/>
      <c r="I239" s="82"/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</row>
    <row r="240" spans="1:26">
      <c r="A240" s="81">
        <v>42857.78534722222</v>
      </c>
      <c r="B240" s="82" t="s">
        <v>132</v>
      </c>
      <c r="C240" s="82" t="s">
        <v>235</v>
      </c>
      <c r="E240" s="82" t="s">
        <v>116</v>
      </c>
      <c r="F240" s="81">
        <v>42857.785358796296</v>
      </c>
      <c r="G240" s="82"/>
      <c r="H240" s="82"/>
      <c r="I240" s="82"/>
      <c r="J240" s="82"/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</row>
    <row r="241" spans="1:26">
      <c r="A241" s="81">
        <v>42857.78534722222</v>
      </c>
      <c r="B241" s="82" t="s">
        <v>132</v>
      </c>
      <c r="C241" s="82" t="s">
        <v>234</v>
      </c>
      <c r="E241" s="82" t="s">
        <v>116</v>
      </c>
      <c r="F241" s="81">
        <v>42857.785358796296</v>
      </c>
      <c r="G241" s="82"/>
      <c r="H241" s="82"/>
      <c r="I241" s="82"/>
      <c r="J241" s="82"/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</row>
    <row r="242" spans="1:26">
      <c r="A242" s="81">
        <v>42857.78534722222</v>
      </c>
      <c r="B242" s="82" t="s">
        <v>132</v>
      </c>
      <c r="C242" s="82" t="s">
        <v>233</v>
      </c>
      <c r="E242" s="82" t="s">
        <v>116</v>
      </c>
      <c r="F242" s="81">
        <v>42857.785358796296</v>
      </c>
      <c r="G242" s="82"/>
      <c r="H242" s="82"/>
      <c r="I242" s="82"/>
      <c r="J242" s="82"/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</row>
    <row r="243" spans="1:26">
      <c r="A243" s="81">
        <v>42857.78534722222</v>
      </c>
      <c r="B243" s="82" t="s">
        <v>132</v>
      </c>
      <c r="C243" s="82" t="s">
        <v>232</v>
      </c>
      <c r="E243" s="82" t="s">
        <v>116</v>
      </c>
      <c r="F243" s="81">
        <v>42857.785358796296</v>
      </c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</row>
    <row r="244" spans="1:26">
      <c r="A244" s="81">
        <v>42857.78534722222</v>
      </c>
      <c r="B244" s="82" t="s">
        <v>132</v>
      </c>
      <c r="C244" s="82" t="s">
        <v>231</v>
      </c>
      <c r="E244" s="82" t="s">
        <v>116</v>
      </c>
      <c r="F244" s="81">
        <v>42857.785358796296</v>
      </c>
      <c r="G244" s="82"/>
      <c r="H244" s="82"/>
      <c r="I244" s="82"/>
      <c r="J244" s="82"/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</row>
    <row r="245" spans="1:26">
      <c r="A245" s="81">
        <v>42857.78534722222</v>
      </c>
      <c r="B245" s="82" t="s">
        <v>132</v>
      </c>
      <c r="C245" s="82" t="s">
        <v>230</v>
      </c>
      <c r="E245" s="82" t="s">
        <v>116</v>
      </c>
      <c r="F245" s="81">
        <v>42857.785358796296</v>
      </c>
      <c r="G245" s="82"/>
      <c r="H245" s="82"/>
      <c r="I245" s="82"/>
      <c r="J245" s="82"/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</row>
    <row r="246" spans="1:26">
      <c r="A246" s="81">
        <v>42857.78534722222</v>
      </c>
      <c r="B246" s="82" t="s">
        <v>132</v>
      </c>
      <c r="C246" s="82" t="s">
        <v>229</v>
      </c>
      <c r="E246" s="82" t="s">
        <v>116</v>
      </c>
      <c r="F246" s="81">
        <v>42857.785358796296</v>
      </c>
      <c r="G246" s="82"/>
      <c r="H246" s="82"/>
      <c r="I246" s="82"/>
      <c r="J246" s="82"/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</row>
    <row r="247" spans="1:26">
      <c r="A247" s="81">
        <v>42857.78534722222</v>
      </c>
      <c r="B247" s="82" t="s">
        <v>132</v>
      </c>
      <c r="C247" s="82" t="s">
        <v>228</v>
      </c>
      <c r="E247" s="82" t="s">
        <v>116</v>
      </c>
      <c r="F247" s="81">
        <v>42857.785358796296</v>
      </c>
      <c r="G247" s="82"/>
      <c r="H247" s="82"/>
      <c r="I247" s="82"/>
      <c r="J247" s="82"/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</row>
    <row r="248" spans="1:26">
      <c r="A248" s="81">
        <v>42857.78534722222</v>
      </c>
      <c r="B248" s="82" t="s">
        <v>132</v>
      </c>
      <c r="C248" s="82" t="s">
        <v>227</v>
      </c>
      <c r="E248" s="82" t="s">
        <v>116</v>
      </c>
      <c r="F248" s="81">
        <v>42857.785358796296</v>
      </c>
      <c r="G248" s="82"/>
      <c r="H248" s="82"/>
      <c r="I248" s="82"/>
      <c r="J248" s="82"/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</row>
    <row r="249" spans="1:26">
      <c r="A249" s="81">
        <v>42857.78534722222</v>
      </c>
      <c r="B249" s="82" t="s">
        <v>132</v>
      </c>
      <c r="C249" s="82" t="s">
        <v>226</v>
      </c>
      <c r="E249" s="82" t="s">
        <v>116</v>
      </c>
      <c r="F249" s="81">
        <v>42857.785358796296</v>
      </c>
      <c r="G249" s="82"/>
      <c r="H249" s="82"/>
      <c r="I249" s="82"/>
      <c r="J249" s="82"/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</row>
    <row r="250" spans="1:26">
      <c r="A250" s="81">
        <v>42857.78534722222</v>
      </c>
      <c r="B250" s="82" t="s">
        <v>132</v>
      </c>
      <c r="C250" s="82" t="s">
        <v>225</v>
      </c>
      <c r="E250" s="82" t="s">
        <v>116</v>
      </c>
      <c r="F250" s="81">
        <v>42857.785358796296</v>
      </c>
      <c r="G250" s="82"/>
      <c r="H250" s="82"/>
      <c r="I250" s="82"/>
      <c r="J250" s="82"/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</row>
    <row r="251" spans="1:26">
      <c r="A251" s="81">
        <v>42857.78534722222</v>
      </c>
      <c r="B251" s="82" t="s">
        <v>132</v>
      </c>
      <c r="C251" s="82" t="s">
        <v>224</v>
      </c>
      <c r="E251" s="82" t="s">
        <v>116</v>
      </c>
      <c r="F251" s="81">
        <v>42857.785358796296</v>
      </c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</row>
    <row r="252" spans="1:26">
      <c r="A252" s="81">
        <v>42857.78534722222</v>
      </c>
      <c r="B252" s="82" t="s">
        <v>132</v>
      </c>
      <c r="C252" s="82" t="s">
        <v>273</v>
      </c>
      <c r="E252" s="82" t="s">
        <v>116</v>
      </c>
      <c r="F252" s="81">
        <v>42857.785358796296</v>
      </c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</row>
    <row r="253" spans="1:26">
      <c r="A253" s="81">
        <v>42857.78534722222</v>
      </c>
      <c r="B253" s="82" t="s">
        <v>132</v>
      </c>
      <c r="C253" s="82" t="s">
        <v>272</v>
      </c>
      <c r="E253" s="82" t="s">
        <v>116</v>
      </c>
      <c r="F253" s="81">
        <v>42857.785358796296</v>
      </c>
      <c r="G253" s="82"/>
      <c r="H253" s="82"/>
      <c r="I253" s="82"/>
      <c r="J253" s="82"/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</row>
    <row r="254" spans="1:26">
      <c r="A254" s="81">
        <v>42857.78534722222</v>
      </c>
      <c r="B254" s="82" t="s">
        <v>132</v>
      </c>
      <c r="C254" s="82" t="s">
        <v>271</v>
      </c>
      <c r="E254" s="82" t="s">
        <v>116</v>
      </c>
      <c r="F254" s="81">
        <v>42857.785358796296</v>
      </c>
      <c r="G254" s="82"/>
      <c r="H254" s="82"/>
      <c r="I254" s="82"/>
      <c r="J254" s="82"/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</row>
    <row r="255" spans="1:26">
      <c r="A255" s="81">
        <v>42857.78534722222</v>
      </c>
      <c r="B255" s="82" t="s">
        <v>132</v>
      </c>
      <c r="C255" s="82" t="s">
        <v>270</v>
      </c>
      <c r="E255" s="82" t="s">
        <v>116</v>
      </c>
      <c r="F255" s="81">
        <v>42857.785358796296</v>
      </c>
      <c r="G255" s="82"/>
      <c r="H255" s="82"/>
      <c r="I255" s="82"/>
      <c r="J255" s="82"/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</row>
    <row r="256" spans="1:26">
      <c r="A256" s="81">
        <v>42857.78534722222</v>
      </c>
      <c r="B256" s="82" t="s">
        <v>132</v>
      </c>
      <c r="C256" s="82" t="s">
        <v>269</v>
      </c>
      <c r="E256" s="82" t="s">
        <v>116</v>
      </c>
      <c r="F256" s="81">
        <v>42857.785358796296</v>
      </c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</row>
    <row r="257" spans="1:26">
      <c r="A257" s="81">
        <v>42857.78534722222</v>
      </c>
      <c r="B257" s="82" t="s">
        <v>132</v>
      </c>
      <c r="C257" s="82" t="s">
        <v>268</v>
      </c>
      <c r="E257" s="82" t="s">
        <v>116</v>
      </c>
      <c r="F257" s="81">
        <v>42857.785358796296</v>
      </c>
      <c r="G257" s="82"/>
      <c r="H257" s="82"/>
      <c r="I257" s="82"/>
      <c r="J257" s="82"/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</row>
    <row r="258" spans="1:26">
      <c r="A258" s="81">
        <v>42857.78534722222</v>
      </c>
      <c r="B258" s="82" t="s">
        <v>132</v>
      </c>
      <c r="C258" s="82" t="s">
        <v>267</v>
      </c>
      <c r="E258" s="82" t="s">
        <v>116</v>
      </c>
      <c r="F258" s="81">
        <v>42857.785358796296</v>
      </c>
      <c r="G258" s="82"/>
      <c r="H258" s="82"/>
      <c r="I258" s="82"/>
      <c r="J258" s="82"/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</row>
    <row r="259" spans="1:26">
      <c r="A259" s="81">
        <v>42857.78534722222</v>
      </c>
      <c r="B259" s="82" t="s">
        <v>132</v>
      </c>
      <c r="C259" s="82" t="s">
        <v>266</v>
      </c>
      <c r="E259" s="82" t="s">
        <v>116</v>
      </c>
      <c r="F259" s="81">
        <v>42857.785358796296</v>
      </c>
      <c r="G259" s="82"/>
      <c r="H259" s="82"/>
      <c r="I259" s="82"/>
      <c r="J259" s="82"/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</row>
    <row r="260" spans="1:26">
      <c r="A260" s="81">
        <v>42857.78534722222</v>
      </c>
      <c r="B260" s="82" t="s">
        <v>132</v>
      </c>
      <c r="C260" s="82" t="s">
        <v>265</v>
      </c>
      <c r="E260" s="82" t="s">
        <v>116</v>
      </c>
      <c r="F260" s="81">
        <v>42857.785358796296</v>
      </c>
      <c r="G260" s="82"/>
      <c r="H260" s="82"/>
      <c r="I260" s="82"/>
      <c r="J260" s="82"/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</row>
    <row r="261" spans="1:26">
      <c r="A261" s="81">
        <v>42857.78534722222</v>
      </c>
      <c r="B261" s="82" t="s">
        <v>132</v>
      </c>
      <c r="C261" s="82" t="s">
        <v>264</v>
      </c>
      <c r="E261" s="82" t="s">
        <v>116</v>
      </c>
      <c r="F261" s="81">
        <v>42857.785358796296</v>
      </c>
      <c r="G261" s="82"/>
      <c r="H261" s="82"/>
      <c r="I261" s="82"/>
      <c r="J261" s="82"/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</row>
    <row r="262" spans="1:26">
      <c r="A262" s="81">
        <v>42857.78534722222</v>
      </c>
      <c r="B262" s="82" t="s">
        <v>132</v>
      </c>
      <c r="C262" s="82" t="s">
        <v>303</v>
      </c>
      <c r="E262" s="82" t="s">
        <v>116</v>
      </c>
      <c r="F262" s="81">
        <v>42857.785358796296</v>
      </c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</row>
    <row r="263" spans="1:26">
      <c r="A263" s="81">
        <v>42857.78534722222</v>
      </c>
      <c r="B263" s="82" t="s">
        <v>132</v>
      </c>
      <c r="C263" s="82" t="s">
        <v>263</v>
      </c>
      <c r="E263" s="82" t="s">
        <v>116</v>
      </c>
      <c r="F263" s="81">
        <v>42857.785358796296</v>
      </c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</row>
    <row r="264" spans="1:26">
      <c r="A264" s="81">
        <v>42857.78534722222</v>
      </c>
      <c r="B264" s="82" t="s">
        <v>132</v>
      </c>
      <c r="C264" s="82" t="s">
        <v>262</v>
      </c>
      <c r="E264" s="82" t="s">
        <v>116</v>
      </c>
      <c r="F264" s="81">
        <v>42857.785358796296</v>
      </c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</row>
    <row r="265" spans="1:26">
      <c r="A265" s="81">
        <v>42857.78534722222</v>
      </c>
      <c r="B265" s="82" t="s">
        <v>132</v>
      </c>
      <c r="C265" s="82" t="s">
        <v>261</v>
      </c>
      <c r="E265" s="82" t="s">
        <v>116</v>
      </c>
      <c r="F265" s="81">
        <v>42857.785358796296</v>
      </c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</row>
    <row r="266" spans="1:26">
      <c r="A266" s="81">
        <v>42857.78534722222</v>
      </c>
      <c r="B266" s="82" t="s">
        <v>132</v>
      </c>
      <c r="C266" s="82" t="s">
        <v>260</v>
      </c>
      <c r="E266" s="82" t="s">
        <v>116</v>
      </c>
      <c r="F266" s="81">
        <v>42857.785358796296</v>
      </c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</row>
    <row r="267" spans="1:26">
      <c r="A267" s="81">
        <v>42857.78534722222</v>
      </c>
      <c r="B267" s="82" t="s">
        <v>132</v>
      </c>
      <c r="C267" s="82" t="s">
        <v>259</v>
      </c>
      <c r="E267" s="82" t="s">
        <v>116</v>
      </c>
      <c r="F267" s="81">
        <v>42857.785358796296</v>
      </c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</row>
    <row r="268" spans="1:26">
      <c r="A268" s="81">
        <v>42857.78534722222</v>
      </c>
      <c r="B268" s="82" t="s">
        <v>132</v>
      </c>
      <c r="C268" s="82" t="s">
        <v>258</v>
      </c>
      <c r="E268" s="82" t="s">
        <v>116</v>
      </c>
      <c r="F268" s="81">
        <v>42857.785358796296</v>
      </c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</row>
    <row r="269" spans="1:26">
      <c r="A269" s="81">
        <v>42857.78534722222</v>
      </c>
      <c r="B269" s="82" t="s">
        <v>132</v>
      </c>
      <c r="C269" s="82" t="s">
        <v>257</v>
      </c>
      <c r="E269" s="82" t="s">
        <v>116</v>
      </c>
      <c r="F269" s="81">
        <v>42857.785358796296</v>
      </c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</row>
    <row r="270" spans="1:26">
      <c r="A270" s="81">
        <v>42857.78534722222</v>
      </c>
      <c r="B270" s="82" t="s">
        <v>132</v>
      </c>
      <c r="C270" s="82" t="s">
        <v>256</v>
      </c>
      <c r="E270" s="82" t="s">
        <v>116</v>
      </c>
      <c r="F270" s="81">
        <v>42857.785358796296</v>
      </c>
      <c r="G270" s="82"/>
      <c r="H270" s="82"/>
      <c r="I270" s="82"/>
      <c r="J270" s="82"/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</row>
    <row r="271" spans="1:26">
      <c r="A271" s="81">
        <v>42857.78534722222</v>
      </c>
      <c r="B271" s="82" t="s">
        <v>132</v>
      </c>
      <c r="C271" s="82" t="s">
        <v>255</v>
      </c>
      <c r="E271" s="82" t="s">
        <v>116</v>
      </c>
      <c r="F271" s="81">
        <v>42857.785358796296</v>
      </c>
      <c r="G271" s="82"/>
      <c r="H271" s="82"/>
      <c r="I271" s="82"/>
      <c r="J271" s="82"/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</row>
    <row r="272" spans="1:26">
      <c r="A272" s="81">
        <v>42857.78534722222</v>
      </c>
      <c r="B272" s="82" t="s">
        <v>132</v>
      </c>
      <c r="C272" s="82" t="s">
        <v>254</v>
      </c>
      <c r="E272" s="82" t="s">
        <v>116</v>
      </c>
      <c r="F272" s="81">
        <v>42857.785358796296</v>
      </c>
      <c r="G272" s="82"/>
      <c r="H272" s="82"/>
      <c r="I272" s="82"/>
      <c r="J272" s="82"/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</row>
    <row r="273" spans="1:26">
      <c r="A273" s="81">
        <v>42857.78534722222</v>
      </c>
      <c r="B273" s="82" t="s">
        <v>132</v>
      </c>
      <c r="C273" s="82" t="s">
        <v>253</v>
      </c>
      <c r="E273" s="82" t="s">
        <v>116</v>
      </c>
      <c r="F273" s="81">
        <v>42857.785358796296</v>
      </c>
      <c r="G273" s="82"/>
      <c r="H273" s="82"/>
      <c r="I273" s="82"/>
      <c r="J273" s="82"/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</row>
    <row r="274" spans="1:26">
      <c r="A274" s="81">
        <v>42857.78534722222</v>
      </c>
      <c r="B274" s="82" t="s">
        <v>132</v>
      </c>
      <c r="C274" s="82" t="s">
        <v>252</v>
      </c>
      <c r="E274" s="82" t="s">
        <v>116</v>
      </c>
      <c r="F274" s="81">
        <v>42857.785358796296</v>
      </c>
      <c r="G274" s="82"/>
      <c r="H274" s="82"/>
      <c r="I274" s="82"/>
      <c r="J274" s="82"/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</row>
    <row r="275" spans="1:26">
      <c r="A275" s="81">
        <v>42857.78534722222</v>
      </c>
      <c r="B275" s="82" t="s">
        <v>132</v>
      </c>
      <c r="C275" s="82" t="s">
        <v>251</v>
      </c>
      <c r="E275" s="82" t="s">
        <v>116</v>
      </c>
      <c r="F275" s="81">
        <v>42857.785358796296</v>
      </c>
      <c r="G275" s="82"/>
      <c r="H275" s="82"/>
      <c r="I275" s="82"/>
      <c r="J275" s="82"/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</row>
    <row r="276" spans="1:26">
      <c r="A276" s="81">
        <v>42857.78534722222</v>
      </c>
      <c r="B276" s="82" t="s">
        <v>132</v>
      </c>
      <c r="C276" s="82" t="s">
        <v>250</v>
      </c>
      <c r="E276" s="82" t="s">
        <v>116</v>
      </c>
      <c r="F276" s="81">
        <v>42857.785358796296</v>
      </c>
      <c r="G276" s="82"/>
      <c r="H276" s="82"/>
      <c r="I276" s="82"/>
      <c r="J276" s="82"/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</row>
    <row r="277" spans="1:26">
      <c r="A277" s="81">
        <v>42857.78534722222</v>
      </c>
      <c r="B277" s="82" t="s">
        <v>132</v>
      </c>
      <c r="C277" s="82" t="s">
        <v>249</v>
      </c>
      <c r="E277" s="82" t="s">
        <v>116</v>
      </c>
      <c r="F277" s="81">
        <v>42857.785358796296</v>
      </c>
      <c r="G277" s="82"/>
      <c r="H277" s="82"/>
      <c r="I277" s="82"/>
      <c r="J277" s="82"/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</row>
    <row r="278" spans="1:26">
      <c r="A278" s="81">
        <v>42857.78534722222</v>
      </c>
      <c r="B278" s="82" t="s">
        <v>132</v>
      </c>
      <c r="C278" s="82" t="s">
        <v>298</v>
      </c>
      <c r="E278" s="82" t="s">
        <v>116</v>
      </c>
      <c r="F278" s="81">
        <v>42857.785358796296</v>
      </c>
      <c r="G278" s="82"/>
      <c r="H278" s="82"/>
      <c r="I278" s="82"/>
      <c r="J278" s="82"/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</row>
    <row r="279" spans="1:26">
      <c r="A279" s="81">
        <v>42857.78534722222</v>
      </c>
      <c r="B279" s="82" t="s">
        <v>132</v>
      </c>
      <c r="C279" s="82" t="s">
        <v>297</v>
      </c>
      <c r="E279" s="82" t="s">
        <v>116</v>
      </c>
      <c r="F279" s="81">
        <v>42857.785358796296</v>
      </c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</row>
    <row r="280" spans="1:26">
      <c r="A280" s="81">
        <v>42857.78534722222</v>
      </c>
      <c r="B280" s="82" t="s">
        <v>132</v>
      </c>
      <c r="C280" s="82" t="s">
        <v>296</v>
      </c>
      <c r="E280" s="82" t="s">
        <v>116</v>
      </c>
      <c r="F280" s="81">
        <v>42857.785358796296</v>
      </c>
      <c r="G280" s="82"/>
      <c r="H280" s="82"/>
      <c r="I280" s="82"/>
      <c r="J280" s="82"/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</row>
    <row r="281" spans="1:26">
      <c r="A281" s="81">
        <v>42857.78534722222</v>
      </c>
      <c r="B281" s="82" t="s">
        <v>132</v>
      </c>
      <c r="C281" s="82" t="s">
        <v>295</v>
      </c>
      <c r="E281" s="82" t="s">
        <v>116</v>
      </c>
      <c r="F281" s="81">
        <v>42857.785358796296</v>
      </c>
      <c r="G281" s="82"/>
      <c r="H281" s="82"/>
      <c r="I281" s="82"/>
      <c r="J281" s="82"/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</row>
    <row r="282" spans="1:26">
      <c r="A282" s="81">
        <v>42857.78534722222</v>
      </c>
      <c r="B282" s="82" t="s">
        <v>132</v>
      </c>
      <c r="C282" s="82" t="s">
        <v>294</v>
      </c>
      <c r="E282" s="82" t="s">
        <v>116</v>
      </c>
      <c r="F282" s="81">
        <v>42857.785358796296</v>
      </c>
      <c r="G282" s="82"/>
      <c r="H282" s="82"/>
      <c r="I282" s="82"/>
      <c r="J282" s="82"/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</row>
    <row r="283" spans="1:26">
      <c r="A283" s="81">
        <v>42857.78534722222</v>
      </c>
      <c r="B283" s="82" t="s">
        <v>132</v>
      </c>
      <c r="C283" s="82" t="s">
        <v>293</v>
      </c>
      <c r="E283" s="82" t="s">
        <v>116</v>
      </c>
      <c r="F283" s="81">
        <v>42857.785358796296</v>
      </c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</row>
    <row r="284" spans="1:26">
      <c r="A284" s="81">
        <v>42857.78534722222</v>
      </c>
      <c r="B284" s="82" t="s">
        <v>132</v>
      </c>
      <c r="C284" s="82" t="s">
        <v>292</v>
      </c>
      <c r="E284" s="82" t="s">
        <v>116</v>
      </c>
      <c r="F284" s="81">
        <v>42857.785358796296</v>
      </c>
      <c r="G284" s="82"/>
      <c r="H284" s="82"/>
      <c r="I284" s="82"/>
      <c r="J284" s="82"/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</row>
    <row r="285" spans="1:26">
      <c r="A285" s="81">
        <v>42857.78534722222</v>
      </c>
      <c r="B285" s="82" t="s">
        <v>132</v>
      </c>
      <c r="C285" s="82" t="s">
        <v>291</v>
      </c>
      <c r="E285" s="82" t="s">
        <v>116</v>
      </c>
      <c r="F285" s="81">
        <v>42857.785358796296</v>
      </c>
      <c r="G285" s="82"/>
      <c r="H285" s="82"/>
      <c r="I285" s="82"/>
      <c r="J285" s="82"/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</row>
    <row r="286" spans="1:26">
      <c r="A286" s="81">
        <v>42857.78534722222</v>
      </c>
      <c r="B286" s="82" t="s">
        <v>132</v>
      </c>
      <c r="C286" s="82" t="s">
        <v>290</v>
      </c>
      <c r="E286" s="82" t="s">
        <v>116</v>
      </c>
      <c r="F286" s="81">
        <v>42857.785358796296</v>
      </c>
      <c r="G286" s="82"/>
      <c r="H286" s="82"/>
      <c r="I286" s="82"/>
      <c r="J286" s="82"/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</row>
    <row r="287" spans="1:26">
      <c r="A287" s="81">
        <v>42857.78534722222</v>
      </c>
      <c r="B287" s="82" t="s">
        <v>132</v>
      </c>
      <c r="C287" s="82" t="s">
        <v>289</v>
      </c>
      <c r="E287" s="82" t="s">
        <v>116</v>
      </c>
      <c r="F287" s="81">
        <v>42857.785358796296</v>
      </c>
      <c r="G287" s="82"/>
      <c r="H287" s="82"/>
      <c r="I287" s="82"/>
      <c r="J287" s="82"/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</row>
    <row r="288" spans="1:26">
      <c r="A288" s="81">
        <v>42857.78534722222</v>
      </c>
      <c r="B288" s="82" t="s">
        <v>132</v>
      </c>
      <c r="C288" s="82" t="s">
        <v>304</v>
      </c>
      <c r="E288" s="82" t="s">
        <v>116</v>
      </c>
      <c r="F288" s="81">
        <v>42857.785358796296</v>
      </c>
      <c r="G288" s="82"/>
      <c r="H288" s="82"/>
      <c r="I288" s="82"/>
      <c r="J288" s="82"/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</row>
    <row r="289" spans="1:26">
      <c r="A289" s="81">
        <v>42857.78534722222</v>
      </c>
      <c r="B289" s="82" t="s">
        <v>132</v>
      </c>
      <c r="C289" s="82" t="s">
        <v>288</v>
      </c>
      <c r="E289" s="82" t="s">
        <v>116</v>
      </c>
      <c r="F289" s="81">
        <v>42857.785358796296</v>
      </c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</row>
    <row r="290" spans="1:26">
      <c r="A290" s="81">
        <v>42857.78534722222</v>
      </c>
      <c r="B290" s="82" t="s">
        <v>132</v>
      </c>
      <c r="C290" s="82" t="s">
        <v>287</v>
      </c>
      <c r="E290" s="82" t="s">
        <v>116</v>
      </c>
      <c r="F290" s="81">
        <v>42857.785358796296</v>
      </c>
      <c r="G290" s="82"/>
      <c r="H290" s="82"/>
      <c r="I290" s="82"/>
      <c r="J290" s="82"/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</row>
    <row r="291" spans="1:26">
      <c r="A291" s="81">
        <v>42857.78534722222</v>
      </c>
      <c r="B291" s="82" t="s">
        <v>132</v>
      </c>
      <c r="C291" s="82" t="s">
        <v>286</v>
      </c>
      <c r="E291" s="82" t="s">
        <v>116</v>
      </c>
      <c r="F291" s="81">
        <v>42857.785358796296</v>
      </c>
      <c r="G291" s="82"/>
      <c r="H291" s="82"/>
      <c r="I291" s="82"/>
      <c r="J291" s="82"/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</row>
    <row r="292" spans="1:26">
      <c r="A292" s="81">
        <v>42857.78534722222</v>
      </c>
      <c r="B292" s="82" t="s">
        <v>132</v>
      </c>
      <c r="C292" s="82" t="s">
        <v>285</v>
      </c>
      <c r="E292" s="82" t="s">
        <v>116</v>
      </c>
      <c r="F292" s="81">
        <v>42857.785358796296</v>
      </c>
      <c r="G292" s="82"/>
      <c r="H292" s="82"/>
      <c r="I292" s="82"/>
      <c r="J292" s="82"/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</row>
    <row r="293" spans="1:26">
      <c r="A293" s="81">
        <v>42857.785358796296</v>
      </c>
      <c r="B293" s="82" t="s">
        <v>132</v>
      </c>
      <c r="C293" s="82" t="s">
        <v>284</v>
      </c>
      <c r="E293" s="82" t="s">
        <v>116</v>
      </c>
      <c r="F293" s="81">
        <v>42857.771469907406</v>
      </c>
      <c r="G293" s="82"/>
      <c r="H293" s="82"/>
      <c r="I293" s="82"/>
      <c r="J293" s="82"/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</row>
    <row r="294" spans="1:26">
      <c r="A294" s="81">
        <v>42857.785358796296</v>
      </c>
      <c r="B294" s="82" t="s">
        <v>132</v>
      </c>
      <c r="C294" s="82" t="s">
        <v>283</v>
      </c>
      <c r="E294" s="82" t="s">
        <v>116</v>
      </c>
      <c r="F294" s="81">
        <v>42857.788437499999</v>
      </c>
      <c r="G294" s="82">
        <v>1</v>
      </c>
      <c r="H294" s="82"/>
      <c r="I294" s="82"/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</row>
    <row r="295" spans="1:26">
      <c r="A295" s="81">
        <v>42857.785358796296</v>
      </c>
      <c r="B295" s="82" t="s">
        <v>132</v>
      </c>
      <c r="C295" s="82" t="s">
        <v>282</v>
      </c>
      <c r="E295" s="82" t="s">
        <v>116</v>
      </c>
      <c r="F295" s="81">
        <v>42857.788437499999</v>
      </c>
      <c r="G295" s="82"/>
      <c r="H295" s="82"/>
      <c r="I295" s="82"/>
      <c r="J295" s="82"/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</row>
    <row r="296" spans="1:26">
      <c r="A296" s="81">
        <v>42857.785358796296</v>
      </c>
      <c r="B296" s="82" t="s">
        <v>132</v>
      </c>
      <c r="C296" s="82" t="s">
        <v>281</v>
      </c>
      <c r="E296" s="82" t="s">
        <v>116</v>
      </c>
      <c r="F296" s="81">
        <v>42863.910277777781</v>
      </c>
      <c r="G296" s="82">
        <v>1</v>
      </c>
      <c r="H296" s="82"/>
      <c r="I296" s="82"/>
      <c r="J296" s="82"/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</row>
    <row r="297" spans="1:26">
      <c r="A297" s="81">
        <v>42857.785358796296</v>
      </c>
      <c r="B297" s="82" t="s">
        <v>132</v>
      </c>
      <c r="C297" s="82" t="s">
        <v>280</v>
      </c>
      <c r="E297" s="82" t="s">
        <v>116</v>
      </c>
      <c r="F297" s="81">
        <v>42863.910277777781</v>
      </c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</row>
    <row r="298" spans="1:26">
      <c r="A298" s="81">
        <v>42857.785358796296</v>
      </c>
      <c r="B298" s="82" t="s">
        <v>132</v>
      </c>
      <c r="C298" s="82" t="s">
        <v>279</v>
      </c>
      <c r="E298" s="82" t="s">
        <v>116</v>
      </c>
      <c r="F298" s="81">
        <v>42863.910324074073</v>
      </c>
      <c r="G298" s="82"/>
      <c r="H298" s="82"/>
      <c r="I298" s="82"/>
      <c r="J298" s="82"/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</row>
    <row r="299" spans="1:26">
      <c r="A299" s="81">
        <v>42857.785358796296</v>
      </c>
      <c r="B299" s="82" t="s">
        <v>132</v>
      </c>
      <c r="C299" s="82" t="s">
        <v>278</v>
      </c>
      <c r="E299" s="82" t="s">
        <v>116</v>
      </c>
      <c r="F299" s="81">
        <v>42863.910324074073</v>
      </c>
      <c r="G299" s="82"/>
      <c r="H299" s="82"/>
      <c r="I299" s="82"/>
      <c r="J299" s="82"/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</row>
    <row r="300" spans="1:26">
      <c r="A300" s="81">
        <v>42857.785358796296</v>
      </c>
      <c r="B300" s="82" t="s">
        <v>132</v>
      </c>
      <c r="C300" s="82" t="s">
        <v>277</v>
      </c>
      <c r="E300" s="82" t="s">
        <v>116</v>
      </c>
      <c r="F300" s="81">
        <v>42863.910451388889</v>
      </c>
      <c r="G300" s="82"/>
      <c r="H300" s="82"/>
      <c r="I300" s="82"/>
      <c r="J300" s="82"/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</row>
    <row r="301" spans="1:26">
      <c r="A301" s="81">
        <v>42857.785358796296</v>
      </c>
      <c r="B301" s="82" t="s">
        <v>132</v>
      </c>
      <c r="C301" s="82" t="s">
        <v>276</v>
      </c>
      <c r="E301" s="82" t="s">
        <v>116</v>
      </c>
      <c r="F301" s="81">
        <v>42863.910451388889</v>
      </c>
      <c r="G301" s="82"/>
      <c r="H301" s="82"/>
      <c r="I301" s="82"/>
      <c r="J301" s="82"/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</row>
    <row r="302" spans="1:26">
      <c r="A302" s="81">
        <v>42857.785358796296</v>
      </c>
      <c r="B302" s="82" t="s">
        <v>132</v>
      </c>
      <c r="C302" s="82" t="s">
        <v>275</v>
      </c>
      <c r="E302" s="82" t="s">
        <v>116</v>
      </c>
      <c r="F302" s="81">
        <v>42866.930532407408</v>
      </c>
      <c r="G302" s="82">
        <v>1</v>
      </c>
      <c r="H302" s="82"/>
      <c r="I302" s="82"/>
      <c r="J302" s="82"/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</row>
    <row r="303" spans="1:26">
      <c r="A303" s="81">
        <v>42857.785358796296</v>
      </c>
      <c r="B303" s="82" t="s">
        <v>132</v>
      </c>
      <c r="C303" s="82" t="s">
        <v>274</v>
      </c>
      <c r="E303" s="82" t="s">
        <v>116</v>
      </c>
      <c r="F303" s="81">
        <v>42866.930532407408</v>
      </c>
      <c r="G303" s="82"/>
      <c r="H303" s="82"/>
      <c r="I303" s="82"/>
      <c r="J303" s="82"/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</row>
    <row r="304" spans="1:26">
      <c r="A304" s="81">
        <v>42857.785358796296</v>
      </c>
      <c r="B304" s="82" t="s">
        <v>132</v>
      </c>
      <c r="C304" s="82" t="s">
        <v>305</v>
      </c>
      <c r="D304" s="85" t="s">
        <v>306</v>
      </c>
      <c r="E304" s="82" t="s">
        <v>116</v>
      </c>
      <c r="F304" s="81">
        <v>42885.001446759263</v>
      </c>
      <c r="G304" s="82">
        <v>1</v>
      </c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</row>
    <row r="305" spans="1:26">
      <c r="A305" s="81">
        <v>42857.785358796296</v>
      </c>
      <c r="B305" s="82" t="s">
        <v>132</v>
      </c>
      <c r="C305" s="82" t="s">
        <v>174</v>
      </c>
      <c r="D305" s="85">
        <v>0.5</v>
      </c>
      <c r="E305" s="82" t="s">
        <v>116</v>
      </c>
      <c r="F305" s="81">
        <v>42885.00172453704</v>
      </c>
      <c r="G305" s="82"/>
      <c r="H305" s="82"/>
      <c r="I305" s="82"/>
      <c r="J305" s="82"/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</row>
    <row r="306" spans="1:26">
      <c r="A306" s="81">
        <v>42857.785358796296</v>
      </c>
      <c r="B306" s="82" t="s">
        <v>132</v>
      </c>
      <c r="C306" s="82" t="s">
        <v>175</v>
      </c>
      <c r="D306" s="85">
        <v>3.25</v>
      </c>
      <c r="E306" s="82" t="s">
        <v>116</v>
      </c>
      <c r="F306" s="81">
        <v>42885.00172453704</v>
      </c>
      <c r="G306" s="82"/>
      <c r="H306" s="82"/>
      <c r="I306" s="82"/>
      <c r="J306" s="82"/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</row>
    <row r="307" spans="1:26">
      <c r="A307" s="81">
        <v>42857.785358796296</v>
      </c>
      <c r="B307" s="82" t="s">
        <v>132</v>
      </c>
      <c r="C307" s="82" t="s">
        <v>176</v>
      </c>
      <c r="D307" s="85">
        <v>14.875</v>
      </c>
      <c r="E307" s="82" t="s">
        <v>116</v>
      </c>
      <c r="F307" s="81">
        <v>42887.915648148148</v>
      </c>
      <c r="G307" s="82">
        <v>1</v>
      </c>
      <c r="H307" s="82"/>
      <c r="I307" s="82"/>
      <c r="J307" s="82"/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</row>
    <row r="308" spans="1:26">
      <c r="A308" s="81">
        <v>42857.785358796296</v>
      </c>
      <c r="B308" s="82" t="s">
        <v>132</v>
      </c>
      <c r="C308" s="82" t="s">
        <v>177</v>
      </c>
      <c r="D308" s="85">
        <v>45.5</v>
      </c>
      <c r="E308" s="82" t="s">
        <v>116</v>
      </c>
      <c r="F308" s="81">
        <v>42887.915648148148</v>
      </c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</row>
    <row r="309" spans="1:26">
      <c r="A309" s="81">
        <v>42857.785358796296</v>
      </c>
      <c r="B309" s="82" t="s">
        <v>132</v>
      </c>
      <c r="C309" s="82" t="s">
        <v>178</v>
      </c>
      <c r="D309" s="85">
        <v>357.75</v>
      </c>
      <c r="E309" s="82" t="s">
        <v>116</v>
      </c>
      <c r="F309" s="81">
        <v>42887.916296296295</v>
      </c>
      <c r="G309" s="82"/>
      <c r="H309" s="82"/>
      <c r="I309" s="82"/>
      <c r="J309" s="82"/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</row>
    <row r="310" spans="1:26">
      <c r="A310" s="81">
        <v>42857.785358796296</v>
      </c>
      <c r="B310" s="82" t="s">
        <v>132</v>
      </c>
      <c r="C310" s="82" t="s">
        <v>179</v>
      </c>
      <c r="D310" s="85">
        <v>0</v>
      </c>
      <c r="E310" s="82" t="s">
        <v>116</v>
      </c>
      <c r="F310" s="81">
        <v>42887.918692129628</v>
      </c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</row>
    <row r="311" spans="1:26">
      <c r="A311" s="81">
        <v>42857.785358796296</v>
      </c>
      <c r="B311" s="82" t="s">
        <v>132</v>
      </c>
      <c r="C311" s="82" t="s">
        <v>180</v>
      </c>
      <c r="D311" s="85">
        <v>0</v>
      </c>
      <c r="E311" s="82" t="s">
        <v>116</v>
      </c>
      <c r="F311" s="81">
        <v>42887.931516203702</v>
      </c>
      <c r="G311" s="82">
        <v>1</v>
      </c>
      <c r="H311" s="82"/>
      <c r="I311" s="82"/>
      <c r="J311" s="82"/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</row>
    <row r="312" spans="1:26">
      <c r="A312" s="81">
        <v>42857.785358796296</v>
      </c>
      <c r="B312" s="82" t="s">
        <v>132</v>
      </c>
      <c r="C312" s="82" t="s">
        <v>181</v>
      </c>
      <c r="D312" s="85">
        <v>0</v>
      </c>
      <c r="E312" s="82" t="s">
        <v>116</v>
      </c>
      <c r="F312" s="81">
        <v>42887.931516203702</v>
      </c>
      <c r="G312" s="82"/>
      <c r="H312" s="82"/>
      <c r="I312" s="82"/>
      <c r="J312" s="82"/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</row>
    <row r="313" spans="1:26">
      <c r="A313" s="81">
        <v>42857.785358796296</v>
      </c>
      <c r="B313" s="82" t="s">
        <v>132</v>
      </c>
      <c r="C313" s="82" t="s">
        <v>182</v>
      </c>
      <c r="D313" s="85">
        <v>0</v>
      </c>
      <c r="E313" s="82" t="s">
        <v>116</v>
      </c>
      <c r="F313" s="81">
        <v>42887.937743055554</v>
      </c>
      <c r="G313" s="82">
        <v>1</v>
      </c>
      <c r="H313" s="82"/>
      <c r="I313" s="82"/>
      <c r="J313" s="82"/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</row>
    <row r="314" spans="1:26">
      <c r="A314" s="81">
        <v>42857.785358796296</v>
      </c>
      <c r="B314" s="82" t="s">
        <v>132</v>
      </c>
      <c r="C314" s="82" t="s">
        <v>183</v>
      </c>
      <c r="D314" s="85">
        <v>0</v>
      </c>
      <c r="E314" s="82" t="s">
        <v>116</v>
      </c>
      <c r="F314" s="81">
        <v>42887.937743055554</v>
      </c>
      <c r="G314" s="82"/>
      <c r="H314" s="82"/>
      <c r="I314" s="82"/>
      <c r="J314" s="82"/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</row>
    <row r="315" spans="1:26">
      <c r="A315" s="81">
        <v>42857.785358796296</v>
      </c>
      <c r="B315" s="82" t="s">
        <v>132</v>
      </c>
      <c r="C315" s="82" t="s">
        <v>184</v>
      </c>
      <c r="D315" s="85">
        <v>0</v>
      </c>
      <c r="E315" s="82" t="s">
        <v>116</v>
      </c>
      <c r="F315" s="81">
        <v>42887.938715277778</v>
      </c>
      <c r="G315" s="82"/>
      <c r="H315" s="82"/>
      <c r="I315" s="82"/>
      <c r="J315" s="82"/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</row>
    <row r="316" spans="1:26">
      <c r="A316" s="81">
        <v>42857.785358796296</v>
      </c>
      <c r="B316" s="82" t="s">
        <v>132</v>
      </c>
      <c r="C316" s="82" t="s">
        <v>185</v>
      </c>
      <c r="D316" s="85">
        <v>0</v>
      </c>
      <c r="E316" s="82" t="s">
        <v>116</v>
      </c>
      <c r="F316" s="81">
        <v>42887.944976851853</v>
      </c>
      <c r="G316" s="82">
        <v>1</v>
      </c>
      <c r="H316" s="82"/>
      <c r="I316" s="82"/>
      <c r="J316" s="82"/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</row>
    <row r="317" spans="1:26">
      <c r="A317" s="81">
        <v>42857.785358796296</v>
      </c>
      <c r="B317" s="82" t="s">
        <v>132</v>
      </c>
      <c r="C317" s="82" t="s">
        <v>186</v>
      </c>
      <c r="D317" s="85">
        <v>0</v>
      </c>
      <c r="E317" s="82" t="s">
        <v>116</v>
      </c>
      <c r="F317" s="81">
        <v>42887.944988425923</v>
      </c>
      <c r="G317" s="82"/>
      <c r="H317" s="82"/>
      <c r="I317" s="82"/>
      <c r="J317" s="82"/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</row>
    <row r="318" spans="1:26">
      <c r="A318" s="81">
        <v>42857.785358796296</v>
      </c>
      <c r="B318" s="82" t="s">
        <v>132</v>
      </c>
      <c r="C318" s="82" t="s">
        <v>187</v>
      </c>
      <c r="D318" s="85">
        <v>0</v>
      </c>
      <c r="E318" s="82" t="s">
        <v>116</v>
      </c>
      <c r="F318" s="81">
        <v>42887.944988425923</v>
      </c>
      <c r="G318" s="82"/>
      <c r="H318" s="82"/>
      <c r="I318" s="82"/>
      <c r="J318" s="82"/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</row>
    <row r="319" spans="1:26">
      <c r="A319" s="81">
        <v>42857.785358796296</v>
      </c>
      <c r="B319" s="82" t="s">
        <v>132</v>
      </c>
      <c r="C319" s="82" t="s">
        <v>188</v>
      </c>
      <c r="D319" s="85">
        <v>0</v>
      </c>
      <c r="E319" s="82" t="s">
        <v>116</v>
      </c>
      <c r="F319" s="81">
        <v>42887.945011574076</v>
      </c>
      <c r="G319" s="82"/>
      <c r="H319" s="82"/>
      <c r="I319" s="82"/>
      <c r="J319" s="82"/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</row>
    <row r="320" spans="1:26">
      <c r="A320" s="81">
        <v>42857.785358796296</v>
      </c>
      <c r="B320" s="82" t="s">
        <v>132</v>
      </c>
      <c r="C320" s="82" t="s">
        <v>189</v>
      </c>
      <c r="D320" s="85">
        <v>54.5</v>
      </c>
      <c r="E320" s="82" t="s">
        <v>116</v>
      </c>
      <c r="F320" s="81">
        <v>42887.945011574076</v>
      </c>
      <c r="G320" s="82"/>
      <c r="H320" s="82"/>
      <c r="I320" s="82"/>
      <c r="J320" s="82"/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</row>
    <row r="321" spans="1:26">
      <c r="A321" s="81">
        <v>42857.785358796296</v>
      </c>
      <c r="B321" s="82" t="s">
        <v>132</v>
      </c>
      <c r="C321" s="82" t="s">
        <v>190</v>
      </c>
      <c r="D321" s="85">
        <v>0.25</v>
      </c>
      <c r="E321" s="82" t="s">
        <v>116</v>
      </c>
      <c r="F321" s="81">
        <v>42887.945081018515</v>
      </c>
      <c r="G321" s="82"/>
      <c r="H321" s="82"/>
      <c r="I321" s="82"/>
      <c r="J321" s="82"/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</row>
    <row r="322" spans="1:26">
      <c r="A322" s="81">
        <v>42857.785358796296</v>
      </c>
      <c r="B322" s="82" t="s">
        <v>132</v>
      </c>
      <c r="C322" s="82" t="s">
        <v>191</v>
      </c>
      <c r="D322" s="85">
        <v>0</v>
      </c>
      <c r="E322" s="82" t="s">
        <v>116</v>
      </c>
      <c r="F322" s="81">
        <v>42887.945081018515</v>
      </c>
      <c r="G322" s="82"/>
      <c r="H322" s="82"/>
      <c r="I322" s="82"/>
      <c r="J322" s="82"/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</row>
    <row r="323" spans="1:26">
      <c r="A323" s="81">
        <v>42857.785358796296</v>
      </c>
      <c r="B323" s="82" t="s">
        <v>132</v>
      </c>
      <c r="C323" s="82" t="s">
        <v>192</v>
      </c>
      <c r="D323" s="85">
        <v>0</v>
      </c>
      <c r="E323" s="82" t="s">
        <v>116</v>
      </c>
      <c r="F323" s="81">
        <v>42887.947337962964</v>
      </c>
      <c r="G323" s="82"/>
      <c r="H323" s="82"/>
      <c r="I323" s="82"/>
      <c r="J323" s="82"/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</row>
    <row r="324" spans="1:26">
      <c r="A324" s="81">
        <v>42857.785358796296</v>
      </c>
      <c r="B324" s="82" t="s">
        <v>132</v>
      </c>
      <c r="C324" s="82" t="s">
        <v>193</v>
      </c>
      <c r="D324" s="85">
        <v>0</v>
      </c>
      <c r="E324" s="82" t="s">
        <v>116</v>
      </c>
      <c r="F324" s="81">
        <v>42887.947337962964</v>
      </c>
      <c r="G324" s="82"/>
      <c r="H324" s="82"/>
      <c r="I324" s="82"/>
      <c r="J324" s="82"/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</row>
    <row r="325" spans="1:26">
      <c r="A325" s="81">
        <v>42857.785358796296</v>
      </c>
      <c r="B325" s="82" t="s">
        <v>132</v>
      </c>
      <c r="C325" s="82" t="s">
        <v>194</v>
      </c>
      <c r="D325" s="85">
        <v>0</v>
      </c>
      <c r="E325" s="82" t="s">
        <v>116</v>
      </c>
      <c r="F325" s="81">
        <v>42887.947430555556</v>
      </c>
      <c r="G325" s="82"/>
      <c r="H325" s="82"/>
      <c r="I325" s="82"/>
      <c r="J325" s="82"/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</row>
    <row r="326" spans="1:26">
      <c r="A326" s="81">
        <v>42857.785358796296</v>
      </c>
      <c r="B326" s="82" t="s">
        <v>132</v>
      </c>
      <c r="C326" s="82" t="s">
        <v>195</v>
      </c>
      <c r="D326" s="85">
        <v>0</v>
      </c>
      <c r="E326" s="82" t="s">
        <v>116</v>
      </c>
      <c r="F326" s="81">
        <v>42887.947430555556</v>
      </c>
      <c r="G326" s="82"/>
      <c r="H326" s="82"/>
      <c r="I326" s="82"/>
      <c r="J326" s="82"/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</row>
    <row r="327" spans="1:26">
      <c r="A327" s="81">
        <v>42857.785358796296</v>
      </c>
      <c r="B327" s="82" t="s">
        <v>132</v>
      </c>
      <c r="C327" s="82" t="s">
        <v>196</v>
      </c>
      <c r="D327" s="85">
        <v>0</v>
      </c>
      <c r="E327" s="82" t="s">
        <v>116</v>
      </c>
      <c r="F327" s="81">
        <v>43172.940775462965</v>
      </c>
      <c r="G327" s="82">
        <v>1</v>
      </c>
      <c r="H327" s="82"/>
      <c r="I327" s="82"/>
      <c r="J327" s="82"/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</row>
    <row r="328" spans="1:26">
      <c r="A328" s="81">
        <v>42857.785358796296</v>
      </c>
      <c r="B328" s="82" t="s">
        <v>132</v>
      </c>
      <c r="C328" s="82" t="s">
        <v>197</v>
      </c>
      <c r="D328" s="85">
        <v>0</v>
      </c>
      <c r="E328" s="82" t="s">
        <v>116</v>
      </c>
      <c r="F328" s="81">
        <v>43172.940787037034</v>
      </c>
      <c r="G328" s="82"/>
      <c r="H328" s="82"/>
      <c r="I328" s="82"/>
      <c r="J328" s="82"/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</row>
    <row r="329" spans="1:26">
      <c r="A329" s="81">
        <v>42857.785358796296</v>
      </c>
      <c r="B329" s="82" t="s">
        <v>132</v>
      </c>
      <c r="C329" s="82" t="s">
        <v>198</v>
      </c>
      <c r="D329" s="85">
        <v>0</v>
      </c>
      <c r="E329" s="82" t="s">
        <v>116</v>
      </c>
      <c r="F329" s="81">
        <v>43172.941724537035</v>
      </c>
      <c r="G329" s="82"/>
      <c r="H329" s="82"/>
      <c r="I329" s="82"/>
      <c r="J329" s="82"/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</row>
    <row r="330" spans="1:26">
      <c r="A330" s="81">
        <v>42857.785358796296</v>
      </c>
      <c r="B330" s="82" t="s">
        <v>132</v>
      </c>
      <c r="C330" s="82" t="s">
        <v>198</v>
      </c>
      <c r="E330" s="82" t="s">
        <v>116</v>
      </c>
      <c r="F330" s="81">
        <v>43172.945972222224</v>
      </c>
      <c r="G330" s="82">
        <v>1</v>
      </c>
      <c r="H330" s="82"/>
      <c r="I330" s="82"/>
      <c r="J330" s="82"/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</row>
    <row r="331" spans="1:26">
      <c r="A331" s="81">
        <v>42857.785358796296</v>
      </c>
      <c r="B331" s="82" t="s">
        <v>132</v>
      </c>
      <c r="C331" s="82" t="s">
        <v>197</v>
      </c>
      <c r="E331" s="82" t="s">
        <v>116</v>
      </c>
      <c r="F331" s="81">
        <v>43172.946805555555</v>
      </c>
      <c r="G331" s="82"/>
      <c r="H331" s="82"/>
      <c r="I331" s="82"/>
      <c r="J331" s="82"/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</row>
    <row r="332" spans="1:26">
      <c r="A332" s="81">
        <v>42857.785358796296</v>
      </c>
      <c r="B332" s="82" t="s">
        <v>132</v>
      </c>
      <c r="C332" s="82" t="s">
        <v>196</v>
      </c>
      <c r="E332" s="82" t="s">
        <v>116</v>
      </c>
      <c r="F332" s="81">
        <v>43172.946805555555</v>
      </c>
      <c r="G332" s="82"/>
      <c r="H332" s="82"/>
      <c r="I332" s="82"/>
      <c r="J332" s="82"/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</row>
    <row r="333" spans="1:26">
      <c r="A333" s="81">
        <v>42857.785358796296</v>
      </c>
      <c r="B333" s="82" t="s">
        <v>132</v>
      </c>
      <c r="C333" s="82" t="s">
        <v>195</v>
      </c>
      <c r="E333" s="82" t="s">
        <v>116</v>
      </c>
      <c r="F333" s="81"/>
      <c r="G333" s="82"/>
      <c r="H333" s="82"/>
      <c r="I333" s="82"/>
      <c r="J333" s="82"/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</row>
    <row r="334" spans="1:26">
      <c r="A334" s="81">
        <v>42857.785358796296</v>
      </c>
      <c r="B334" s="82" t="s">
        <v>132</v>
      </c>
      <c r="C334" s="82" t="s">
        <v>194</v>
      </c>
      <c r="E334" s="82" t="s">
        <v>116</v>
      </c>
      <c r="F334" s="81"/>
      <c r="G334" s="82"/>
      <c r="H334" s="82"/>
      <c r="I334" s="82"/>
      <c r="J334" s="82"/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</row>
    <row r="335" spans="1:26">
      <c r="A335" s="81">
        <v>42857.785358796296</v>
      </c>
      <c r="B335" s="82" t="s">
        <v>132</v>
      </c>
      <c r="C335" s="82" t="s">
        <v>193</v>
      </c>
      <c r="E335" s="82" t="s">
        <v>116</v>
      </c>
      <c r="F335" s="81"/>
      <c r="G335" s="82"/>
      <c r="H335" s="82"/>
      <c r="I335" s="82"/>
      <c r="J335" s="82"/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</row>
    <row r="336" spans="1:26">
      <c r="A336" s="81">
        <v>42857.785358796296</v>
      </c>
      <c r="B336" s="82" t="s">
        <v>132</v>
      </c>
      <c r="C336" s="82" t="s">
        <v>192</v>
      </c>
      <c r="E336" s="82" t="s">
        <v>116</v>
      </c>
      <c r="F336" s="81"/>
      <c r="G336" s="82"/>
      <c r="H336" s="82"/>
      <c r="I336" s="82"/>
      <c r="J336" s="82"/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</row>
    <row r="337" spans="1:26">
      <c r="A337" s="81">
        <v>42857.785358796296</v>
      </c>
      <c r="B337" s="82" t="s">
        <v>132</v>
      </c>
      <c r="C337" s="82" t="s">
        <v>191</v>
      </c>
      <c r="E337" s="82" t="s">
        <v>116</v>
      </c>
      <c r="F337" s="81"/>
      <c r="G337" s="82"/>
      <c r="H337" s="82"/>
      <c r="I337" s="82"/>
      <c r="J337" s="82"/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</row>
    <row r="338" spans="1:26">
      <c r="A338" s="81">
        <v>42857.785358796296</v>
      </c>
      <c r="B338" s="82" t="s">
        <v>132</v>
      </c>
      <c r="C338" s="82" t="s">
        <v>188</v>
      </c>
      <c r="E338" s="82" t="s">
        <v>116</v>
      </c>
      <c r="F338" s="81"/>
      <c r="G338" s="82"/>
      <c r="H338" s="82"/>
      <c r="I338" s="82"/>
      <c r="J338" s="82"/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</row>
    <row r="339" spans="1:26">
      <c r="A339" s="81">
        <v>42857.785358796296</v>
      </c>
      <c r="B339" s="82" t="s">
        <v>132</v>
      </c>
      <c r="C339" s="82" t="s">
        <v>187</v>
      </c>
      <c r="E339" s="82" t="s">
        <v>116</v>
      </c>
      <c r="F339" s="81"/>
      <c r="G339" s="82"/>
      <c r="H339" s="82"/>
      <c r="I339" s="82"/>
      <c r="J339" s="82"/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</row>
    <row r="340" spans="1:26">
      <c r="A340" s="81">
        <v>42857.785358796296</v>
      </c>
      <c r="B340" s="82" t="s">
        <v>132</v>
      </c>
      <c r="C340" s="82" t="s">
        <v>186</v>
      </c>
      <c r="E340" s="82" t="s">
        <v>116</v>
      </c>
      <c r="F340" s="81"/>
      <c r="G340" s="82"/>
      <c r="H340" s="82"/>
      <c r="I340" s="82"/>
      <c r="J340" s="82"/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</row>
    <row r="341" spans="1:26">
      <c r="A341" s="81">
        <v>42857.785358796296</v>
      </c>
      <c r="B341" s="82" t="s">
        <v>132</v>
      </c>
      <c r="C341" s="82" t="s">
        <v>185</v>
      </c>
      <c r="E341" s="82" t="s">
        <v>116</v>
      </c>
      <c r="F341" s="81"/>
      <c r="G341" s="82"/>
      <c r="H341" s="82"/>
      <c r="I341" s="82"/>
      <c r="J341" s="82"/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</row>
    <row r="342" spans="1:26">
      <c r="A342" s="81">
        <v>42857.785358796296</v>
      </c>
      <c r="B342" s="82" t="s">
        <v>132</v>
      </c>
      <c r="C342" s="82" t="s">
        <v>184</v>
      </c>
      <c r="E342" s="82" t="s">
        <v>116</v>
      </c>
      <c r="F342" s="81"/>
      <c r="G342" s="82"/>
      <c r="H342" s="82"/>
      <c r="I342" s="82"/>
      <c r="J342" s="82"/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</row>
    <row r="343" spans="1:26">
      <c r="A343" s="81">
        <v>42857.785358796296</v>
      </c>
      <c r="B343" s="82" t="s">
        <v>132</v>
      </c>
      <c r="C343" s="82" t="s">
        <v>183</v>
      </c>
      <c r="E343" s="82" t="s">
        <v>116</v>
      </c>
      <c r="F343" s="81"/>
      <c r="G343" s="82"/>
      <c r="H343" s="82"/>
      <c r="I343" s="82"/>
      <c r="J343" s="82"/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</row>
    <row r="344" spans="1:26">
      <c r="A344" s="81">
        <v>42857.785358796296</v>
      </c>
      <c r="B344" s="82" t="s">
        <v>132</v>
      </c>
      <c r="C344" s="82" t="s">
        <v>182</v>
      </c>
      <c r="E344" s="82" t="s">
        <v>116</v>
      </c>
      <c r="F344" s="81"/>
      <c r="G344" s="82"/>
      <c r="H344" s="82"/>
      <c r="I344" s="82"/>
      <c r="J344" s="82"/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</row>
    <row r="345" spans="1:26">
      <c r="A345" s="81">
        <v>42857.785358796296</v>
      </c>
      <c r="B345" s="82" t="s">
        <v>132</v>
      </c>
      <c r="C345" s="82" t="s">
        <v>181</v>
      </c>
      <c r="E345" s="82" t="s">
        <v>116</v>
      </c>
      <c r="F345" s="81"/>
      <c r="G345" s="82"/>
      <c r="H345" s="82"/>
      <c r="I345" s="82"/>
      <c r="J345" s="82"/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</row>
    <row r="346" spans="1:26">
      <c r="A346" s="81">
        <v>42857.785358796296</v>
      </c>
      <c r="B346" s="82" t="s">
        <v>132</v>
      </c>
      <c r="C346" s="82" t="s">
        <v>180</v>
      </c>
      <c r="E346" s="82" t="s">
        <v>116</v>
      </c>
      <c r="F346" s="81"/>
      <c r="G346" s="82"/>
      <c r="H346" s="82"/>
      <c r="I346" s="82"/>
      <c r="J346" s="82"/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</row>
    <row r="347" spans="1:26">
      <c r="A347" s="81">
        <v>42857.785358796296</v>
      </c>
      <c r="B347" s="82" t="s">
        <v>132</v>
      </c>
      <c r="C347" s="82" t="s">
        <v>179</v>
      </c>
      <c r="E347" s="82" t="s">
        <v>116</v>
      </c>
      <c r="F347" s="81"/>
      <c r="G347" s="82"/>
      <c r="H347" s="82"/>
      <c r="I347" s="82"/>
      <c r="J347" s="82"/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</row>
    <row r="348" spans="1:26">
      <c r="A348" s="81">
        <v>42857.785358796296</v>
      </c>
      <c r="B348" s="82" t="s">
        <v>132</v>
      </c>
      <c r="C348" s="82" t="s">
        <v>307</v>
      </c>
      <c r="D348" s="85" t="s">
        <v>306</v>
      </c>
      <c r="E348" s="82" t="s">
        <v>116</v>
      </c>
      <c r="F348" s="81"/>
      <c r="G348" s="82"/>
      <c r="H348" s="82"/>
      <c r="I348" s="82"/>
      <c r="J348" s="82"/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</row>
    <row r="349" spans="1:26">
      <c r="A349" s="81">
        <v>42857.785358796296</v>
      </c>
      <c r="B349" s="82" t="s">
        <v>132</v>
      </c>
      <c r="C349" s="82" t="s">
        <v>308</v>
      </c>
      <c r="D349" s="85" t="s">
        <v>306</v>
      </c>
      <c r="E349" s="82" t="s">
        <v>116</v>
      </c>
      <c r="F349" s="81"/>
      <c r="G349" s="82"/>
      <c r="H349" s="82"/>
      <c r="I349" s="82"/>
      <c r="J349" s="82"/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</row>
    <row r="350" spans="1:26">
      <c r="A350" s="81">
        <v>42857.785358796296</v>
      </c>
      <c r="B350" s="82" t="s">
        <v>132</v>
      </c>
      <c r="C350" s="82" t="s">
        <v>148</v>
      </c>
      <c r="D350" s="85">
        <v>500</v>
      </c>
      <c r="E350" s="82" t="s">
        <v>116</v>
      </c>
      <c r="F350" s="81"/>
      <c r="G350" s="82"/>
      <c r="H350" s="82"/>
      <c r="I350" s="82"/>
      <c r="J350" s="82"/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</row>
    <row r="351" spans="1:26">
      <c r="A351" s="81">
        <v>42857.785358796296</v>
      </c>
      <c r="B351" s="82" t="s">
        <v>132</v>
      </c>
      <c r="C351" s="82" t="s">
        <v>305</v>
      </c>
      <c r="D351" s="85" t="s">
        <v>306</v>
      </c>
      <c r="E351" s="82" t="s">
        <v>116</v>
      </c>
      <c r="F351" s="81"/>
      <c r="G351" s="82"/>
      <c r="H351" s="82"/>
      <c r="I351" s="82"/>
      <c r="J351" s="82"/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</row>
    <row r="352" spans="1:26">
      <c r="A352" s="81">
        <v>42857.785914351851</v>
      </c>
      <c r="B352" s="82" t="s">
        <v>310</v>
      </c>
      <c r="C352" s="82" t="s">
        <v>311</v>
      </c>
      <c r="D352" s="85" t="s">
        <v>309</v>
      </c>
      <c r="E352" s="82" t="s">
        <v>116</v>
      </c>
      <c r="F352" s="81"/>
      <c r="G352" s="82"/>
      <c r="H352" s="82"/>
      <c r="I352" s="82"/>
      <c r="J352" s="82"/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</row>
    <row r="353" spans="1:26">
      <c r="A353" s="81">
        <v>42857.785914351851</v>
      </c>
      <c r="B353" s="82" t="s">
        <v>310</v>
      </c>
      <c r="C353" s="82" t="s">
        <v>312</v>
      </c>
      <c r="D353" s="85">
        <v>42857.785914351902</v>
      </c>
      <c r="E353" s="82" t="s">
        <v>116</v>
      </c>
      <c r="F353" s="81"/>
      <c r="G353" s="82"/>
      <c r="H353" s="82"/>
      <c r="I353" s="82"/>
      <c r="J353" s="82"/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</row>
    <row r="354" spans="1:26">
      <c r="A354" s="81">
        <v>42857.785937499997</v>
      </c>
      <c r="B354" s="82" t="s">
        <v>310</v>
      </c>
      <c r="C354" s="82" t="s">
        <v>311</v>
      </c>
      <c r="D354" s="85" t="s">
        <v>313</v>
      </c>
      <c r="E354" s="82" t="s">
        <v>116</v>
      </c>
      <c r="F354" s="81"/>
      <c r="G354" s="82"/>
      <c r="H354" s="82"/>
      <c r="I354" s="82"/>
      <c r="J354" s="82"/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</row>
    <row r="355" spans="1:26">
      <c r="A355" s="81">
        <v>42857.785937499997</v>
      </c>
      <c r="B355" s="82" t="s">
        <v>310</v>
      </c>
      <c r="C355" s="82" t="s">
        <v>314</v>
      </c>
      <c r="D355" s="85">
        <v>42857.785937499997</v>
      </c>
      <c r="E355" s="82" t="s">
        <v>116</v>
      </c>
      <c r="F355" s="81"/>
      <c r="G355" s="82"/>
      <c r="H355" s="82"/>
      <c r="I355" s="82"/>
      <c r="J355" s="82"/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</row>
    <row r="356" spans="1:26">
      <c r="A356" s="81">
        <v>42857.78597222222</v>
      </c>
      <c r="B356" s="82" t="s">
        <v>132</v>
      </c>
      <c r="C356" s="82" t="s">
        <v>174</v>
      </c>
      <c r="D356" s="85">
        <v>1</v>
      </c>
      <c r="E356" s="82" t="s">
        <v>116</v>
      </c>
      <c r="F356" s="81"/>
      <c r="G356" s="82"/>
      <c r="H356" s="82"/>
      <c r="I356" s="82"/>
      <c r="J356" s="82"/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</row>
    <row r="357" spans="1:26">
      <c r="A357" s="81">
        <v>42857.786631944444</v>
      </c>
      <c r="B357" s="82" t="s">
        <v>132</v>
      </c>
      <c r="C357" s="82" t="s">
        <v>174</v>
      </c>
      <c r="D357" s="85">
        <v>1</v>
      </c>
      <c r="E357" s="82" t="s">
        <v>116</v>
      </c>
      <c r="F357" s="81"/>
      <c r="G357" s="82"/>
      <c r="H357" s="82"/>
      <c r="I357" s="82"/>
      <c r="J357" s="82"/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</row>
    <row r="358" spans="1:26">
      <c r="A358" s="81">
        <v>42857.786793981482</v>
      </c>
      <c r="B358" s="82" t="s">
        <v>310</v>
      </c>
      <c r="C358" s="82" t="s">
        <v>311</v>
      </c>
      <c r="D358" s="85" t="s">
        <v>309</v>
      </c>
      <c r="E358" s="82" t="s">
        <v>116</v>
      </c>
      <c r="F358" s="81"/>
      <c r="G358" s="82"/>
      <c r="H358" s="82"/>
      <c r="I358" s="82"/>
      <c r="J358" s="82"/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</row>
    <row r="359" spans="1:26">
      <c r="A359" s="81">
        <v>42857.786793981482</v>
      </c>
      <c r="B359" s="82" t="s">
        <v>310</v>
      </c>
      <c r="C359" s="82" t="s">
        <v>315</v>
      </c>
      <c r="D359" s="85">
        <v>42857.786793981497</v>
      </c>
      <c r="E359" s="82" t="s">
        <v>116</v>
      </c>
      <c r="F359" s="81"/>
      <c r="G359" s="82"/>
      <c r="H359" s="82"/>
      <c r="I359" s="82"/>
      <c r="J359" s="82"/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</row>
    <row r="360" spans="1:26">
      <c r="A360" s="81">
        <v>42857.786817129629</v>
      </c>
      <c r="B360" s="82" t="s">
        <v>310</v>
      </c>
      <c r="C360" s="82" t="s">
        <v>311</v>
      </c>
      <c r="D360" s="85" t="s">
        <v>313</v>
      </c>
      <c r="E360" s="82" t="s">
        <v>116</v>
      </c>
      <c r="F360" s="81"/>
      <c r="G360" s="82"/>
      <c r="H360" s="82"/>
      <c r="I360" s="82"/>
      <c r="J360" s="82"/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</row>
    <row r="361" spans="1:26">
      <c r="A361" s="81">
        <v>42857.786817129629</v>
      </c>
      <c r="B361" s="82" t="s">
        <v>310</v>
      </c>
      <c r="C361" s="82" t="s">
        <v>316</v>
      </c>
      <c r="D361" s="85">
        <v>42857.7868171296</v>
      </c>
      <c r="E361" s="82" t="s">
        <v>116</v>
      </c>
      <c r="F361" s="81"/>
      <c r="G361" s="82"/>
      <c r="H361" s="82"/>
      <c r="I361" s="82"/>
      <c r="J361" s="82"/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</row>
    <row r="362" spans="1:26">
      <c r="A362" s="81">
        <v>42857.787129629629</v>
      </c>
      <c r="B362" s="82" t="s">
        <v>310</v>
      </c>
      <c r="C362" s="82" t="s">
        <v>317</v>
      </c>
      <c r="D362" s="85" t="e">
        <f>IF(B3=0,0,SUM(B3-A3))</f>
        <v>#VALUE!</v>
      </c>
      <c r="E362" s="82" t="s">
        <v>116</v>
      </c>
      <c r="F362" s="81"/>
      <c r="G362" s="82"/>
      <c r="H362" s="82"/>
      <c r="I362" s="82"/>
      <c r="J362" s="82"/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</row>
    <row r="363" spans="1:26">
      <c r="A363" s="81">
        <v>42857.788437499999</v>
      </c>
      <c r="B363" s="82" t="s">
        <v>310</v>
      </c>
      <c r="C363" s="82" t="s">
        <v>311</v>
      </c>
      <c r="D363" s="85" t="s">
        <v>309</v>
      </c>
      <c r="E363" s="82" t="s">
        <v>116</v>
      </c>
      <c r="F363" s="81"/>
      <c r="G363" s="82"/>
      <c r="H363" s="82"/>
      <c r="I363" s="82"/>
      <c r="J363" s="82"/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</row>
    <row r="364" spans="1:26">
      <c r="A364" s="81">
        <v>42857.788437499999</v>
      </c>
      <c r="B364" s="82" t="s">
        <v>310</v>
      </c>
      <c r="C364" s="82" t="s">
        <v>318</v>
      </c>
      <c r="D364" s="85">
        <v>42857.788437499999</v>
      </c>
      <c r="E364" s="82" t="s">
        <v>116</v>
      </c>
      <c r="F364" s="81"/>
      <c r="G364" s="82"/>
      <c r="H364" s="82"/>
      <c r="I364" s="82"/>
      <c r="J364" s="82"/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</row>
    <row r="365" spans="1:26">
      <c r="A365" s="81">
        <v>42863.910277777781</v>
      </c>
      <c r="B365" s="82" t="s">
        <v>132</v>
      </c>
      <c r="C365" s="82" t="s">
        <v>319</v>
      </c>
      <c r="F365" s="81"/>
      <c r="G365" s="82"/>
      <c r="H365" s="82"/>
      <c r="I365" s="82"/>
      <c r="J365" s="82"/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</row>
    <row r="366" spans="1:26">
      <c r="A366" s="81">
        <v>42863.910277777781</v>
      </c>
      <c r="B366" s="82" t="s">
        <v>132</v>
      </c>
      <c r="C366" s="82" t="s">
        <v>320</v>
      </c>
      <c r="D366" s="85" t="s">
        <v>306</v>
      </c>
      <c r="F366" s="81"/>
      <c r="G366" s="82"/>
      <c r="H366" s="82"/>
      <c r="I366" s="82"/>
      <c r="J366" s="82"/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</row>
    <row r="367" spans="1:26">
      <c r="A367" s="81">
        <v>42863.910277777781</v>
      </c>
      <c r="B367" s="82" t="s">
        <v>132</v>
      </c>
      <c r="C367" s="82" t="s">
        <v>133</v>
      </c>
      <c r="F367" s="81"/>
      <c r="G367" s="82"/>
      <c r="H367" s="82"/>
      <c r="I367" s="82"/>
      <c r="J367" s="82"/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</row>
    <row r="368" spans="1:26">
      <c r="A368" s="81">
        <v>42863.910277777781</v>
      </c>
      <c r="B368" s="82" t="s">
        <v>132</v>
      </c>
      <c r="C368" s="82" t="s">
        <v>305</v>
      </c>
      <c r="D368" s="85" t="s">
        <v>306</v>
      </c>
      <c r="F368" s="81"/>
      <c r="G368" s="82"/>
      <c r="H368" s="82"/>
      <c r="I368" s="82"/>
      <c r="J368" s="82"/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</row>
    <row r="369" spans="1:26">
      <c r="A369" s="81">
        <v>42863.910277777781</v>
      </c>
      <c r="B369" s="82" t="s">
        <v>132</v>
      </c>
      <c r="C369" s="82" t="s">
        <v>321</v>
      </c>
      <c r="D369" s="85" t="s">
        <v>306</v>
      </c>
      <c r="F369" s="81"/>
      <c r="G369" s="82"/>
      <c r="H369" s="82"/>
      <c r="I369" s="82"/>
      <c r="J369" s="82"/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</row>
    <row r="370" spans="1:26">
      <c r="A370" s="81">
        <v>42863.910277777781</v>
      </c>
      <c r="B370" s="82" t="s">
        <v>132</v>
      </c>
      <c r="C370" s="82" t="s">
        <v>322</v>
      </c>
      <c r="D370" s="85" t="s">
        <v>306</v>
      </c>
      <c r="F370" s="81"/>
      <c r="G370" s="82"/>
      <c r="H370" s="82"/>
      <c r="I370" s="82"/>
      <c r="J370" s="82"/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</row>
    <row r="371" spans="1:26">
      <c r="A371" s="81">
        <v>42863.910324074073</v>
      </c>
      <c r="B371" s="82" t="s">
        <v>310</v>
      </c>
      <c r="C371" s="82" t="s">
        <v>311</v>
      </c>
      <c r="D371" s="85" t="s">
        <v>313</v>
      </c>
      <c r="F371" s="81"/>
      <c r="G371" s="82"/>
      <c r="H371" s="82"/>
      <c r="I371" s="82"/>
      <c r="J371" s="82"/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</row>
    <row r="372" spans="1:26">
      <c r="A372" s="81">
        <v>42863.910324074073</v>
      </c>
      <c r="B372" s="82" t="s">
        <v>310</v>
      </c>
      <c r="C372" s="82" t="s">
        <v>323</v>
      </c>
      <c r="D372" s="85">
        <v>42863.910324074102</v>
      </c>
      <c r="F372" s="81"/>
      <c r="G372" s="82"/>
      <c r="H372" s="82"/>
      <c r="I372" s="82"/>
      <c r="J372" s="82"/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</row>
    <row r="373" spans="1:26">
      <c r="A373" s="81">
        <v>42863.910451388889</v>
      </c>
      <c r="B373" s="82" t="s">
        <v>310</v>
      </c>
      <c r="C373" s="82" t="s">
        <v>324</v>
      </c>
      <c r="D373" s="85">
        <v>42863.910451388903</v>
      </c>
      <c r="F373" s="81"/>
      <c r="G373" s="82"/>
      <c r="H373" s="82"/>
      <c r="I373" s="82"/>
      <c r="J373" s="82"/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</row>
    <row r="374" spans="1:26">
      <c r="A374" s="81">
        <v>42863.910451388889</v>
      </c>
      <c r="B374" s="82" t="s">
        <v>310</v>
      </c>
      <c r="C374" s="82" t="s">
        <v>311</v>
      </c>
      <c r="D374" s="85" t="s">
        <v>309</v>
      </c>
      <c r="F374" s="81"/>
      <c r="G374" s="82"/>
      <c r="H374" s="82"/>
      <c r="I374" s="82"/>
      <c r="J374" s="82"/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</row>
    <row r="375" spans="1:26">
      <c r="A375" s="81">
        <v>42866.930532407408</v>
      </c>
      <c r="B375" s="82" t="s">
        <v>310</v>
      </c>
      <c r="C375" s="82" t="s">
        <v>311</v>
      </c>
      <c r="D375" s="85" t="s">
        <v>313</v>
      </c>
      <c r="F375" s="81"/>
      <c r="G375" s="82"/>
      <c r="H375" s="82"/>
      <c r="I375" s="82"/>
      <c r="J375" s="82"/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</row>
    <row r="376" spans="1:26">
      <c r="A376" s="81">
        <v>42866.930532407408</v>
      </c>
      <c r="B376" s="82" t="s">
        <v>310</v>
      </c>
      <c r="C376" s="82" t="s">
        <v>325</v>
      </c>
      <c r="D376" s="85">
        <v>42866.930532407401</v>
      </c>
      <c r="F376" s="81"/>
      <c r="G376" s="82"/>
      <c r="H376" s="82"/>
      <c r="I376" s="82"/>
      <c r="J376" s="82"/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</row>
    <row r="377" spans="1:26">
      <c r="A377" s="81">
        <v>42885.001446759263</v>
      </c>
      <c r="B377" s="82" t="s">
        <v>310</v>
      </c>
      <c r="C377" s="82" t="s">
        <v>326</v>
      </c>
      <c r="D377" s="85">
        <v>42885.001446759299</v>
      </c>
      <c r="F377" s="81"/>
      <c r="G377" s="82"/>
      <c r="H377" s="82"/>
      <c r="I377" s="82"/>
      <c r="J377" s="82"/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</row>
    <row r="378" spans="1:26">
      <c r="A378" s="81">
        <v>42885.001504629632</v>
      </c>
      <c r="B378" s="82" t="s">
        <v>132</v>
      </c>
      <c r="C378" s="82" t="s">
        <v>135</v>
      </c>
      <c r="D378" s="85" t="s">
        <v>327</v>
      </c>
      <c r="F378" s="81"/>
      <c r="G378" s="82"/>
      <c r="H378" s="82"/>
      <c r="I378" s="82"/>
      <c r="J378" s="82"/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</row>
    <row r="379" spans="1:26">
      <c r="A379" s="81">
        <v>42885.001527777778</v>
      </c>
      <c r="B379" s="82" t="s">
        <v>132</v>
      </c>
      <c r="C379" s="82" t="s">
        <v>137</v>
      </c>
      <c r="D379" s="85" t="s">
        <v>327</v>
      </c>
      <c r="F379" s="81"/>
      <c r="G379" s="82"/>
      <c r="H379" s="82"/>
      <c r="I379" s="82"/>
      <c r="J379" s="82"/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</row>
    <row r="380" spans="1:26">
      <c r="A380" s="81">
        <v>42885.001550925925</v>
      </c>
      <c r="B380" s="82" t="s">
        <v>132</v>
      </c>
      <c r="C380" s="82" t="s">
        <v>139</v>
      </c>
      <c r="D380" s="85" t="s">
        <v>328</v>
      </c>
      <c r="F380" s="81"/>
      <c r="G380" s="82"/>
      <c r="H380" s="82"/>
      <c r="I380" s="82"/>
      <c r="J380" s="82"/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</row>
    <row r="381" spans="1:26">
      <c r="A381" s="81">
        <v>42885.001631944448</v>
      </c>
      <c r="B381" s="82" t="s">
        <v>132</v>
      </c>
      <c r="C381" s="82" t="s">
        <v>139</v>
      </c>
      <c r="D381" s="85" t="s">
        <v>329</v>
      </c>
      <c r="F381" s="81"/>
      <c r="G381" s="82"/>
      <c r="H381" s="82"/>
      <c r="I381" s="82"/>
      <c r="J381" s="82"/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</row>
    <row r="382" spans="1:26">
      <c r="A382" s="81">
        <v>42885.00167824074</v>
      </c>
      <c r="B382" s="82" t="s">
        <v>132</v>
      </c>
      <c r="C382" s="82" t="s">
        <v>137</v>
      </c>
      <c r="D382" s="85" t="s">
        <v>330</v>
      </c>
      <c r="F382" s="81"/>
      <c r="G382" s="82"/>
      <c r="H382" s="82"/>
      <c r="I382" s="82"/>
      <c r="J382" s="82"/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</row>
    <row r="383" spans="1:26">
      <c r="A383" s="81">
        <v>42885.00172453704</v>
      </c>
      <c r="B383" s="82" t="s">
        <v>310</v>
      </c>
      <c r="C383" s="82" t="s">
        <v>331</v>
      </c>
      <c r="D383" s="85">
        <v>42885.001724537004</v>
      </c>
      <c r="F383" s="81"/>
      <c r="G383" s="82"/>
      <c r="H383" s="82"/>
      <c r="I383" s="82"/>
      <c r="J383" s="82"/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</row>
    <row r="384" spans="1:26">
      <c r="A384" s="81">
        <v>42885.00172453704</v>
      </c>
      <c r="B384" s="82" t="s">
        <v>310</v>
      </c>
      <c r="C384" s="82" t="s">
        <v>311</v>
      </c>
      <c r="D384" s="85" t="s">
        <v>309</v>
      </c>
      <c r="F384" s="81"/>
      <c r="G384" s="82"/>
      <c r="H384" s="82"/>
      <c r="I384" s="82"/>
      <c r="J384" s="82"/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</row>
    <row r="385" spans="1:26">
      <c r="A385" s="81">
        <v>42887.915625000001</v>
      </c>
      <c r="B385" s="82" t="s">
        <v>132</v>
      </c>
      <c r="C385" s="82" t="s">
        <v>319</v>
      </c>
      <c r="D385" s="85" t="s">
        <v>116</v>
      </c>
      <c r="E385" s="82" t="s">
        <v>116</v>
      </c>
      <c r="F385" s="81"/>
      <c r="G385" s="82"/>
      <c r="H385" s="82"/>
      <c r="I385" s="82"/>
      <c r="J385" s="82"/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</row>
    <row r="386" spans="1:26">
      <c r="A386" s="81">
        <v>42887.915648148148</v>
      </c>
      <c r="B386" s="82" t="s">
        <v>310</v>
      </c>
      <c r="C386" s="82" t="s">
        <v>311</v>
      </c>
      <c r="D386" s="85" t="s">
        <v>313</v>
      </c>
      <c r="E386" s="82" t="s">
        <v>116</v>
      </c>
      <c r="F386" s="81"/>
      <c r="G386" s="82"/>
      <c r="H386" s="82"/>
      <c r="I386" s="82"/>
      <c r="J386" s="82"/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</row>
    <row r="387" spans="1:26">
      <c r="A387" s="81">
        <v>42887.915648148148</v>
      </c>
      <c r="B387" s="82" t="s">
        <v>310</v>
      </c>
      <c r="C387" s="82" t="s">
        <v>314</v>
      </c>
      <c r="D387" s="85">
        <v>42887.915648148097</v>
      </c>
      <c r="E387" s="82" t="s">
        <v>116</v>
      </c>
      <c r="F387" s="81"/>
      <c r="G387" s="82"/>
      <c r="H387" s="82"/>
      <c r="I387" s="82"/>
      <c r="J387" s="82"/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</row>
    <row r="388" spans="1:26">
      <c r="A388" s="81">
        <v>42887.916296296295</v>
      </c>
      <c r="B388" s="82" t="s">
        <v>310</v>
      </c>
      <c r="C388" s="82" t="s">
        <v>316</v>
      </c>
      <c r="D388" s="85">
        <v>42887.916296296302</v>
      </c>
      <c r="E388" s="82" t="s">
        <v>116</v>
      </c>
      <c r="F388" s="81"/>
      <c r="G388" s="82"/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</row>
    <row r="389" spans="1:26">
      <c r="A389" s="81">
        <v>42887.918692129628</v>
      </c>
      <c r="B389" s="82" t="s">
        <v>310</v>
      </c>
      <c r="C389" s="82" t="s">
        <v>323</v>
      </c>
      <c r="D389" s="85">
        <v>42887.918692129599</v>
      </c>
      <c r="E389" s="82" t="s">
        <v>116</v>
      </c>
      <c r="F389" s="81"/>
      <c r="G389" s="82"/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</row>
    <row r="390" spans="1:26">
      <c r="A390" s="81">
        <v>42887.926064814812</v>
      </c>
      <c r="B390" s="82" t="s">
        <v>132</v>
      </c>
      <c r="C390" s="82" t="s">
        <v>332</v>
      </c>
      <c r="D390" s="85" t="s">
        <v>7</v>
      </c>
      <c r="E390" s="82" t="s">
        <v>116</v>
      </c>
      <c r="F390" s="81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</row>
    <row r="391" spans="1:26">
      <c r="A391" s="81">
        <v>42887.926111111112</v>
      </c>
      <c r="B391" s="82" t="s">
        <v>132</v>
      </c>
      <c r="C391" s="82" t="s">
        <v>332</v>
      </c>
      <c r="D391" s="85" t="s">
        <v>333</v>
      </c>
      <c r="E391" s="82" t="s">
        <v>116</v>
      </c>
      <c r="F391" s="81"/>
      <c r="G391" s="82"/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</row>
    <row r="392" spans="1:26">
      <c r="A392" s="81">
        <v>42887.931516203702</v>
      </c>
      <c r="B392" s="82" t="s">
        <v>310</v>
      </c>
      <c r="C392" s="82" t="s">
        <v>312</v>
      </c>
      <c r="D392" s="85">
        <v>42887.931516203702</v>
      </c>
      <c r="E392" s="82" t="s">
        <v>116</v>
      </c>
      <c r="F392" s="81"/>
      <c r="G392" s="82"/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</row>
    <row r="393" spans="1:26">
      <c r="A393" s="81">
        <v>42887.931516203702</v>
      </c>
      <c r="B393" s="82" t="s">
        <v>310</v>
      </c>
      <c r="C393" s="82" t="s">
        <v>311</v>
      </c>
      <c r="D393" s="85" t="s">
        <v>309</v>
      </c>
      <c r="E393" s="82" t="s">
        <v>116</v>
      </c>
      <c r="F393" s="81"/>
      <c r="G393" s="82"/>
      <c r="H393" s="82"/>
      <c r="I393" s="82"/>
      <c r="J393" s="82"/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</row>
    <row r="394" spans="1:26">
      <c r="A394" s="81">
        <v>42887.937743055554</v>
      </c>
      <c r="B394" s="82" t="s">
        <v>310</v>
      </c>
      <c r="C394" s="82" t="s">
        <v>311</v>
      </c>
      <c r="D394" s="85" t="s">
        <v>313</v>
      </c>
      <c r="E394" s="82" t="s">
        <v>116</v>
      </c>
      <c r="F394" s="81"/>
      <c r="G394" s="82"/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</row>
    <row r="395" spans="1:26">
      <c r="A395" s="81">
        <v>42887.937743055554</v>
      </c>
      <c r="B395" s="82" t="s">
        <v>310</v>
      </c>
      <c r="C395" s="82" t="s">
        <v>325</v>
      </c>
      <c r="D395" s="85">
        <v>42887.937743055598</v>
      </c>
      <c r="E395" s="82" t="s">
        <v>116</v>
      </c>
      <c r="F395" s="81"/>
      <c r="G395" s="82"/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</row>
    <row r="396" spans="1:26">
      <c r="A396" s="81">
        <v>42887.938715277778</v>
      </c>
      <c r="B396" s="82" t="s">
        <v>310</v>
      </c>
      <c r="C396" s="82" t="s">
        <v>326</v>
      </c>
      <c r="D396" s="85">
        <v>42887.9387152778</v>
      </c>
      <c r="E396" s="82" t="s">
        <v>116</v>
      </c>
      <c r="F396" s="81"/>
      <c r="G396" s="82"/>
      <c r="H396" s="82"/>
      <c r="I396" s="82"/>
      <c r="J396" s="82"/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</row>
    <row r="397" spans="1:26">
      <c r="A397" s="81">
        <v>42887.938726851855</v>
      </c>
      <c r="B397" s="82" t="s">
        <v>132</v>
      </c>
      <c r="C397" s="82" t="s">
        <v>334</v>
      </c>
      <c r="D397" s="85" t="s">
        <v>306</v>
      </c>
      <c r="E397" s="82" t="s">
        <v>116</v>
      </c>
      <c r="F397" s="81"/>
      <c r="G397" s="82"/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</row>
    <row r="398" spans="1:26">
      <c r="A398" s="81">
        <v>42887.944976851853</v>
      </c>
      <c r="B398" s="82" t="s">
        <v>310</v>
      </c>
      <c r="C398" s="82" t="s">
        <v>335</v>
      </c>
      <c r="D398" s="85">
        <v>42887.944976851897</v>
      </c>
      <c r="E398" s="82" t="s">
        <v>116</v>
      </c>
      <c r="F398" s="81"/>
      <c r="G398" s="82"/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</row>
    <row r="399" spans="1:26">
      <c r="A399" s="81">
        <v>42887.944988425923</v>
      </c>
      <c r="B399" s="82" t="s">
        <v>310</v>
      </c>
      <c r="C399" s="82" t="s">
        <v>311</v>
      </c>
      <c r="D399" s="85" t="s">
        <v>309</v>
      </c>
      <c r="E399" s="82" t="s">
        <v>116</v>
      </c>
      <c r="F399" s="81"/>
      <c r="G399" s="82"/>
      <c r="H399" s="82"/>
      <c r="I399" s="82"/>
      <c r="J399" s="82"/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</row>
    <row r="400" spans="1:26">
      <c r="A400" s="81">
        <v>42887.944988425923</v>
      </c>
      <c r="B400" s="82" t="s">
        <v>310</v>
      </c>
      <c r="C400" s="82" t="s">
        <v>315</v>
      </c>
      <c r="D400" s="85">
        <v>42887.944988425901</v>
      </c>
      <c r="E400" s="82" t="s">
        <v>116</v>
      </c>
      <c r="F400" s="81"/>
      <c r="G400" s="82"/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</row>
    <row r="401" spans="1:26">
      <c r="A401" s="81">
        <v>42887.945</v>
      </c>
      <c r="B401" s="82" t="s">
        <v>310</v>
      </c>
      <c r="C401" s="82" t="s">
        <v>311</v>
      </c>
      <c r="D401" s="85" t="s">
        <v>313</v>
      </c>
      <c r="E401" s="82" t="s">
        <v>116</v>
      </c>
      <c r="F401" s="81"/>
      <c r="G401" s="82"/>
      <c r="H401" s="82"/>
      <c r="I401" s="82"/>
      <c r="J401" s="82"/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</row>
    <row r="402" spans="1:26">
      <c r="A402" s="81">
        <v>42887.945011574076</v>
      </c>
      <c r="B402" s="82" t="s">
        <v>310</v>
      </c>
      <c r="C402" s="82" t="s">
        <v>336</v>
      </c>
      <c r="D402" s="85">
        <v>42887.945011573996</v>
      </c>
      <c r="E402" s="82" t="s">
        <v>116</v>
      </c>
      <c r="F402" s="81"/>
      <c r="G402" s="82"/>
      <c r="H402" s="82"/>
      <c r="I402" s="82"/>
      <c r="J402" s="82"/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</row>
    <row r="403" spans="1:26">
      <c r="A403" s="81">
        <v>42887.945057870369</v>
      </c>
      <c r="B403" s="82" t="s">
        <v>132</v>
      </c>
      <c r="C403" s="82" t="s">
        <v>332</v>
      </c>
      <c r="D403" s="85" t="s">
        <v>333</v>
      </c>
      <c r="E403" s="82" t="s">
        <v>116</v>
      </c>
      <c r="F403" s="81"/>
      <c r="G403" s="82"/>
      <c r="H403" s="82"/>
      <c r="I403" s="82"/>
      <c r="J403" s="82"/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</row>
    <row r="404" spans="1:26">
      <c r="A404" s="81">
        <v>42887.945081018515</v>
      </c>
      <c r="B404" s="82" t="s">
        <v>310</v>
      </c>
      <c r="C404" s="82" t="s">
        <v>318</v>
      </c>
      <c r="D404" s="85">
        <v>42887.945081018501</v>
      </c>
      <c r="E404" s="82" t="s">
        <v>116</v>
      </c>
      <c r="F404" s="81"/>
      <c r="G404" s="82"/>
      <c r="H404" s="82"/>
      <c r="I404" s="82"/>
      <c r="J404" s="82"/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</row>
    <row r="405" spans="1:26">
      <c r="A405" s="81">
        <v>42887.945081018515</v>
      </c>
      <c r="B405" s="82" t="s">
        <v>310</v>
      </c>
      <c r="C405" s="82" t="s">
        <v>311</v>
      </c>
      <c r="D405" s="85" t="s">
        <v>309</v>
      </c>
      <c r="E405" s="82" t="s">
        <v>116</v>
      </c>
      <c r="F405" s="81"/>
      <c r="G405" s="82"/>
      <c r="H405" s="82"/>
      <c r="I405" s="82"/>
      <c r="J405" s="82"/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</row>
    <row r="406" spans="1:26">
      <c r="A406" s="81">
        <v>42887.947337962964</v>
      </c>
      <c r="B406" s="82" t="s">
        <v>310</v>
      </c>
      <c r="C406" s="82" t="s">
        <v>311</v>
      </c>
      <c r="D406" s="85" t="s">
        <v>313</v>
      </c>
      <c r="E406" s="82" t="s">
        <v>116</v>
      </c>
      <c r="F406" s="81"/>
      <c r="G406" s="82"/>
      <c r="H406" s="82"/>
      <c r="I406" s="82"/>
      <c r="J406" s="82"/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</row>
    <row r="407" spans="1:26">
      <c r="A407" s="81">
        <v>42887.947337962964</v>
      </c>
      <c r="B407" s="82" t="s">
        <v>310</v>
      </c>
      <c r="C407" s="82" t="s">
        <v>337</v>
      </c>
      <c r="D407" s="85">
        <v>42887.947337963</v>
      </c>
      <c r="E407" s="82" t="s">
        <v>116</v>
      </c>
      <c r="F407" s="81"/>
      <c r="G407" s="82"/>
      <c r="H407" s="82"/>
      <c r="I407" s="82"/>
      <c r="J407" s="82"/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</row>
    <row r="408" spans="1:26">
      <c r="A408" s="81">
        <v>42887.947430555556</v>
      </c>
      <c r="B408" s="82" t="s">
        <v>310</v>
      </c>
      <c r="C408" s="82" t="s">
        <v>324</v>
      </c>
      <c r="D408" s="85">
        <v>42887.9474305556</v>
      </c>
      <c r="E408" s="82" t="s">
        <v>116</v>
      </c>
      <c r="F408" s="81"/>
      <c r="G408" s="82"/>
      <c r="H408" s="82"/>
      <c r="I408" s="82"/>
      <c r="J408" s="82"/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</row>
    <row r="409" spans="1:26">
      <c r="A409" s="81">
        <v>42887.947430555556</v>
      </c>
      <c r="B409" s="82" t="s">
        <v>310</v>
      </c>
      <c r="C409" s="82" t="s">
        <v>311</v>
      </c>
      <c r="D409" s="85" t="s">
        <v>309</v>
      </c>
      <c r="E409" s="82" t="s">
        <v>116</v>
      </c>
      <c r="F409" s="81"/>
      <c r="G409" s="82"/>
      <c r="H409" s="82"/>
      <c r="I409" s="82"/>
      <c r="J409" s="82"/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</row>
    <row r="410" spans="1:26">
      <c r="A410" s="81">
        <v>43172.940775462965</v>
      </c>
      <c r="B410" s="82" t="s">
        <v>310</v>
      </c>
      <c r="C410" s="82" t="s">
        <v>311</v>
      </c>
      <c r="D410" s="85" t="s">
        <v>313</v>
      </c>
      <c r="E410" s="82" t="s">
        <v>116</v>
      </c>
      <c r="F410" s="81"/>
      <c r="G410" s="82"/>
      <c r="H410" s="82"/>
      <c r="I410" s="82"/>
      <c r="J410" s="82"/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</row>
    <row r="411" spans="1:26">
      <c r="A411" s="81">
        <v>43172.940787037034</v>
      </c>
      <c r="B411" s="82" t="s">
        <v>310</v>
      </c>
      <c r="C411" s="82" t="s">
        <v>338</v>
      </c>
      <c r="D411" s="85">
        <v>43172.940787036998</v>
      </c>
      <c r="E411" s="82" t="s">
        <v>116</v>
      </c>
      <c r="F411" s="81"/>
      <c r="G411" s="82"/>
      <c r="H411" s="82"/>
      <c r="I411" s="82"/>
      <c r="J411" s="82"/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</row>
    <row r="412" spans="1:26">
      <c r="A412" s="81">
        <v>43172.941724537035</v>
      </c>
      <c r="B412" s="82" t="s">
        <v>310</v>
      </c>
      <c r="C412" s="82" t="s">
        <v>339</v>
      </c>
      <c r="D412" s="85">
        <v>43172.941724536999</v>
      </c>
      <c r="E412" s="82" t="s">
        <v>116</v>
      </c>
      <c r="F412" s="81"/>
      <c r="G412" s="82"/>
      <c r="H412" s="82"/>
      <c r="I412" s="82"/>
      <c r="J412" s="82"/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</row>
    <row r="413" spans="1:26">
      <c r="A413" s="81">
        <v>43172.941736111112</v>
      </c>
      <c r="B413" s="82" t="s">
        <v>132</v>
      </c>
      <c r="C413" s="82" t="s">
        <v>334</v>
      </c>
      <c r="D413" s="85" t="s">
        <v>306</v>
      </c>
      <c r="E413" s="82" t="s">
        <v>116</v>
      </c>
      <c r="F413" s="81"/>
      <c r="G413" s="82"/>
      <c r="H413" s="82"/>
      <c r="I413" s="82"/>
      <c r="J413" s="82"/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</row>
    <row r="414" spans="1:26">
      <c r="A414" s="81">
        <v>43172.941736111112</v>
      </c>
      <c r="B414" s="82" t="s">
        <v>132</v>
      </c>
      <c r="C414" s="82" t="s">
        <v>340</v>
      </c>
      <c r="D414" s="85" t="s">
        <v>306</v>
      </c>
      <c r="E414" s="82" t="s">
        <v>116</v>
      </c>
      <c r="F414" s="81"/>
      <c r="G414" s="82"/>
      <c r="H414" s="82"/>
      <c r="I414" s="82"/>
      <c r="J414" s="82"/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</row>
    <row r="415" spans="1:26">
      <c r="A415" s="81">
        <v>43172.941886574074</v>
      </c>
      <c r="B415" s="82" t="s">
        <v>132</v>
      </c>
      <c r="C415" s="82" t="s">
        <v>341</v>
      </c>
      <c r="D415" s="85" t="s">
        <v>306</v>
      </c>
      <c r="E415" s="82" t="s">
        <v>116</v>
      </c>
      <c r="F415" s="81"/>
      <c r="G415" s="82"/>
      <c r="H415" s="82"/>
      <c r="I415" s="82"/>
      <c r="J415" s="82"/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</row>
    <row r="416" spans="1:26">
      <c r="A416" s="81">
        <v>43172.941886574074</v>
      </c>
      <c r="B416" s="82" t="s">
        <v>132</v>
      </c>
      <c r="C416" s="82" t="s">
        <v>342</v>
      </c>
      <c r="D416" s="85" t="s">
        <v>306</v>
      </c>
      <c r="E416" s="82" t="s">
        <v>116</v>
      </c>
      <c r="F416" s="81"/>
      <c r="G416" s="82"/>
      <c r="H416" s="82"/>
      <c r="I416" s="82"/>
      <c r="J416" s="82"/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</row>
    <row r="417" spans="1:26">
      <c r="A417" s="81">
        <v>43172.941886574074</v>
      </c>
      <c r="B417" s="82" t="s">
        <v>132</v>
      </c>
      <c r="C417" s="82" t="s">
        <v>343</v>
      </c>
      <c r="D417" s="85" t="s">
        <v>306</v>
      </c>
      <c r="E417" s="82" t="s">
        <v>116</v>
      </c>
      <c r="F417" s="81"/>
      <c r="G417" s="82"/>
      <c r="H417" s="82"/>
      <c r="I417" s="82"/>
      <c r="J417" s="82"/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</row>
    <row r="418" spans="1:26">
      <c r="A418" s="81">
        <v>43172.941886574074</v>
      </c>
      <c r="B418" s="82" t="s">
        <v>132</v>
      </c>
      <c r="C418" s="82" t="s">
        <v>344</v>
      </c>
      <c r="D418" s="85" t="s">
        <v>306</v>
      </c>
      <c r="E418" s="82" t="s">
        <v>116</v>
      </c>
      <c r="F418" s="81"/>
      <c r="G418" s="82"/>
      <c r="H418" s="82"/>
      <c r="I418" s="82"/>
      <c r="J418" s="82"/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</row>
    <row r="419" spans="1:26">
      <c r="A419" s="81">
        <v>43172.941886574074</v>
      </c>
      <c r="B419" s="82" t="s">
        <v>132</v>
      </c>
      <c r="C419" s="82" t="s">
        <v>345</v>
      </c>
      <c r="D419" s="85" t="s">
        <v>306</v>
      </c>
      <c r="E419" s="82" t="s">
        <v>116</v>
      </c>
      <c r="F419" s="81"/>
      <c r="G419" s="82"/>
      <c r="H419" s="82"/>
      <c r="I419" s="82"/>
      <c r="J419" s="82"/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</row>
    <row r="420" spans="1:26">
      <c r="A420" s="81">
        <v>43172.94189814815</v>
      </c>
      <c r="B420" s="82" t="s">
        <v>132</v>
      </c>
      <c r="C420" s="82" t="s">
        <v>346</v>
      </c>
      <c r="D420" s="85" t="s">
        <v>306</v>
      </c>
      <c r="E420" s="82" t="s">
        <v>116</v>
      </c>
      <c r="F420" s="81"/>
      <c r="G420" s="82"/>
      <c r="H420" s="82"/>
      <c r="I420" s="82"/>
      <c r="J420" s="82"/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</row>
    <row r="421" spans="1:26">
      <c r="A421" s="81">
        <v>43172.945208333331</v>
      </c>
      <c r="B421" s="82" t="s">
        <v>132</v>
      </c>
      <c r="C421" s="82" t="s">
        <v>345</v>
      </c>
      <c r="D421" s="85" t="s">
        <v>306</v>
      </c>
      <c r="E421" s="82" t="s">
        <v>116</v>
      </c>
      <c r="F421" s="81"/>
      <c r="G421" s="82"/>
      <c r="H421" s="82"/>
      <c r="I421" s="82"/>
      <c r="J421" s="82"/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</row>
    <row r="422" spans="1:26">
      <c r="A422" s="81">
        <v>43172.945219907408</v>
      </c>
      <c r="B422" s="82" t="s">
        <v>132</v>
      </c>
      <c r="C422" s="82" t="s">
        <v>346</v>
      </c>
      <c r="D422" s="85" t="s">
        <v>306</v>
      </c>
      <c r="E422" s="82" t="s">
        <v>116</v>
      </c>
      <c r="F422" s="81"/>
      <c r="G422" s="82"/>
      <c r="H422" s="82"/>
      <c r="I422" s="82"/>
      <c r="J422" s="82"/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</row>
    <row r="423" spans="1:26">
      <c r="A423" s="81">
        <v>43172.945243055554</v>
      </c>
      <c r="B423" s="82" t="s">
        <v>132</v>
      </c>
      <c r="C423" s="82" t="s">
        <v>347</v>
      </c>
      <c r="D423" s="85" t="s">
        <v>306</v>
      </c>
      <c r="E423" s="82" t="s">
        <v>116</v>
      </c>
      <c r="F423" s="81"/>
      <c r="G423" s="82"/>
      <c r="H423" s="82"/>
      <c r="I423" s="82"/>
      <c r="J423" s="82"/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</row>
    <row r="424" spans="1:26">
      <c r="A424" s="81">
        <v>43172.945289351854</v>
      </c>
      <c r="B424" s="82" t="s">
        <v>132</v>
      </c>
      <c r="C424" s="82" t="s">
        <v>332</v>
      </c>
      <c r="D424" s="85" t="s">
        <v>333</v>
      </c>
      <c r="E424" s="82" t="s">
        <v>116</v>
      </c>
      <c r="F424" s="81"/>
      <c r="G424" s="82"/>
      <c r="H424" s="82"/>
      <c r="I424" s="82"/>
      <c r="J424" s="82"/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</row>
    <row r="425" spans="1:26">
      <c r="A425" s="81">
        <v>43172.945324074077</v>
      </c>
      <c r="B425" s="82" t="s">
        <v>132</v>
      </c>
      <c r="C425" s="82" t="s">
        <v>340</v>
      </c>
      <c r="D425" s="85" t="s">
        <v>306</v>
      </c>
      <c r="E425" s="82" t="s">
        <v>116</v>
      </c>
      <c r="F425" s="81"/>
      <c r="G425" s="82"/>
      <c r="H425" s="82"/>
      <c r="I425" s="82"/>
      <c r="J425" s="82"/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</row>
    <row r="426" spans="1:26">
      <c r="A426" s="81">
        <v>43172.945335648146</v>
      </c>
      <c r="B426" s="82" t="s">
        <v>132</v>
      </c>
      <c r="C426" s="82" t="s">
        <v>340</v>
      </c>
      <c r="D426" s="85" t="s">
        <v>306</v>
      </c>
      <c r="E426" s="82" t="s">
        <v>116</v>
      </c>
      <c r="F426" s="81"/>
      <c r="G426" s="82"/>
      <c r="H426" s="82"/>
      <c r="I426" s="82"/>
      <c r="J426" s="82"/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</row>
    <row r="427" spans="1:26">
      <c r="A427" s="81">
        <v>43172.945972222224</v>
      </c>
      <c r="B427" s="82" t="s">
        <v>310</v>
      </c>
      <c r="C427" s="82" t="s">
        <v>348</v>
      </c>
      <c r="D427" s="85">
        <v>43172.945972222202</v>
      </c>
      <c r="E427" s="82" t="s">
        <v>116</v>
      </c>
      <c r="F427" s="81"/>
      <c r="G427" s="82"/>
      <c r="H427" s="82"/>
      <c r="I427" s="82"/>
      <c r="J427" s="82"/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</row>
    <row r="428" spans="1:26">
      <c r="A428" s="81">
        <v>43172.945983796293</v>
      </c>
      <c r="B428" s="82" t="s">
        <v>132</v>
      </c>
      <c r="C428" s="82" t="s">
        <v>334</v>
      </c>
      <c r="D428" s="85" t="s">
        <v>306</v>
      </c>
      <c r="E428" s="82" t="s">
        <v>116</v>
      </c>
      <c r="F428" s="81"/>
      <c r="G428" s="82"/>
      <c r="H428" s="82"/>
      <c r="I428" s="82"/>
      <c r="J428" s="82"/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</row>
    <row r="429" spans="1:26">
      <c r="A429" s="81">
        <v>43172.946064814816</v>
      </c>
      <c r="B429" s="82" t="s">
        <v>132</v>
      </c>
      <c r="C429" s="82" t="s">
        <v>340</v>
      </c>
      <c r="D429" s="85" t="s">
        <v>306</v>
      </c>
      <c r="E429" s="82" t="s">
        <v>116</v>
      </c>
      <c r="F429" s="81"/>
      <c r="G429" s="82"/>
      <c r="H429" s="82"/>
      <c r="I429" s="82"/>
      <c r="J429" s="82"/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</row>
    <row r="430" spans="1:26">
      <c r="A430" s="81">
        <v>43172.946076388886</v>
      </c>
      <c r="B430" s="82" t="s">
        <v>132</v>
      </c>
      <c r="C430" s="82" t="s">
        <v>341</v>
      </c>
      <c r="D430" s="85" t="s">
        <v>306</v>
      </c>
      <c r="E430" s="82" t="s">
        <v>116</v>
      </c>
      <c r="F430" s="81"/>
      <c r="G430" s="82"/>
      <c r="H430" s="82"/>
      <c r="I430" s="82"/>
      <c r="J430" s="82"/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</row>
    <row r="431" spans="1:26">
      <c r="A431" s="81">
        <v>43172.946076388886</v>
      </c>
      <c r="B431" s="82" t="s">
        <v>132</v>
      </c>
      <c r="C431" s="82" t="s">
        <v>342</v>
      </c>
      <c r="D431" s="85" t="s">
        <v>306</v>
      </c>
      <c r="E431" s="82" t="s">
        <v>116</v>
      </c>
      <c r="F431" s="81"/>
      <c r="G431" s="82"/>
      <c r="H431" s="82"/>
      <c r="I431" s="82"/>
      <c r="J431" s="82"/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</row>
    <row r="432" spans="1:26">
      <c r="A432" s="81">
        <v>43172.946076388886</v>
      </c>
      <c r="B432" s="82" t="s">
        <v>132</v>
      </c>
      <c r="C432" s="82" t="s">
        <v>343</v>
      </c>
      <c r="D432" s="85" t="s">
        <v>306</v>
      </c>
      <c r="E432" s="82" t="s">
        <v>116</v>
      </c>
      <c r="F432" s="81"/>
      <c r="G432" s="82"/>
      <c r="H432" s="82"/>
      <c r="I432" s="82"/>
      <c r="J432" s="82"/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</row>
    <row r="433" spans="1:26">
      <c r="A433" s="81">
        <v>43172.946076388886</v>
      </c>
      <c r="B433" s="82" t="s">
        <v>132</v>
      </c>
      <c r="C433" s="82" t="s">
        <v>344</v>
      </c>
      <c r="D433" s="85" t="s">
        <v>306</v>
      </c>
      <c r="E433" s="82" t="s">
        <v>116</v>
      </c>
      <c r="F433" s="81"/>
      <c r="G433" s="82"/>
      <c r="H433" s="82"/>
      <c r="I433" s="82"/>
      <c r="J433" s="82"/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</row>
    <row r="434" spans="1:26">
      <c r="A434" s="81">
        <v>43172.946076388886</v>
      </c>
      <c r="B434" s="82" t="s">
        <v>132</v>
      </c>
      <c r="C434" s="82" t="s">
        <v>345</v>
      </c>
      <c r="D434" s="85" t="s">
        <v>306</v>
      </c>
      <c r="E434" s="82" t="s">
        <v>116</v>
      </c>
      <c r="F434" s="81"/>
      <c r="G434" s="82"/>
      <c r="H434" s="82"/>
      <c r="I434" s="82"/>
      <c r="J434" s="82"/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</row>
    <row r="435" spans="1:26">
      <c r="A435" s="81">
        <v>43172.946076388886</v>
      </c>
      <c r="B435" s="82" t="s">
        <v>132</v>
      </c>
      <c r="C435" s="82" t="s">
        <v>346</v>
      </c>
      <c r="D435" s="85" t="s">
        <v>306</v>
      </c>
      <c r="E435" s="82" t="s">
        <v>116</v>
      </c>
      <c r="F435" s="81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</row>
    <row r="436" spans="1:26">
      <c r="A436" s="81">
        <v>43172.946412037039</v>
      </c>
      <c r="B436" s="82" t="s">
        <v>132</v>
      </c>
      <c r="C436" s="82" t="s">
        <v>350</v>
      </c>
      <c r="D436" s="85" t="s">
        <v>306</v>
      </c>
      <c r="E436" s="82" t="s">
        <v>116</v>
      </c>
      <c r="F436" s="81"/>
      <c r="G436" s="82"/>
      <c r="H436" s="82"/>
      <c r="I436" s="82"/>
      <c r="J436" s="82"/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</row>
    <row r="437" spans="1:26">
      <c r="A437" s="81">
        <v>43172.946423611109</v>
      </c>
      <c r="B437" s="82" t="s">
        <v>132</v>
      </c>
      <c r="C437" s="82" t="s">
        <v>346</v>
      </c>
      <c r="D437" s="85" t="s">
        <v>306</v>
      </c>
      <c r="E437" s="82" t="s">
        <v>116</v>
      </c>
      <c r="F437" s="81"/>
      <c r="G437" s="82"/>
      <c r="H437" s="82"/>
      <c r="I437" s="82"/>
      <c r="J437" s="82"/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</row>
    <row r="438" spans="1:26">
      <c r="A438" s="81">
        <v>43172.946805555555</v>
      </c>
      <c r="B438" s="82" t="s">
        <v>132</v>
      </c>
      <c r="C438" s="82" t="s">
        <v>319</v>
      </c>
      <c r="F438" s="81"/>
      <c r="G438" s="82"/>
      <c r="H438" s="82"/>
      <c r="I438" s="82"/>
      <c r="J438" s="82"/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</row>
    <row r="439" spans="1:26">
      <c r="A439" s="81">
        <v>43172.946805555555</v>
      </c>
      <c r="B439" s="82" t="s">
        <v>351</v>
      </c>
      <c r="C439" s="82" t="s">
        <v>316</v>
      </c>
      <c r="F439" s="81"/>
      <c r="G439" s="82"/>
      <c r="H439" s="82"/>
      <c r="I439" s="82"/>
      <c r="J439" s="82"/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</row>
    <row r="440" spans="1:26">
      <c r="A440" s="81">
        <v>43172.946805555555</v>
      </c>
      <c r="B440" s="82" t="s">
        <v>351</v>
      </c>
      <c r="C440" s="82" t="s">
        <v>312</v>
      </c>
      <c r="D440" s="85">
        <v>43172.946805555599</v>
      </c>
      <c r="F440" s="81"/>
      <c r="G440" s="82"/>
      <c r="H440" s="82"/>
      <c r="I440" s="82"/>
      <c r="J440" s="82"/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</row>
    <row r="441" spans="1:26">
      <c r="A441" s="81"/>
      <c r="F441" s="81"/>
      <c r="G441" s="82"/>
      <c r="H441" s="82"/>
      <c r="I441" s="82"/>
      <c r="J441" s="82"/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</row>
    <row r="442" spans="1:26">
      <c r="A442" s="81"/>
      <c r="F442" s="81"/>
      <c r="G442" s="82"/>
      <c r="H442" s="82"/>
      <c r="I442" s="82"/>
      <c r="J442" s="82"/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</row>
    <row r="443" spans="1:26">
      <c r="A443" s="81"/>
      <c r="F443" s="81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</row>
    <row r="444" spans="1:26">
      <c r="A444" s="81"/>
      <c r="F444" s="81"/>
      <c r="G444" s="82"/>
      <c r="H444" s="82"/>
      <c r="I444" s="82"/>
      <c r="J444" s="82"/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</row>
    <row r="445" spans="1:26">
      <c r="A445" s="81"/>
      <c r="F445" s="81"/>
      <c r="G445" s="82"/>
      <c r="H445" s="82"/>
      <c r="I445" s="82"/>
      <c r="J445" s="82"/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</row>
    <row r="446" spans="1:26">
      <c r="A446" s="81"/>
      <c r="F446" s="81"/>
      <c r="G446" s="82"/>
      <c r="H446" s="82"/>
      <c r="I446" s="82"/>
      <c r="J446" s="82"/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</row>
    <row r="447" spans="1:26">
      <c r="A447" s="81"/>
      <c r="F447" s="81"/>
      <c r="G447" s="82"/>
      <c r="H447" s="82"/>
      <c r="I447" s="82"/>
      <c r="J447" s="82"/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</row>
    <row r="448" spans="1:26">
      <c r="A448" s="81"/>
      <c r="F448" s="81"/>
      <c r="G448" s="82"/>
      <c r="H448" s="82"/>
      <c r="I448" s="82"/>
      <c r="J448" s="82"/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</row>
    <row r="449" spans="1:26">
      <c r="A449" s="81"/>
      <c r="F449" s="81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</row>
    <row r="450" spans="1:26">
      <c r="A450" s="81"/>
      <c r="F450" s="81"/>
      <c r="G450" s="82"/>
      <c r="H450" s="82"/>
      <c r="I450" s="82"/>
      <c r="J450" s="82"/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</row>
    <row r="451" spans="1:26">
      <c r="A451" s="81"/>
      <c r="F451" s="81"/>
      <c r="G451" s="82"/>
      <c r="H451" s="82"/>
      <c r="I451" s="82"/>
      <c r="J451" s="82"/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</row>
    <row r="452" spans="1:26">
      <c r="A452" s="81"/>
      <c r="F452" s="81"/>
      <c r="G452" s="82"/>
      <c r="H452" s="82"/>
      <c r="I452" s="82"/>
      <c r="J452" s="82"/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</row>
    <row r="453" spans="1:26">
      <c r="A453" s="81"/>
      <c r="F453" s="81"/>
      <c r="G453" s="82"/>
      <c r="H453" s="82"/>
      <c r="I453" s="82"/>
      <c r="J453" s="82"/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</row>
    <row r="454" spans="1:26">
      <c r="A454" s="81"/>
      <c r="F454" s="81"/>
      <c r="G454" s="82"/>
      <c r="H454" s="82"/>
      <c r="I454" s="82"/>
      <c r="J454" s="82"/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</row>
    <row r="455" spans="1:26">
      <c r="A455" s="81"/>
      <c r="F455" s="81"/>
      <c r="G455" s="82"/>
      <c r="H455" s="82"/>
      <c r="I455" s="82"/>
      <c r="J455" s="82"/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</row>
    <row r="456" spans="1:26">
      <c r="A456" s="81"/>
      <c r="F456" s="81"/>
      <c r="G456" s="82"/>
      <c r="H456" s="82"/>
      <c r="I456" s="82"/>
      <c r="J456" s="82"/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</row>
    <row r="457" spans="1:26">
      <c r="A457" s="81"/>
      <c r="F457" s="81"/>
      <c r="G457" s="82"/>
      <c r="H457" s="82"/>
      <c r="I457" s="82"/>
      <c r="J457" s="82"/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</row>
    <row r="458" spans="1:26">
      <c r="A458" s="81"/>
      <c r="F458" s="81"/>
      <c r="G458" s="82"/>
      <c r="H458" s="82"/>
      <c r="I458" s="82"/>
      <c r="J458" s="82"/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</row>
    <row r="459" spans="1:26">
      <c r="A459" s="81"/>
      <c r="F459" s="81"/>
      <c r="G459" s="82"/>
      <c r="H459" s="82"/>
      <c r="I459" s="82"/>
      <c r="J459" s="82"/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</row>
    <row r="460" spans="1:26">
      <c r="A460" s="81"/>
      <c r="F460" s="81"/>
      <c r="G460" s="82"/>
      <c r="H460" s="82"/>
      <c r="I460" s="82"/>
      <c r="J460" s="82"/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</row>
    <row r="461" spans="1:26">
      <c r="A461" s="81"/>
      <c r="F461" s="81"/>
      <c r="G461" s="82"/>
      <c r="H461" s="82"/>
      <c r="I461" s="82"/>
      <c r="J461" s="82"/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</row>
    <row r="462" spans="1:26">
      <c r="A462" s="81"/>
      <c r="F462" s="81"/>
      <c r="G462" s="82"/>
      <c r="H462" s="82"/>
      <c r="I462" s="82"/>
      <c r="J462" s="82"/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</row>
    <row r="463" spans="1:26">
      <c r="A463" s="81"/>
      <c r="F463" s="81"/>
      <c r="G463" s="82"/>
      <c r="H463" s="82"/>
      <c r="I463" s="82"/>
      <c r="J463" s="82"/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</row>
    <row r="464" spans="1:26">
      <c r="A464" s="81"/>
      <c r="F464" s="81"/>
      <c r="G464" s="82"/>
      <c r="H464" s="82"/>
      <c r="I464" s="82"/>
      <c r="J464" s="82"/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</row>
    <row r="465" spans="1:26">
      <c r="A465" s="81"/>
      <c r="F465" s="81"/>
      <c r="G465" s="82"/>
      <c r="H465" s="82"/>
      <c r="I465" s="82"/>
      <c r="J465" s="82"/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</row>
    <row r="466" spans="1:26">
      <c r="A466" s="81"/>
      <c r="F466" s="81"/>
      <c r="G466" s="82"/>
      <c r="H466" s="82"/>
      <c r="I466" s="82"/>
      <c r="J466" s="82"/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</row>
    <row r="467" spans="1:26">
      <c r="A467" s="81"/>
      <c r="F467" s="81"/>
      <c r="G467" s="82"/>
      <c r="H467" s="82"/>
      <c r="I467" s="82"/>
      <c r="J467" s="82"/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</row>
    <row r="468" spans="1:26">
      <c r="A468" s="81"/>
      <c r="F468" s="81"/>
      <c r="G468" s="82"/>
      <c r="H468" s="82"/>
      <c r="I468" s="82"/>
      <c r="J468" s="82"/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</row>
    <row r="469" spans="1:26">
      <c r="A469" s="81"/>
      <c r="F469" s="81"/>
      <c r="G469" s="82"/>
      <c r="H469" s="82"/>
      <c r="I469" s="82"/>
      <c r="J469" s="82"/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</row>
    <row r="470" spans="1:26">
      <c r="A470" s="81"/>
      <c r="F470" s="81"/>
      <c r="G470" s="82"/>
      <c r="H470" s="82"/>
      <c r="I470" s="82"/>
      <c r="J470" s="82"/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</row>
    <row r="471" spans="1:26">
      <c r="A471" s="81"/>
      <c r="F471" s="81"/>
      <c r="G471" s="82"/>
      <c r="H471" s="82"/>
      <c r="I471" s="82"/>
      <c r="J471" s="82"/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</row>
    <row r="472" spans="1:26">
      <c r="A472" s="81"/>
      <c r="F472" s="81"/>
      <c r="G472" s="82"/>
      <c r="H472" s="82"/>
      <c r="I472" s="82"/>
      <c r="J472" s="82"/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</row>
    <row r="473" spans="1:26">
      <c r="A473" s="81"/>
      <c r="F473" s="81"/>
      <c r="G473" s="82"/>
      <c r="H473" s="82"/>
      <c r="I473" s="82"/>
      <c r="J473" s="82"/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</row>
    <row r="474" spans="1:26">
      <c r="A474" s="81"/>
      <c r="F474" s="81"/>
      <c r="G474" s="82"/>
      <c r="H474" s="82"/>
      <c r="I474" s="82"/>
      <c r="J474" s="82"/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</row>
    <row r="475" spans="1:26">
      <c r="A475" s="81"/>
      <c r="F475" s="81"/>
      <c r="G475" s="82"/>
      <c r="H475" s="82"/>
      <c r="I475" s="82"/>
      <c r="J475" s="82"/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</row>
    <row r="476" spans="1:26">
      <c r="A476" s="81"/>
      <c r="F476" s="81"/>
      <c r="G476" s="82"/>
      <c r="H476" s="82"/>
      <c r="I476" s="82"/>
      <c r="J476" s="82"/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</row>
    <row r="477" spans="1:26">
      <c r="A477" s="81"/>
      <c r="F477" s="81"/>
      <c r="G477" s="82"/>
      <c r="H477" s="82"/>
      <c r="I477" s="82"/>
      <c r="J477" s="82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</row>
    <row r="478" spans="1:26">
      <c r="A478" s="81"/>
      <c r="F478" s="81"/>
      <c r="G478" s="82"/>
      <c r="H478" s="82"/>
      <c r="I478" s="82"/>
      <c r="J478" s="82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</row>
    <row r="479" spans="1:26">
      <c r="A479" s="81"/>
      <c r="F479" s="81"/>
      <c r="G479" s="82"/>
      <c r="H479" s="82"/>
      <c r="I479" s="82"/>
      <c r="J479" s="82"/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</row>
    <row r="480" spans="1:26">
      <c r="A480" s="81"/>
      <c r="F480" s="81"/>
      <c r="G480" s="82"/>
      <c r="H480" s="82"/>
      <c r="I480" s="82"/>
      <c r="J480" s="82"/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</row>
    <row r="481" spans="1:26">
      <c r="A481" s="81"/>
      <c r="F481" s="81"/>
      <c r="G481" s="82"/>
      <c r="H481" s="82"/>
      <c r="I481" s="82"/>
      <c r="J481" s="82"/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</row>
    <row r="482" spans="1:26">
      <c r="A482" s="81"/>
      <c r="F482" s="81"/>
      <c r="G482" s="82"/>
      <c r="H482" s="82"/>
      <c r="I482" s="82"/>
      <c r="J482" s="82"/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</row>
    <row r="483" spans="1:26">
      <c r="A483" s="81"/>
      <c r="F483" s="81"/>
      <c r="G483" s="82"/>
      <c r="H483" s="82"/>
      <c r="I483" s="82"/>
      <c r="J483" s="82"/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</row>
    <row r="484" spans="1:26">
      <c r="A484" s="81"/>
      <c r="F484" s="81"/>
      <c r="G484" s="82"/>
      <c r="H484" s="82"/>
      <c r="I484" s="82"/>
      <c r="J484" s="82"/>
      <c r="K484" s="82"/>
      <c r="L484" s="82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</row>
    <row r="485" spans="1:26">
      <c r="A485" s="81"/>
      <c r="F485" s="81"/>
      <c r="G485" s="82"/>
      <c r="H485" s="82"/>
      <c r="I485" s="82"/>
      <c r="J485" s="82"/>
      <c r="K485" s="82"/>
      <c r="L485" s="82"/>
      <c r="M485" s="82"/>
      <c r="N485" s="82"/>
      <c r="O485" s="82"/>
      <c r="P485" s="82"/>
      <c r="Q485" s="82"/>
      <c r="R485" s="82"/>
      <c r="S485" s="82"/>
      <c r="T485" s="82"/>
      <c r="U485" s="82"/>
      <c r="V485" s="82"/>
      <c r="W485" s="82"/>
      <c r="X485" s="82"/>
      <c r="Y485" s="82"/>
      <c r="Z485" s="82"/>
    </row>
    <row r="486" spans="1:26">
      <c r="A486" s="81"/>
      <c r="F486" s="81"/>
      <c r="G486" s="82"/>
      <c r="H486" s="82"/>
      <c r="I486" s="82"/>
      <c r="J486" s="82"/>
      <c r="K486" s="82"/>
      <c r="L486" s="82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82"/>
      <c r="Z486" s="82"/>
    </row>
    <row r="487" spans="1:26">
      <c r="A487" s="81"/>
      <c r="F487" s="81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2"/>
      <c r="R487" s="82"/>
      <c r="S487" s="82"/>
      <c r="T487" s="82"/>
      <c r="U487" s="82"/>
      <c r="V487" s="82"/>
      <c r="W487" s="82"/>
      <c r="X487" s="82"/>
      <c r="Y487" s="82"/>
      <c r="Z487" s="82"/>
    </row>
    <row r="488" spans="1:26">
      <c r="A488" s="81"/>
      <c r="F488" s="81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82"/>
      <c r="Z488" s="82"/>
    </row>
    <row r="489" spans="1:26">
      <c r="A489" s="81"/>
      <c r="F489" s="81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2"/>
      <c r="S489" s="82"/>
      <c r="T489" s="82"/>
      <c r="U489" s="82"/>
      <c r="V489" s="82"/>
      <c r="W489" s="82"/>
      <c r="X489" s="82"/>
      <c r="Y489" s="82"/>
      <c r="Z489" s="82"/>
    </row>
    <row r="490" spans="1:26">
      <c r="A490" s="81"/>
      <c r="F490" s="81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82"/>
      <c r="Z490" s="82"/>
    </row>
    <row r="491" spans="1:26">
      <c r="A491" s="81"/>
      <c r="F491" s="81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  <c r="S491" s="82"/>
      <c r="T491" s="82"/>
      <c r="U491" s="82"/>
      <c r="V491" s="82"/>
      <c r="W491" s="82"/>
      <c r="X491" s="82"/>
      <c r="Y491" s="82"/>
      <c r="Z491" s="82"/>
    </row>
    <row r="492" spans="1:26">
      <c r="A492" s="81"/>
      <c r="F492" s="81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82"/>
      <c r="Z492" s="82"/>
    </row>
    <row r="493" spans="1:26">
      <c r="A493" s="81"/>
      <c r="F493" s="81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  <c r="S493" s="82"/>
      <c r="T493" s="82"/>
      <c r="U493" s="82"/>
      <c r="V493" s="82"/>
      <c r="W493" s="82"/>
      <c r="X493" s="82"/>
      <c r="Y493" s="82"/>
      <c r="Z493" s="82"/>
    </row>
    <row r="494" spans="1:26">
      <c r="A494" s="81"/>
      <c r="F494" s="81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82"/>
      <c r="Z494" s="82"/>
    </row>
    <row r="495" spans="1:26">
      <c r="A495" s="81"/>
      <c r="F495" s="81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2"/>
      <c r="V495" s="82"/>
      <c r="W495" s="82"/>
      <c r="X495" s="82"/>
      <c r="Y495" s="82"/>
      <c r="Z495" s="82"/>
    </row>
    <row r="496" spans="1:26">
      <c r="A496" s="81"/>
      <c r="F496" s="81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82"/>
      <c r="Z496" s="82"/>
    </row>
    <row r="497" spans="1:26">
      <c r="A497" s="81"/>
      <c r="F497" s="81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2"/>
      <c r="X497" s="82"/>
      <c r="Y497" s="82"/>
      <c r="Z497" s="82"/>
    </row>
    <row r="498" spans="1:26">
      <c r="A498" s="81"/>
      <c r="F498" s="81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82"/>
      <c r="Z498" s="82"/>
    </row>
    <row r="499" spans="1:26">
      <c r="A499" s="81"/>
      <c r="F499" s="81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2"/>
      <c r="Y499" s="82"/>
      <c r="Z499" s="82"/>
    </row>
    <row r="500" spans="1:26">
      <c r="A500" s="81"/>
      <c r="F500" s="81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82"/>
      <c r="Z500" s="82"/>
    </row>
    <row r="501" spans="1:26">
      <c r="A501" s="81"/>
      <c r="F501" s="81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2"/>
      <c r="Z501" s="82"/>
    </row>
    <row r="502" spans="1:26">
      <c r="A502" s="81"/>
      <c r="F502" s="81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2"/>
    </row>
    <row r="503" spans="1:26">
      <c r="A503" s="81"/>
      <c r="F503" s="81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2"/>
    </row>
    <row r="504" spans="1:26">
      <c r="A504" s="81"/>
      <c r="F504" s="81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</row>
    <row r="505" spans="1:26">
      <c r="A505" s="81"/>
      <c r="F505" s="81"/>
      <c r="G505" s="82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</row>
    <row r="506" spans="1:26">
      <c r="A506" s="81"/>
      <c r="F506" s="81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</row>
    <row r="507" spans="1:26">
      <c r="A507" s="81"/>
      <c r="F507" s="81"/>
      <c r="G507" s="82"/>
      <c r="H507" s="82"/>
      <c r="I507" s="82"/>
      <c r="J507" s="82"/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</row>
    <row r="508" spans="1:26">
      <c r="A508" s="81"/>
      <c r="F508" s="81"/>
      <c r="G508" s="82"/>
      <c r="H508" s="82"/>
      <c r="I508" s="82"/>
      <c r="J508" s="82"/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</row>
    <row r="509" spans="1:26">
      <c r="A509" s="81"/>
      <c r="F509" s="81"/>
      <c r="G509" s="82"/>
      <c r="H509" s="82"/>
      <c r="I509" s="82"/>
      <c r="J509" s="82"/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</row>
    <row r="510" spans="1:26">
      <c r="A510" s="81"/>
      <c r="F510" s="81"/>
      <c r="G510" s="82"/>
      <c r="H510" s="82"/>
      <c r="I510" s="82"/>
      <c r="J510" s="82"/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</row>
    <row r="511" spans="1:26">
      <c r="A511" s="81"/>
      <c r="F511" s="81"/>
      <c r="G511" s="82"/>
      <c r="H511" s="82"/>
      <c r="I511" s="82"/>
      <c r="J511" s="82"/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</row>
    <row r="512" spans="1:26">
      <c r="A512" s="81"/>
      <c r="F512" s="81"/>
      <c r="G512" s="82"/>
      <c r="H512" s="82"/>
      <c r="I512" s="82"/>
      <c r="J512" s="82"/>
      <c r="K512" s="82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</row>
    <row r="513" spans="1:26">
      <c r="A513" s="81"/>
      <c r="F513" s="81"/>
      <c r="G513" s="82"/>
      <c r="H513" s="82"/>
      <c r="I513" s="82"/>
      <c r="J513" s="82"/>
      <c r="K513" s="82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</row>
    <row r="514" spans="1:26">
      <c r="A514" s="81"/>
      <c r="F514" s="81"/>
      <c r="G514" s="82"/>
      <c r="H514" s="82"/>
      <c r="I514" s="82"/>
      <c r="J514" s="82"/>
      <c r="K514" s="82"/>
      <c r="L514" s="82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</row>
    <row r="515" spans="1:26">
      <c r="A515" s="81"/>
      <c r="F515" s="81"/>
      <c r="G515" s="82"/>
      <c r="H515" s="82"/>
      <c r="I515" s="82"/>
      <c r="J515" s="82"/>
      <c r="K515" s="82"/>
      <c r="L515" s="82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</row>
    <row r="516" spans="1:26">
      <c r="A516" s="81"/>
      <c r="F516" s="81"/>
      <c r="G516" s="82"/>
      <c r="H516" s="82"/>
      <c r="I516" s="82"/>
      <c r="J516" s="82"/>
      <c r="K516" s="82"/>
      <c r="L516" s="82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</row>
    <row r="517" spans="1:26">
      <c r="A517" s="81"/>
      <c r="F517" s="81"/>
      <c r="G517" s="82"/>
      <c r="H517" s="82"/>
      <c r="I517" s="82"/>
      <c r="J517" s="82"/>
      <c r="K517" s="82"/>
      <c r="L517" s="82"/>
      <c r="M517" s="82"/>
      <c r="N517" s="82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</row>
    <row r="518" spans="1:26">
      <c r="A518" s="81"/>
      <c r="F518" s="81"/>
      <c r="G518" s="82"/>
      <c r="H518" s="82"/>
      <c r="I518" s="82"/>
      <c r="J518" s="82"/>
      <c r="K518" s="82"/>
      <c r="L518" s="82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</row>
    <row r="519" spans="1:26">
      <c r="A519" s="81"/>
      <c r="F519" s="81"/>
      <c r="G519" s="82"/>
      <c r="H519" s="82"/>
      <c r="I519" s="82"/>
      <c r="J519" s="82"/>
      <c r="K519" s="82"/>
      <c r="L519" s="82"/>
      <c r="M519" s="82"/>
      <c r="N519" s="82"/>
      <c r="O519" s="82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</row>
    <row r="520" spans="1:26">
      <c r="A520" s="81"/>
      <c r="F520" s="81"/>
      <c r="G520" s="82"/>
      <c r="H520" s="82"/>
      <c r="I520" s="82"/>
      <c r="J520" s="82"/>
      <c r="K520" s="82"/>
      <c r="L520" s="82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</row>
    <row r="521" spans="1:26">
      <c r="A521" s="81"/>
      <c r="F521" s="81"/>
      <c r="G521" s="82"/>
      <c r="H521" s="82"/>
      <c r="I521" s="82"/>
      <c r="J521" s="82"/>
      <c r="K521" s="82"/>
      <c r="L521" s="82"/>
      <c r="M521" s="82"/>
      <c r="N521" s="82"/>
      <c r="O521" s="82"/>
      <c r="P521" s="82"/>
      <c r="Q521" s="82"/>
      <c r="R521" s="82"/>
      <c r="S521" s="82"/>
      <c r="T521" s="82"/>
      <c r="U521" s="82"/>
      <c r="V521" s="82"/>
      <c r="W521" s="82"/>
      <c r="X521" s="82"/>
      <c r="Y521" s="82"/>
      <c r="Z521" s="82"/>
    </row>
    <row r="522" spans="1:26">
      <c r="A522" s="81"/>
      <c r="F522" s="81"/>
      <c r="G522" s="82"/>
      <c r="H522" s="82"/>
      <c r="I522" s="82"/>
      <c r="J522" s="82"/>
      <c r="K522" s="82"/>
      <c r="L522" s="82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82"/>
      <c r="Z522" s="82"/>
    </row>
    <row r="523" spans="1:26">
      <c r="A523" s="81"/>
      <c r="F523" s="81"/>
      <c r="G523" s="82"/>
      <c r="H523" s="82"/>
      <c r="I523" s="82"/>
      <c r="J523" s="82"/>
      <c r="K523" s="82"/>
      <c r="L523" s="82"/>
      <c r="M523" s="82"/>
      <c r="N523" s="82"/>
      <c r="O523" s="82"/>
      <c r="P523" s="82"/>
      <c r="Q523" s="82"/>
      <c r="R523" s="82"/>
      <c r="S523" s="82"/>
      <c r="T523" s="82"/>
      <c r="U523" s="82"/>
      <c r="V523" s="82"/>
      <c r="W523" s="82"/>
      <c r="X523" s="82"/>
      <c r="Y523" s="82"/>
      <c r="Z523" s="82"/>
    </row>
    <row r="524" spans="1:26">
      <c r="A524" s="81"/>
      <c r="F524" s="81"/>
      <c r="G524" s="82"/>
      <c r="H524" s="82"/>
      <c r="I524" s="82"/>
      <c r="J524" s="82"/>
      <c r="K524" s="82"/>
      <c r="L524" s="82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82"/>
      <c r="Z524" s="82"/>
    </row>
    <row r="525" spans="1:26">
      <c r="A525" s="81"/>
      <c r="F525" s="81"/>
      <c r="G525" s="82"/>
      <c r="H525" s="82"/>
      <c r="I525" s="82"/>
      <c r="J525" s="82"/>
      <c r="K525" s="82"/>
      <c r="L525" s="82"/>
      <c r="M525" s="82"/>
      <c r="N525" s="82"/>
      <c r="O525" s="82"/>
      <c r="P525" s="82"/>
      <c r="Q525" s="82"/>
      <c r="R525" s="82"/>
      <c r="S525" s="82"/>
      <c r="T525" s="82"/>
      <c r="U525" s="82"/>
      <c r="V525" s="82"/>
      <c r="W525" s="82"/>
      <c r="X525" s="82"/>
      <c r="Y525" s="82"/>
      <c r="Z525" s="82"/>
    </row>
    <row r="526" spans="1:26">
      <c r="A526" s="81"/>
      <c r="F526" s="81"/>
      <c r="G526" s="82"/>
      <c r="H526" s="82"/>
      <c r="I526" s="82"/>
      <c r="J526" s="82"/>
      <c r="K526" s="82"/>
      <c r="L526" s="82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82"/>
      <c r="Z526" s="82"/>
    </row>
    <row r="527" spans="1:26">
      <c r="A527" s="81"/>
      <c r="F527" s="81"/>
      <c r="G527" s="82"/>
      <c r="H527" s="82"/>
      <c r="I527" s="82"/>
      <c r="J527" s="82"/>
      <c r="K527" s="82"/>
      <c r="L527" s="82"/>
      <c r="M527" s="82"/>
      <c r="N527" s="82"/>
      <c r="O527" s="82"/>
      <c r="P527" s="82"/>
      <c r="Q527" s="82"/>
      <c r="R527" s="82"/>
      <c r="S527" s="82"/>
      <c r="T527" s="82"/>
      <c r="U527" s="82"/>
      <c r="V527" s="82"/>
      <c r="W527" s="82"/>
      <c r="X527" s="82"/>
      <c r="Y527" s="82"/>
      <c r="Z527" s="82"/>
    </row>
    <row r="528" spans="1:26">
      <c r="A528" s="81"/>
      <c r="F528" s="81"/>
      <c r="G528" s="82"/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82"/>
      <c r="Z528" s="82"/>
    </row>
    <row r="529" spans="1:26">
      <c r="A529" s="81"/>
      <c r="F529" s="81"/>
      <c r="G529" s="82"/>
      <c r="H529" s="82"/>
      <c r="I529" s="82"/>
      <c r="J529" s="82"/>
      <c r="K529" s="82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</row>
    <row r="530" spans="1:26">
      <c r="A530" s="81"/>
      <c r="F530" s="81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</row>
    <row r="531" spans="1:26">
      <c r="A531" s="81"/>
      <c r="F531" s="81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  <c r="S531" s="82"/>
      <c r="T531" s="82"/>
      <c r="U531" s="82"/>
      <c r="V531" s="82"/>
      <c r="W531" s="82"/>
      <c r="X531" s="82"/>
      <c r="Y531" s="82"/>
      <c r="Z531" s="82"/>
    </row>
    <row r="532" spans="1:26">
      <c r="A532" s="81"/>
      <c r="F532" s="81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82"/>
      <c r="Z532" s="82"/>
    </row>
    <row r="533" spans="1:26">
      <c r="A533" s="81"/>
      <c r="F533" s="81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  <c r="S533" s="82"/>
      <c r="T533" s="82"/>
      <c r="U533" s="82"/>
      <c r="V533" s="82"/>
      <c r="W533" s="82"/>
      <c r="X533" s="82"/>
      <c r="Y533" s="82"/>
      <c r="Z533" s="82"/>
    </row>
    <row r="534" spans="1:26">
      <c r="A534" s="81"/>
      <c r="F534" s="81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82"/>
      <c r="Z534" s="82"/>
    </row>
    <row r="535" spans="1:26">
      <c r="A535" s="81"/>
      <c r="F535" s="81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  <c r="S535" s="82"/>
      <c r="T535" s="82"/>
      <c r="U535" s="82"/>
      <c r="V535" s="82"/>
      <c r="W535" s="82"/>
      <c r="X535" s="82"/>
      <c r="Y535" s="82"/>
      <c r="Z535" s="82"/>
    </row>
    <row r="536" spans="1:26">
      <c r="A536" s="81"/>
      <c r="F536" s="81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82"/>
      <c r="Z536" s="82"/>
    </row>
    <row r="537" spans="1:26">
      <c r="A537" s="81"/>
      <c r="F537" s="81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  <c r="S537" s="82"/>
      <c r="T537" s="82"/>
      <c r="U537" s="82"/>
      <c r="V537" s="82"/>
      <c r="W537" s="82"/>
      <c r="X537" s="82"/>
      <c r="Y537" s="82"/>
      <c r="Z537" s="82"/>
    </row>
    <row r="538" spans="1:26">
      <c r="A538" s="81"/>
      <c r="F538" s="81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82"/>
      <c r="Z538" s="82"/>
    </row>
    <row r="539" spans="1:26">
      <c r="A539" s="81"/>
      <c r="F539" s="81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  <c r="S539" s="82"/>
      <c r="T539" s="82"/>
      <c r="U539" s="82"/>
      <c r="V539" s="82"/>
      <c r="W539" s="82"/>
      <c r="X539" s="82"/>
      <c r="Y539" s="82"/>
      <c r="Z539" s="82"/>
    </row>
    <row r="540" spans="1:26">
      <c r="A540" s="81"/>
      <c r="F540" s="81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82"/>
      <c r="Z540" s="82"/>
    </row>
    <row r="541" spans="1:26">
      <c r="A541" s="81"/>
      <c r="F541" s="81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  <c r="S541" s="82"/>
      <c r="T541" s="82"/>
      <c r="U541" s="82"/>
      <c r="V541" s="82"/>
      <c r="W541" s="82"/>
      <c r="X541" s="82"/>
      <c r="Y541" s="82"/>
      <c r="Z541" s="82"/>
    </row>
    <row r="542" spans="1:26">
      <c r="A542" s="81"/>
      <c r="F542" s="81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82"/>
      <c r="Z542" s="82"/>
    </row>
    <row r="543" spans="1:26">
      <c r="A543" s="81"/>
      <c r="F543" s="81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  <c r="S543" s="82"/>
      <c r="T543" s="82"/>
      <c r="U543" s="82"/>
      <c r="V543" s="82"/>
      <c r="W543" s="82"/>
      <c r="X543" s="82"/>
      <c r="Y543" s="82"/>
      <c r="Z543" s="82"/>
    </row>
    <row r="544" spans="1:26">
      <c r="A544" s="81"/>
      <c r="F544" s="81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82"/>
      <c r="Z544" s="82"/>
    </row>
    <row r="545" spans="1:26">
      <c r="A545" s="81"/>
      <c r="F545" s="81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  <c r="S545" s="82"/>
      <c r="T545" s="82"/>
      <c r="U545" s="82"/>
      <c r="V545" s="82"/>
      <c r="W545" s="82"/>
      <c r="X545" s="82"/>
      <c r="Y545" s="82"/>
      <c r="Z545" s="82"/>
    </row>
    <row r="546" spans="1:26">
      <c r="A546" s="81"/>
      <c r="F546" s="81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82"/>
      <c r="Z546" s="82"/>
    </row>
    <row r="547" spans="1:26">
      <c r="A547" s="81"/>
      <c r="F547" s="81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  <c r="S547" s="82"/>
      <c r="T547" s="82"/>
      <c r="U547" s="82"/>
      <c r="V547" s="82"/>
      <c r="W547" s="82"/>
      <c r="X547" s="82"/>
      <c r="Y547" s="82"/>
      <c r="Z547" s="82"/>
    </row>
    <row r="548" spans="1:26">
      <c r="A548" s="81"/>
      <c r="F548" s="81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</row>
    <row r="549" spans="1:26">
      <c r="A549" s="81"/>
      <c r="F549" s="81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  <c r="S549" s="82"/>
      <c r="T549" s="82"/>
      <c r="U549" s="82"/>
      <c r="V549" s="82"/>
      <c r="W549" s="82"/>
      <c r="X549" s="82"/>
      <c r="Y549" s="82"/>
      <c r="Z549" s="82"/>
    </row>
    <row r="550" spans="1:26">
      <c r="A550" s="81"/>
      <c r="F550" s="81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82"/>
      <c r="Z550" s="82"/>
    </row>
    <row r="551" spans="1:26">
      <c r="A551" s="81"/>
      <c r="F551" s="81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  <c r="S551" s="82"/>
      <c r="T551" s="82"/>
      <c r="U551" s="82"/>
      <c r="V551" s="82"/>
      <c r="W551" s="82"/>
      <c r="X551" s="82"/>
      <c r="Y551" s="82"/>
      <c r="Z551" s="82"/>
    </row>
    <row r="552" spans="1:26">
      <c r="A552" s="81"/>
      <c r="F552" s="81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82"/>
      <c r="Z552" s="82"/>
    </row>
    <row r="553" spans="1:26">
      <c r="A553" s="81"/>
      <c r="F553" s="81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  <c r="S553" s="82"/>
      <c r="T553" s="82"/>
      <c r="U553" s="82"/>
      <c r="V553" s="82"/>
      <c r="W553" s="82"/>
      <c r="X553" s="82"/>
      <c r="Y553" s="82"/>
      <c r="Z553" s="82"/>
    </row>
    <row r="554" spans="1:26">
      <c r="A554" s="81"/>
      <c r="F554" s="81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82"/>
      <c r="Z554" s="82"/>
    </row>
    <row r="555" spans="1:26">
      <c r="A555" s="81"/>
      <c r="F555" s="81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  <c r="S555" s="82"/>
      <c r="T555" s="82"/>
      <c r="U555" s="82"/>
      <c r="V555" s="82"/>
      <c r="W555" s="82"/>
      <c r="X555" s="82"/>
      <c r="Y555" s="82"/>
      <c r="Z555" s="82"/>
    </row>
    <row r="556" spans="1:26">
      <c r="A556" s="81"/>
      <c r="F556" s="81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82"/>
      <c r="Z556" s="82"/>
    </row>
    <row r="557" spans="1:26">
      <c r="A557" s="81"/>
      <c r="F557" s="81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  <c r="S557" s="82"/>
      <c r="T557" s="82"/>
      <c r="U557" s="82"/>
      <c r="V557" s="82"/>
      <c r="W557" s="82"/>
      <c r="X557" s="82"/>
      <c r="Y557" s="82"/>
      <c r="Z557" s="82"/>
    </row>
    <row r="558" spans="1:26">
      <c r="A558" s="81"/>
      <c r="F558" s="81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82"/>
      <c r="Z558" s="82"/>
    </row>
    <row r="559" spans="1:26">
      <c r="A559" s="81"/>
      <c r="F559" s="81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  <c r="S559" s="82"/>
      <c r="T559" s="82"/>
      <c r="U559" s="82"/>
      <c r="V559" s="82"/>
      <c r="W559" s="82"/>
      <c r="X559" s="82"/>
      <c r="Y559" s="82"/>
      <c r="Z559" s="82"/>
    </row>
    <row r="560" spans="1:26">
      <c r="A560" s="81"/>
      <c r="F560" s="81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82"/>
      <c r="Z560" s="82"/>
    </row>
    <row r="561" spans="1:26">
      <c r="A561" s="81"/>
      <c r="F561" s="81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  <c r="S561" s="82"/>
      <c r="T561" s="82"/>
      <c r="U561" s="82"/>
      <c r="V561" s="82"/>
      <c r="W561" s="82"/>
      <c r="X561" s="82"/>
      <c r="Y561" s="82"/>
      <c r="Z561" s="82"/>
    </row>
    <row r="562" spans="1:26">
      <c r="A562" s="81"/>
      <c r="F562" s="81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82"/>
      <c r="Z562" s="82"/>
    </row>
    <row r="563" spans="1:26">
      <c r="A563" s="81"/>
      <c r="F563" s="81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  <c r="S563" s="82"/>
      <c r="T563" s="82"/>
      <c r="U563" s="82"/>
      <c r="V563" s="82"/>
      <c r="W563" s="82"/>
      <c r="X563" s="82"/>
      <c r="Y563" s="82"/>
      <c r="Z563" s="82"/>
    </row>
    <row r="564" spans="1:26">
      <c r="A564" s="81"/>
      <c r="F564" s="81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82"/>
      <c r="Z564" s="82"/>
    </row>
    <row r="565" spans="1:26">
      <c r="A565" s="81"/>
      <c r="F565" s="81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</row>
    <row r="566" spans="1:26">
      <c r="A566" s="81"/>
      <c r="F566" s="81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82"/>
      <c r="Z566" s="82"/>
    </row>
    <row r="567" spans="1:26">
      <c r="A567" s="81"/>
      <c r="F567" s="81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  <c r="S567" s="82"/>
      <c r="T567" s="82"/>
      <c r="U567" s="82"/>
      <c r="V567" s="82"/>
      <c r="W567" s="82"/>
      <c r="X567" s="82"/>
      <c r="Y567" s="82"/>
      <c r="Z567" s="82"/>
    </row>
    <row r="568" spans="1:26">
      <c r="A568" s="81"/>
      <c r="F568" s="81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82"/>
      <c r="Z568" s="82"/>
    </row>
    <row r="569" spans="1:26">
      <c r="A569" s="81"/>
      <c r="F569" s="81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  <c r="S569" s="82"/>
      <c r="T569" s="82"/>
      <c r="U569" s="82"/>
      <c r="V569" s="82"/>
      <c r="W569" s="82"/>
      <c r="X569" s="82"/>
      <c r="Y569" s="82"/>
      <c r="Z569" s="82"/>
    </row>
    <row r="570" spans="1:26">
      <c r="A570" s="81"/>
      <c r="F570" s="81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82"/>
      <c r="Z570" s="82"/>
    </row>
    <row r="571" spans="1:26">
      <c r="A571" s="81"/>
      <c r="F571" s="81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  <c r="S571" s="82"/>
      <c r="T571" s="82"/>
      <c r="U571" s="82"/>
      <c r="V571" s="82"/>
      <c r="W571" s="82"/>
      <c r="X571" s="82"/>
      <c r="Y571" s="82"/>
      <c r="Z571" s="82"/>
    </row>
    <row r="572" spans="1:26">
      <c r="A572" s="81"/>
      <c r="F572" s="81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82"/>
      <c r="Z572" s="82"/>
    </row>
    <row r="573" spans="1:26">
      <c r="A573" s="81"/>
      <c r="F573" s="81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  <c r="S573" s="82"/>
      <c r="T573" s="82"/>
      <c r="U573" s="82"/>
      <c r="V573" s="82"/>
      <c r="W573" s="82"/>
      <c r="X573" s="82"/>
      <c r="Y573" s="82"/>
      <c r="Z573" s="82"/>
    </row>
    <row r="574" spans="1:26">
      <c r="A574" s="81"/>
      <c r="F574" s="81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82"/>
      <c r="Z574" s="82"/>
    </row>
    <row r="575" spans="1:26">
      <c r="A575" s="81"/>
      <c r="F575" s="81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  <c r="S575" s="82"/>
      <c r="T575" s="82"/>
      <c r="U575" s="82"/>
      <c r="V575" s="82"/>
      <c r="W575" s="82"/>
      <c r="X575" s="82"/>
      <c r="Y575" s="82"/>
      <c r="Z575" s="82"/>
    </row>
    <row r="576" spans="1:26">
      <c r="A576" s="81"/>
      <c r="F576" s="81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82"/>
      <c r="Z576" s="82"/>
    </row>
    <row r="577" spans="1:26">
      <c r="A577" s="81"/>
      <c r="F577" s="81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  <c r="S577" s="82"/>
      <c r="T577" s="82"/>
      <c r="U577" s="82"/>
      <c r="V577" s="82"/>
      <c r="W577" s="82"/>
      <c r="X577" s="82"/>
      <c r="Y577" s="82"/>
      <c r="Z577" s="82"/>
    </row>
    <row r="578" spans="1:26">
      <c r="A578" s="81"/>
      <c r="F578" s="81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82"/>
      <c r="Z578" s="82"/>
    </row>
    <row r="579" spans="1:26">
      <c r="A579" s="81"/>
      <c r="F579" s="81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  <c r="S579" s="82"/>
      <c r="T579" s="82"/>
      <c r="U579" s="82"/>
      <c r="V579" s="82"/>
      <c r="W579" s="82"/>
      <c r="X579" s="82"/>
      <c r="Y579" s="82"/>
      <c r="Z579" s="82"/>
    </row>
    <row r="580" spans="1:26">
      <c r="A580" s="81"/>
      <c r="F580" s="81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82"/>
      <c r="Z580" s="82"/>
    </row>
    <row r="581" spans="1:26">
      <c r="A581" s="81"/>
      <c r="F581" s="81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  <c r="S581" s="82"/>
      <c r="T581" s="82"/>
      <c r="U581" s="82"/>
      <c r="V581" s="82"/>
      <c r="W581" s="82"/>
      <c r="X581" s="82"/>
      <c r="Y581" s="82"/>
      <c r="Z581" s="82"/>
    </row>
    <row r="582" spans="1:26">
      <c r="A582" s="81"/>
      <c r="F582" s="81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82"/>
      <c r="Z582" s="82"/>
    </row>
    <row r="583" spans="1:26">
      <c r="A583" s="81"/>
      <c r="F583" s="81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  <c r="S583" s="82"/>
      <c r="T583" s="82"/>
      <c r="U583" s="82"/>
      <c r="V583" s="82"/>
      <c r="W583" s="82"/>
      <c r="X583" s="82"/>
      <c r="Y583" s="82"/>
      <c r="Z583" s="82"/>
    </row>
    <row r="584" spans="1:26">
      <c r="A584" s="81"/>
      <c r="F584" s="81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82"/>
      <c r="Z584" s="82"/>
    </row>
    <row r="585" spans="1:26">
      <c r="A585" s="81"/>
      <c r="F585" s="81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  <c r="S585" s="82"/>
      <c r="T585" s="82"/>
      <c r="U585" s="82"/>
      <c r="V585" s="82"/>
      <c r="W585" s="82"/>
      <c r="X585" s="82"/>
      <c r="Y585" s="82"/>
      <c r="Z585" s="82"/>
    </row>
    <row r="586" spans="1:26">
      <c r="A586" s="81"/>
      <c r="F586" s="81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82"/>
      <c r="Z586" s="82"/>
    </row>
    <row r="587" spans="1:26">
      <c r="A587" s="81"/>
      <c r="F587" s="81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  <c r="S587" s="82"/>
      <c r="T587" s="82"/>
      <c r="U587" s="82"/>
      <c r="V587" s="82"/>
      <c r="W587" s="82"/>
      <c r="X587" s="82"/>
      <c r="Y587" s="82"/>
      <c r="Z587" s="82"/>
    </row>
    <row r="588" spans="1:26">
      <c r="A588" s="81"/>
      <c r="F588" s="81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82"/>
      <c r="Z588" s="82"/>
    </row>
    <row r="589" spans="1:26">
      <c r="A589" s="81"/>
      <c r="F589" s="81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  <c r="S589" s="82"/>
      <c r="T589" s="82"/>
      <c r="U589" s="82"/>
      <c r="V589" s="82"/>
      <c r="W589" s="82"/>
      <c r="X589" s="82"/>
      <c r="Y589" s="82"/>
      <c r="Z589" s="82"/>
    </row>
    <row r="590" spans="1:26">
      <c r="A590" s="81"/>
      <c r="F590" s="81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82"/>
      <c r="Z590" s="82"/>
    </row>
    <row r="591" spans="1:26">
      <c r="A591" s="81"/>
      <c r="F591" s="81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  <c r="S591" s="82"/>
      <c r="T591" s="82"/>
      <c r="U591" s="82"/>
      <c r="V591" s="82"/>
      <c r="W591" s="82"/>
      <c r="X591" s="82"/>
      <c r="Y591" s="82"/>
      <c r="Z591" s="82"/>
    </row>
    <row r="592" spans="1:26">
      <c r="A592" s="81"/>
      <c r="F592" s="81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82"/>
      <c r="Z592" s="82"/>
    </row>
    <row r="593" spans="1:26">
      <c r="A593" s="81"/>
      <c r="F593" s="81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  <c r="S593" s="82"/>
      <c r="T593" s="82"/>
      <c r="U593" s="82"/>
      <c r="V593" s="82"/>
      <c r="W593" s="82"/>
      <c r="X593" s="82"/>
      <c r="Y593" s="82"/>
      <c r="Z593" s="82"/>
    </row>
    <row r="594" spans="1:26">
      <c r="A594" s="81"/>
      <c r="F594" s="81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82"/>
      <c r="Z594" s="82"/>
    </row>
    <row r="595" spans="1:26">
      <c r="A595" s="81"/>
      <c r="F595" s="81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  <c r="S595" s="82"/>
      <c r="T595" s="82"/>
      <c r="U595" s="82"/>
      <c r="V595" s="82"/>
      <c r="W595" s="82"/>
      <c r="X595" s="82"/>
      <c r="Y595" s="82"/>
      <c r="Z595" s="82"/>
    </row>
    <row r="596" spans="1:26">
      <c r="A596" s="81"/>
      <c r="F596" s="81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82"/>
      <c r="Z596" s="82"/>
    </row>
    <row r="597" spans="1:26">
      <c r="A597" s="81"/>
      <c r="F597" s="81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  <c r="S597" s="82"/>
      <c r="T597" s="82"/>
      <c r="U597" s="82"/>
      <c r="V597" s="82"/>
      <c r="W597" s="82"/>
      <c r="X597" s="82"/>
      <c r="Y597" s="82"/>
      <c r="Z597" s="82"/>
    </row>
    <row r="598" spans="1:26">
      <c r="A598" s="81"/>
      <c r="F598" s="81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82"/>
      <c r="Z598" s="82"/>
    </row>
    <row r="599" spans="1:26">
      <c r="A599" s="81"/>
      <c r="F599" s="81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  <c r="S599" s="82"/>
      <c r="T599" s="82"/>
      <c r="U599" s="82"/>
      <c r="V599" s="82"/>
      <c r="W599" s="82"/>
      <c r="X599" s="82"/>
      <c r="Y599" s="82"/>
      <c r="Z599" s="82"/>
    </row>
    <row r="600" spans="1:26">
      <c r="A600" s="81"/>
      <c r="F600" s="81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82"/>
      <c r="Z600" s="82"/>
    </row>
    <row r="601" spans="1:26">
      <c r="A601" s="81"/>
      <c r="F601" s="81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  <c r="S601" s="82"/>
      <c r="T601" s="82"/>
      <c r="U601" s="82"/>
      <c r="V601" s="82"/>
      <c r="W601" s="82"/>
      <c r="X601" s="82"/>
      <c r="Y601" s="82"/>
      <c r="Z601" s="82"/>
    </row>
    <row r="602" spans="1:26">
      <c r="A602" s="81"/>
      <c r="F602" s="81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82"/>
      <c r="Z602" s="82"/>
    </row>
    <row r="603" spans="1:26">
      <c r="A603" s="81"/>
      <c r="F603" s="81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  <c r="S603" s="82"/>
      <c r="T603" s="82"/>
      <c r="U603" s="82"/>
      <c r="V603" s="82"/>
      <c r="W603" s="82"/>
      <c r="X603" s="82"/>
      <c r="Y603" s="82"/>
      <c r="Z603" s="82"/>
    </row>
    <row r="604" spans="1:26">
      <c r="A604" s="81"/>
      <c r="F604" s="81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82"/>
      <c r="Z604" s="82"/>
    </row>
    <row r="605" spans="1:26">
      <c r="A605" s="81"/>
      <c r="F605" s="81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  <c r="S605" s="82"/>
      <c r="T605" s="82"/>
      <c r="U605" s="82"/>
      <c r="V605" s="82"/>
      <c r="W605" s="82"/>
      <c r="X605" s="82"/>
      <c r="Y605" s="82"/>
      <c r="Z605" s="82"/>
    </row>
    <row r="606" spans="1:26">
      <c r="A606" s="81"/>
      <c r="F606" s="81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</row>
    <row r="607" spans="1:26">
      <c r="A607" s="81"/>
      <c r="F607" s="81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  <c r="S607" s="82"/>
      <c r="T607" s="82"/>
      <c r="U607" s="82"/>
      <c r="V607" s="82"/>
      <c r="W607" s="82"/>
      <c r="X607" s="82"/>
      <c r="Y607" s="82"/>
      <c r="Z607" s="82"/>
    </row>
    <row r="608" spans="1:26">
      <c r="A608" s="81"/>
      <c r="F608" s="81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82"/>
      <c r="Z608" s="82"/>
    </row>
    <row r="609" spans="1:26">
      <c r="A609" s="81"/>
      <c r="F609" s="81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  <c r="S609" s="82"/>
      <c r="T609" s="82"/>
      <c r="U609" s="82"/>
      <c r="V609" s="82"/>
      <c r="W609" s="82"/>
      <c r="X609" s="82"/>
      <c r="Y609" s="82"/>
      <c r="Z609" s="82"/>
    </row>
    <row r="610" spans="1:26">
      <c r="A610" s="81"/>
      <c r="F610" s="81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82"/>
      <c r="Z610" s="82"/>
    </row>
    <row r="611" spans="1:26">
      <c r="A611" s="81"/>
      <c r="F611" s="81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  <c r="S611" s="82"/>
      <c r="T611" s="82"/>
      <c r="U611" s="82"/>
      <c r="V611" s="82"/>
      <c r="W611" s="82"/>
      <c r="X611" s="82"/>
      <c r="Y611" s="82"/>
      <c r="Z611" s="82"/>
    </row>
    <row r="612" spans="1:26">
      <c r="A612" s="81"/>
      <c r="F612" s="81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82"/>
      <c r="Z612" s="82"/>
    </row>
    <row r="613" spans="1:26">
      <c r="A613" s="81"/>
      <c r="F613" s="81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  <c r="S613" s="82"/>
      <c r="T613" s="82"/>
      <c r="U613" s="82"/>
      <c r="V613" s="82"/>
      <c r="W613" s="82"/>
      <c r="X613" s="82"/>
      <c r="Y613" s="82"/>
      <c r="Z613" s="82"/>
    </row>
    <row r="614" spans="1:26">
      <c r="A614" s="81"/>
      <c r="F614" s="81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82"/>
      <c r="Z614" s="82"/>
    </row>
    <row r="615" spans="1:26">
      <c r="A615" s="81"/>
      <c r="F615" s="81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  <c r="S615" s="82"/>
      <c r="T615" s="82"/>
      <c r="U615" s="82"/>
      <c r="V615" s="82"/>
      <c r="W615" s="82"/>
      <c r="X615" s="82"/>
      <c r="Y615" s="82"/>
      <c r="Z615" s="82"/>
    </row>
    <row r="616" spans="1:26">
      <c r="A616" s="81"/>
      <c r="F616" s="81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82"/>
      <c r="Z616" s="82"/>
    </row>
    <row r="617" spans="1:26">
      <c r="A617" s="81"/>
      <c r="F617" s="81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  <c r="S617" s="82"/>
      <c r="T617" s="82"/>
      <c r="U617" s="82"/>
      <c r="V617" s="82"/>
      <c r="W617" s="82"/>
      <c r="X617" s="82"/>
      <c r="Y617" s="82"/>
      <c r="Z617" s="82"/>
    </row>
    <row r="618" spans="1:26">
      <c r="A618" s="81"/>
      <c r="F618" s="81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82"/>
      <c r="Z618" s="82"/>
    </row>
    <row r="619" spans="1:26">
      <c r="A619" s="81"/>
      <c r="F619" s="81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  <c r="S619" s="82"/>
      <c r="T619" s="82"/>
      <c r="U619" s="82"/>
      <c r="V619" s="82"/>
      <c r="W619" s="82"/>
      <c r="X619" s="82"/>
      <c r="Y619" s="82"/>
      <c r="Z619" s="82"/>
    </row>
    <row r="620" spans="1:26">
      <c r="A620" s="81"/>
      <c r="F620" s="81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82"/>
      <c r="Z620" s="82"/>
    </row>
    <row r="621" spans="1:26">
      <c r="A621" s="81"/>
      <c r="F621" s="81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  <c r="S621" s="82"/>
      <c r="T621" s="82"/>
      <c r="U621" s="82"/>
      <c r="V621" s="82"/>
      <c r="W621" s="82"/>
      <c r="X621" s="82"/>
      <c r="Y621" s="82"/>
      <c r="Z621" s="82"/>
    </row>
    <row r="622" spans="1:26">
      <c r="A622" s="81"/>
      <c r="F622" s="81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</row>
    <row r="623" spans="1:26">
      <c r="A623" s="81"/>
      <c r="F623" s="81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  <c r="S623" s="82"/>
      <c r="T623" s="82"/>
      <c r="U623" s="82"/>
      <c r="V623" s="82"/>
      <c r="W623" s="82"/>
      <c r="X623" s="82"/>
      <c r="Y623" s="82"/>
      <c r="Z623" s="82"/>
    </row>
    <row r="624" spans="1:26">
      <c r="A624" s="81"/>
      <c r="F624" s="81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82"/>
      <c r="Z624" s="82"/>
    </row>
    <row r="625" spans="1:26">
      <c r="A625" s="81"/>
      <c r="F625" s="81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  <c r="S625" s="82"/>
      <c r="T625" s="82"/>
      <c r="U625" s="82"/>
      <c r="V625" s="82"/>
      <c r="W625" s="82"/>
      <c r="X625" s="82"/>
      <c r="Y625" s="82"/>
      <c r="Z625" s="82"/>
    </row>
    <row r="626" spans="1:26">
      <c r="A626" s="81"/>
      <c r="F626" s="81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82"/>
      <c r="Z626" s="82"/>
    </row>
    <row r="627" spans="1:26">
      <c r="A627" s="81"/>
      <c r="F627" s="81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  <c r="S627" s="82"/>
      <c r="T627" s="82"/>
      <c r="U627" s="82"/>
      <c r="V627" s="82"/>
      <c r="W627" s="82"/>
      <c r="X627" s="82"/>
      <c r="Y627" s="82"/>
      <c r="Z627" s="82"/>
    </row>
    <row r="628" spans="1:26">
      <c r="A628" s="81"/>
      <c r="F628" s="81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82"/>
      <c r="Z628" s="82"/>
    </row>
    <row r="629" spans="1:26">
      <c r="A629" s="81"/>
      <c r="F629" s="81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  <c r="S629" s="82"/>
      <c r="T629" s="82"/>
      <c r="U629" s="82"/>
      <c r="V629" s="82"/>
      <c r="W629" s="82"/>
      <c r="X629" s="82"/>
      <c r="Y629" s="82"/>
      <c r="Z629" s="82"/>
    </row>
    <row r="630" spans="1:26">
      <c r="A630" s="81"/>
      <c r="F630" s="81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</row>
    <row r="631" spans="1:26">
      <c r="A631" s="81"/>
      <c r="F631" s="81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</row>
    <row r="632" spans="1:26">
      <c r="A632" s="81"/>
      <c r="F632" s="81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</row>
    <row r="633" spans="1:26">
      <c r="A633" s="81"/>
      <c r="F633" s="81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</row>
    <row r="634" spans="1:26">
      <c r="A634" s="81"/>
      <c r="F634" s="81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</row>
    <row r="635" spans="1:26">
      <c r="A635" s="81"/>
      <c r="F635" s="81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</row>
    <row r="636" spans="1:26">
      <c r="A636" s="81"/>
      <c r="F636" s="81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</row>
    <row r="637" spans="1:26">
      <c r="A637" s="81"/>
      <c r="F637" s="81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</row>
    <row r="638" spans="1:26">
      <c r="A638" s="81"/>
      <c r="F638" s="81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</row>
    <row r="639" spans="1:26">
      <c r="A639" s="81"/>
      <c r="F639" s="81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</row>
    <row r="640" spans="1:26">
      <c r="A640" s="81"/>
      <c r="F640" s="81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</row>
    <row r="641" spans="1:26">
      <c r="A641" s="81"/>
      <c r="F641" s="81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</row>
    <row r="642" spans="1:26">
      <c r="A642" s="81"/>
      <c r="F642" s="81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</row>
    <row r="643" spans="1:26">
      <c r="A643" s="81"/>
      <c r="F643" s="81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</row>
    <row r="644" spans="1:26">
      <c r="A644" s="81"/>
      <c r="F644" s="81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</row>
    <row r="645" spans="1:26">
      <c r="A645" s="81"/>
      <c r="F645" s="81"/>
      <c r="G645" s="82"/>
      <c r="H645" s="82"/>
      <c r="I645" s="82"/>
      <c r="J645" s="82"/>
      <c r="K645" s="82"/>
      <c r="L645" s="82"/>
      <c r="M645" s="82"/>
      <c r="N645" s="82"/>
      <c r="O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</row>
    <row r="646" spans="1:26">
      <c r="A646" s="81"/>
      <c r="F646" s="81"/>
      <c r="G646" s="82"/>
      <c r="H646" s="82"/>
      <c r="I646" s="82"/>
      <c r="J646" s="82"/>
      <c r="K646" s="82"/>
      <c r="L646" s="82"/>
      <c r="M646" s="82"/>
      <c r="N646" s="82"/>
      <c r="O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</row>
    <row r="647" spans="1:26">
      <c r="A647" s="81"/>
      <c r="F647" s="81"/>
      <c r="G647" s="82"/>
      <c r="H647" s="82"/>
      <c r="I647" s="82"/>
      <c r="J647" s="82"/>
      <c r="K647" s="82"/>
      <c r="L647" s="82"/>
      <c r="M647" s="82"/>
      <c r="N647" s="82"/>
      <c r="O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</row>
    <row r="648" spans="1:26">
      <c r="A648" s="81"/>
      <c r="F648" s="81"/>
      <c r="G648" s="82"/>
      <c r="H648" s="82"/>
      <c r="I648" s="82"/>
      <c r="J648" s="82"/>
      <c r="K648" s="82"/>
      <c r="L648" s="82"/>
      <c r="M648" s="82"/>
      <c r="N648" s="82"/>
      <c r="O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</row>
    <row r="649" spans="1:26">
      <c r="A649" s="81"/>
      <c r="F649" s="81"/>
      <c r="G649" s="82"/>
      <c r="H649" s="82"/>
      <c r="I649" s="82"/>
      <c r="J649" s="82"/>
      <c r="K649" s="82"/>
      <c r="L649" s="82"/>
      <c r="M649" s="82"/>
      <c r="N649" s="82"/>
      <c r="O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</row>
    <row r="650" spans="1:26">
      <c r="A650" s="81"/>
      <c r="F650" s="81"/>
      <c r="G650" s="82"/>
      <c r="H650" s="82"/>
      <c r="I650" s="82"/>
      <c r="J650" s="82"/>
      <c r="K650" s="82"/>
      <c r="L650" s="82"/>
      <c r="M650" s="82"/>
      <c r="N650" s="82"/>
      <c r="O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</row>
    <row r="651" spans="1:26">
      <c r="A651" s="81"/>
      <c r="F651" s="81"/>
      <c r="G651" s="82"/>
      <c r="H651" s="82"/>
      <c r="I651" s="82"/>
      <c r="J651" s="82"/>
      <c r="K651" s="82"/>
      <c r="L651" s="82"/>
      <c r="M651" s="82"/>
      <c r="N651" s="82"/>
      <c r="O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</row>
    <row r="652" spans="1:26">
      <c r="A652" s="81"/>
      <c r="F652" s="81"/>
      <c r="G652" s="82"/>
      <c r="H652" s="82"/>
      <c r="I652" s="82"/>
      <c r="J652" s="82"/>
      <c r="K652" s="82"/>
      <c r="L652" s="82"/>
      <c r="M652" s="82"/>
      <c r="N652" s="82"/>
      <c r="O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</row>
    <row r="653" spans="1:26">
      <c r="A653" s="81"/>
      <c r="F653" s="81"/>
      <c r="G653" s="82"/>
      <c r="H653" s="82"/>
      <c r="I653" s="82"/>
      <c r="J653" s="82"/>
      <c r="K653" s="82"/>
      <c r="L653" s="82"/>
      <c r="M653" s="82"/>
      <c r="N653" s="82"/>
      <c r="O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</row>
    <row r="654" spans="1:26">
      <c r="A654" s="81"/>
      <c r="F654" s="81"/>
      <c r="G654" s="82"/>
      <c r="H654" s="82"/>
      <c r="I654" s="82"/>
      <c r="J654" s="82"/>
      <c r="K654" s="82"/>
      <c r="L654" s="82"/>
      <c r="M654" s="82"/>
      <c r="N654" s="82"/>
      <c r="O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</row>
    <row r="655" spans="1:26">
      <c r="A655" s="81"/>
      <c r="F655" s="81"/>
      <c r="G655" s="82"/>
      <c r="H655" s="82"/>
      <c r="I655" s="82"/>
      <c r="J655" s="82"/>
      <c r="K655" s="82"/>
      <c r="L655" s="82"/>
      <c r="M655" s="82"/>
      <c r="N655" s="82"/>
      <c r="O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</row>
    <row r="656" spans="1:26">
      <c r="A656" s="81"/>
      <c r="F656" s="81"/>
      <c r="G656" s="82"/>
      <c r="H656" s="82"/>
      <c r="I656" s="82"/>
      <c r="J656" s="82"/>
      <c r="K656" s="82"/>
      <c r="L656" s="82"/>
      <c r="M656" s="82"/>
      <c r="N656" s="82"/>
      <c r="O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</row>
    <row r="657" spans="1:26">
      <c r="A657" s="81"/>
      <c r="F657" s="81"/>
      <c r="G657" s="82"/>
      <c r="H657" s="82"/>
      <c r="I657" s="82"/>
      <c r="J657" s="82"/>
      <c r="K657" s="82"/>
      <c r="L657" s="82"/>
      <c r="M657" s="82"/>
      <c r="N657" s="82"/>
      <c r="O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</row>
    <row r="658" spans="1:26">
      <c r="A658" s="81"/>
      <c r="F658" s="81"/>
      <c r="G658" s="82"/>
      <c r="H658" s="82"/>
      <c r="I658" s="82"/>
      <c r="J658" s="82"/>
      <c r="K658" s="82"/>
      <c r="L658" s="82"/>
      <c r="M658" s="82"/>
      <c r="N658" s="82"/>
      <c r="O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</row>
    <row r="659" spans="1:26">
      <c r="A659" s="81"/>
      <c r="F659" s="81"/>
      <c r="G659" s="82"/>
      <c r="H659" s="82"/>
      <c r="I659" s="82"/>
      <c r="J659" s="82"/>
      <c r="K659" s="82"/>
      <c r="L659" s="82"/>
      <c r="M659" s="82"/>
      <c r="N659" s="82"/>
      <c r="O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</row>
    <row r="660" spans="1:26">
      <c r="A660" s="81"/>
      <c r="F660" s="81"/>
      <c r="G660" s="82"/>
      <c r="H660" s="82"/>
      <c r="I660" s="82"/>
      <c r="J660" s="82"/>
      <c r="K660" s="82"/>
      <c r="L660" s="82"/>
      <c r="M660" s="82"/>
      <c r="N660" s="82"/>
      <c r="O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</row>
    <row r="661" spans="1:26">
      <c r="A661" s="81"/>
      <c r="F661" s="81"/>
      <c r="G661" s="82"/>
      <c r="H661" s="82"/>
      <c r="I661" s="82"/>
      <c r="J661" s="82"/>
      <c r="K661" s="82"/>
      <c r="L661" s="82"/>
      <c r="M661" s="82"/>
      <c r="N661" s="82"/>
      <c r="O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</row>
    <row r="662" spans="1:26">
      <c r="A662" s="81"/>
      <c r="F662" s="81"/>
      <c r="G662" s="82"/>
      <c r="H662" s="82"/>
      <c r="I662" s="82"/>
      <c r="J662" s="82"/>
      <c r="K662" s="82"/>
      <c r="L662" s="82"/>
      <c r="M662" s="82"/>
      <c r="N662" s="82"/>
      <c r="O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</row>
    <row r="663" spans="1:26">
      <c r="A663" s="81"/>
      <c r="F663" s="81"/>
      <c r="G663" s="82"/>
      <c r="H663" s="82"/>
      <c r="I663" s="82"/>
      <c r="J663" s="82"/>
      <c r="K663" s="82"/>
      <c r="L663" s="82"/>
      <c r="M663" s="82"/>
      <c r="N663" s="82"/>
      <c r="O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</row>
    <row r="664" spans="1:26">
      <c r="A664" s="81"/>
      <c r="F664" s="81"/>
      <c r="G664" s="82"/>
      <c r="H664" s="82"/>
      <c r="I664" s="82"/>
      <c r="J664" s="82"/>
      <c r="K664" s="82"/>
      <c r="L664" s="82"/>
      <c r="M664" s="82"/>
      <c r="N664" s="82"/>
      <c r="O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</row>
    <row r="665" spans="1:26">
      <c r="A665" s="81"/>
      <c r="F665" s="81"/>
      <c r="G665" s="82"/>
      <c r="H665" s="82"/>
      <c r="I665" s="82"/>
      <c r="J665" s="82"/>
      <c r="K665" s="82"/>
      <c r="L665" s="82"/>
      <c r="M665" s="82"/>
      <c r="N665" s="82"/>
      <c r="O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</row>
    <row r="666" spans="1:26">
      <c r="A666" s="81"/>
      <c r="F666" s="81"/>
      <c r="G666" s="82"/>
      <c r="H666" s="82"/>
      <c r="I666" s="82"/>
      <c r="J666" s="82"/>
      <c r="K666" s="82"/>
      <c r="L666" s="82"/>
      <c r="M666" s="82"/>
      <c r="N666" s="82"/>
      <c r="O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</row>
    <row r="667" spans="1:26">
      <c r="A667" s="81"/>
      <c r="F667" s="81"/>
      <c r="G667" s="82"/>
      <c r="H667" s="82"/>
      <c r="I667" s="82"/>
      <c r="J667" s="82"/>
      <c r="K667" s="82"/>
      <c r="L667" s="82"/>
      <c r="M667" s="82"/>
      <c r="N667" s="82"/>
      <c r="O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</row>
    <row r="668" spans="1:26">
      <c r="A668" s="81"/>
      <c r="F668" s="81"/>
      <c r="G668" s="82"/>
      <c r="H668" s="82"/>
      <c r="I668" s="82"/>
      <c r="J668" s="82"/>
      <c r="K668" s="82"/>
      <c r="L668" s="82"/>
      <c r="M668" s="82"/>
      <c r="N668" s="82"/>
      <c r="O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</row>
    <row r="669" spans="1:26">
      <c r="A669" s="81"/>
      <c r="F669" s="81"/>
      <c r="G669" s="82"/>
      <c r="H669" s="82"/>
      <c r="I669" s="82"/>
      <c r="J669" s="82"/>
      <c r="K669" s="82"/>
      <c r="L669" s="82"/>
      <c r="M669" s="82"/>
      <c r="N669" s="82"/>
      <c r="O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</row>
    <row r="670" spans="1:26">
      <c r="A670" s="81"/>
      <c r="F670" s="81"/>
      <c r="G670" s="82"/>
      <c r="H670" s="82"/>
      <c r="I670" s="82"/>
      <c r="J670" s="82"/>
      <c r="K670" s="82"/>
      <c r="L670" s="82"/>
      <c r="M670" s="82"/>
      <c r="N670" s="82"/>
      <c r="O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</row>
    <row r="671" spans="1:26">
      <c r="A671" s="81"/>
      <c r="F671" s="81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</row>
    <row r="672" spans="1:26">
      <c r="A672" s="81"/>
      <c r="F672" s="81"/>
      <c r="G672" s="82"/>
      <c r="H672" s="82"/>
      <c r="I672" s="82"/>
      <c r="J672" s="82"/>
      <c r="K672" s="82"/>
      <c r="L672" s="82"/>
      <c r="M672" s="82"/>
      <c r="N672" s="82"/>
      <c r="O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</row>
    <row r="673" spans="1:26">
      <c r="A673" s="81"/>
      <c r="F673" s="81"/>
      <c r="G673" s="82"/>
      <c r="H673" s="82"/>
      <c r="I673" s="82"/>
      <c r="J673" s="82"/>
      <c r="K673" s="82"/>
      <c r="L673" s="82"/>
      <c r="M673" s="82"/>
      <c r="N673" s="82"/>
      <c r="O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</row>
    <row r="674" spans="1:26">
      <c r="A674" s="81"/>
      <c r="F674" s="81"/>
      <c r="G674" s="82"/>
      <c r="H674" s="82"/>
      <c r="I674" s="82"/>
      <c r="J674" s="82"/>
      <c r="K674" s="82"/>
      <c r="L674" s="82"/>
      <c r="M674" s="82"/>
      <c r="N674" s="82"/>
      <c r="O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</row>
    <row r="675" spans="1:26">
      <c r="A675" s="81"/>
      <c r="F675" s="81"/>
      <c r="G675" s="82"/>
      <c r="H675" s="82"/>
      <c r="I675" s="82"/>
      <c r="J675" s="82"/>
      <c r="K675" s="82"/>
      <c r="L675" s="82"/>
      <c r="M675" s="82"/>
      <c r="N675" s="82"/>
      <c r="O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</row>
    <row r="676" spans="1:26">
      <c r="A676" s="81"/>
      <c r="F676" s="81"/>
      <c r="G676" s="82"/>
      <c r="H676" s="82"/>
      <c r="I676" s="82"/>
      <c r="J676" s="82"/>
      <c r="K676" s="82"/>
      <c r="L676" s="82"/>
      <c r="M676" s="82"/>
      <c r="N676" s="82"/>
      <c r="O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</row>
    <row r="677" spans="1:26">
      <c r="A677" s="81"/>
      <c r="F677" s="81"/>
      <c r="G677" s="82"/>
      <c r="H677" s="82"/>
      <c r="I677" s="82"/>
      <c r="J677" s="82"/>
      <c r="K677" s="82"/>
      <c r="L677" s="82"/>
      <c r="M677" s="82"/>
      <c r="N677" s="82"/>
      <c r="O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</row>
    <row r="678" spans="1:26">
      <c r="A678" s="81"/>
      <c r="F678" s="81"/>
      <c r="G678" s="82"/>
      <c r="H678" s="82"/>
      <c r="I678" s="82"/>
      <c r="J678" s="82"/>
      <c r="K678" s="82"/>
      <c r="L678" s="82"/>
      <c r="M678" s="82"/>
      <c r="N678" s="82"/>
      <c r="O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</row>
    <row r="679" spans="1:26">
      <c r="A679" s="81"/>
      <c r="F679" s="81"/>
      <c r="G679" s="82"/>
      <c r="H679" s="82"/>
      <c r="I679" s="82"/>
      <c r="J679" s="82"/>
      <c r="K679" s="82"/>
      <c r="L679" s="82"/>
      <c r="M679" s="82"/>
      <c r="N679" s="82"/>
      <c r="O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</row>
    <row r="680" spans="1:26">
      <c r="A680" s="81"/>
      <c r="F680" s="81"/>
      <c r="G680" s="82"/>
      <c r="H680" s="82"/>
      <c r="I680" s="82"/>
      <c r="J680" s="82"/>
      <c r="K680" s="82"/>
      <c r="L680" s="82"/>
      <c r="M680" s="82"/>
      <c r="N680" s="82"/>
      <c r="O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</row>
    <row r="681" spans="1:26">
      <c r="A681" s="81"/>
      <c r="F681" s="81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</row>
    <row r="682" spans="1:26">
      <c r="A682" s="81"/>
      <c r="F682" s="81"/>
      <c r="G682" s="82"/>
      <c r="H682" s="82"/>
      <c r="I682" s="82"/>
      <c r="J682" s="82"/>
      <c r="K682" s="82"/>
      <c r="L682" s="82"/>
      <c r="M682" s="82"/>
      <c r="N682" s="82"/>
      <c r="O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</row>
    <row r="683" spans="1:26">
      <c r="A683" s="81"/>
      <c r="F683" s="81"/>
      <c r="G683" s="82"/>
      <c r="H683" s="82"/>
      <c r="I683" s="82"/>
      <c r="J683" s="82"/>
      <c r="K683" s="82"/>
      <c r="L683" s="82"/>
      <c r="M683" s="82"/>
      <c r="N683" s="82"/>
      <c r="O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</row>
    <row r="684" spans="1:26">
      <c r="A684" s="81"/>
      <c r="F684" s="81"/>
      <c r="G684" s="82"/>
      <c r="H684" s="82"/>
      <c r="I684" s="82"/>
      <c r="J684" s="82"/>
      <c r="K684" s="82"/>
      <c r="L684" s="82"/>
      <c r="M684" s="82"/>
      <c r="N684" s="82"/>
      <c r="O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</row>
    <row r="685" spans="1:26">
      <c r="A685" s="81"/>
      <c r="F685" s="81"/>
      <c r="G685" s="82"/>
      <c r="H685" s="82"/>
      <c r="I685" s="82"/>
      <c r="J685" s="82"/>
      <c r="K685" s="82"/>
      <c r="L685" s="82"/>
      <c r="M685" s="82"/>
      <c r="N685" s="82"/>
      <c r="O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</row>
    <row r="686" spans="1:26">
      <c r="A686" s="81"/>
      <c r="F686" s="81"/>
      <c r="G686" s="82"/>
      <c r="H686" s="82"/>
      <c r="I686" s="82"/>
      <c r="J686" s="82"/>
      <c r="K686" s="82"/>
      <c r="L686" s="82"/>
      <c r="M686" s="82"/>
      <c r="N686" s="82"/>
      <c r="O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</row>
    <row r="687" spans="1:26">
      <c r="A687" s="81"/>
      <c r="F687" s="81"/>
      <c r="G687" s="82"/>
      <c r="H687" s="82"/>
      <c r="I687" s="82"/>
      <c r="J687" s="82"/>
      <c r="K687" s="82"/>
      <c r="L687" s="82"/>
      <c r="M687" s="82"/>
      <c r="N687" s="82"/>
      <c r="O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</row>
    <row r="688" spans="1:26">
      <c r="A688" s="81"/>
      <c r="F688" s="81"/>
      <c r="G688" s="82"/>
      <c r="H688" s="82"/>
      <c r="I688" s="82"/>
      <c r="J688" s="82"/>
      <c r="K688" s="82"/>
      <c r="L688" s="82"/>
      <c r="M688" s="82"/>
      <c r="N688" s="82"/>
      <c r="O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</row>
    <row r="689" spans="1:26">
      <c r="A689" s="81"/>
      <c r="F689" s="81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</row>
    <row r="690" spans="1:26">
      <c r="A690" s="81"/>
      <c r="F690" s="81"/>
      <c r="G690" s="82"/>
      <c r="H690" s="82"/>
      <c r="I690" s="82"/>
      <c r="J690" s="82"/>
      <c r="K690" s="82"/>
      <c r="L690" s="82"/>
      <c r="M690" s="82"/>
      <c r="N690" s="82"/>
      <c r="O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</row>
    <row r="691" spans="1:26">
      <c r="A691" s="81"/>
      <c r="F691" s="81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</row>
    <row r="692" spans="1:26">
      <c r="A692" s="81"/>
      <c r="F692" s="81"/>
      <c r="G692" s="82"/>
      <c r="H692" s="82"/>
      <c r="I692" s="82"/>
      <c r="J692" s="82"/>
      <c r="K692" s="82"/>
      <c r="L692" s="82"/>
      <c r="M692" s="82"/>
      <c r="N692" s="82"/>
      <c r="O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</row>
    <row r="693" spans="1:26">
      <c r="A693" s="81"/>
      <c r="F693" s="81"/>
      <c r="G693" s="82"/>
      <c r="H693" s="82"/>
      <c r="I693" s="82"/>
      <c r="J693" s="82"/>
      <c r="K693" s="82"/>
      <c r="L693" s="82"/>
      <c r="M693" s="82"/>
      <c r="N693" s="82"/>
      <c r="O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</row>
    <row r="694" spans="1:26">
      <c r="A694" s="81"/>
      <c r="F694" s="81"/>
      <c r="G694" s="82"/>
      <c r="H694" s="82"/>
      <c r="I694" s="82"/>
      <c r="J694" s="82"/>
      <c r="K694" s="82"/>
      <c r="L694" s="82"/>
      <c r="M694" s="82"/>
      <c r="N694" s="82"/>
      <c r="O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</row>
    <row r="695" spans="1:26">
      <c r="A695" s="81"/>
      <c r="F695" s="81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</row>
    <row r="696" spans="1:26">
      <c r="A696" s="81"/>
      <c r="F696" s="81"/>
      <c r="G696" s="82"/>
      <c r="H696" s="82"/>
      <c r="I696" s="82"/>
      <c r="J696" s="82"/>
      <c r="K696" s="82"/>
      <c r="L696" s="82"/>
      <c r="M696" s="82"/>
      <c r="N696" s="82"/>
      <c r="O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</row>
    <row r="697" spans="1:26">
      <c r="A697" s="81"/>
      <c r="F697" s="81"/>
      <c r="G697" s="82"/>
      <c r="H697" s="82"/>
      <c r="I697" s="82"/>
      <c r="J697" s="82"/>
      <c r="K697" s="82"/>
      <c r="L697" s="82"/>
      <c r="M697" s="82"/>
      <c r="N697" s="82"/>
      <c r="O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</row>
    <row r="698" spans="1:26">
      <c r="A698" s="81"/>
      <c r="F698" s="81"/>
      <c r="G698" s="82"/>
      <c r="H698" s="82"/>
      <c r="I698" s="82"/>
      <c r="J698" s="82"/>
      <c r="K698" s="82"/>
      <c r="L698" s="82"/>
      <c r="M698" s="82"/>
      <c r="N698" s="82"/>
      <c r="O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</row>
    <row r="699" spans="1:26">
      <c r="A699" s="81"/>
      <c r="F699" s="81"/>
      <c r="G699" s="82"/>
      <c r="H699" s="82"/>
      <c r="I699" s="82"/>
      <c r="J699" s="82"/>
      <c r="K699" s="82"/>
      <c r="L699" s="82"/>
      <c r="M699" s="82"/>
      <c r="N699" s="82"/>
      <c r="O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</row>
    <row r="700" spans="1:26">
      <c r="A700" s="81"/>
      <c r="F700" s="81"/>
      <c r="G700" s="82"/>
      <c r="H700" s="82"/>
      <c r="I700" s="82"/>
      <c r="J700" s="82"/>
      <c r="K700" s="82"/>
      <c r="L700" s="82"/>
      <c r="M700" s="82"/>
      <c r="N700" s="82"/>
      <c r="O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</row>
    <row r="701" spans="1:26">
      <c r="A701" s="81"/>
      <c r="F701" s="81"/>
      <c r="G701" s="82"/>
      <c r="H701" s="82"/>
      <c r="I701" s="82"/>
      <c r="J701" s="82"/>
      <c r="K701" s="82"/>
      <c r="L701" s="82"/>
      <c r="M701" s="82"/>
      <c r="N701" s="82"/>
      <c r="O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</row>
    <row r="702" spans="1:26">
      <c r="A702" s="81"/>
      <c r="F702" s="81"/>
      <c r="G702" s="82"/>
      <c r="H702" s="82"/>
      <c r="I702" s="82"/>
      <c r="J702" s="82"/>
      <c r="K702" s="82"/>
      <c r="L702" s="82"/>
      <c r="M702" s="82"/>
      <c r="N702" s="82"/>
      <c r="O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</row>
    <row r="703" spans="1:26">
      <c r="A703" s="81"/>
      <c r="F703" s="81"/>
      <c r="G703" s="82"/>
      <c r="H703" s="82"/>
      <c r="I703" s="82"/>
      <c r="J703" s="82"/>
      <c r="K703" s="82"/>
      <c r="L703" s="82"/>
      <c r="M703" s="82"/>
      <c r="N703" s="82"/>
      <c r="O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</row>
    <row r="704" spans="1:26">
      <c r="A704" s="81"/>
      <c r="F704" s="81"/>
      <c r="G704" s="82"/>
      <c r="H704" s="82"/>
      <c r="I704" s="82"/>
      <c r="J704" s="82"/>
      <c r="K704" s="82"/>
      <c r="L704" s="82"/>
      <c r="M704" s="82"/>
      <c r="N704" s="82"/>
      <c r="O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</row>
    <row r="705" spans="1:26">
      <c r="A705" s="81"/>
      <c r="F705" s="81"/>
      <c r="G705" s="82"/>
      <c r="H705" s="82"/>
      <c r="I705" s="82"/>
      <c r="J705" s="82"/>
      <c r="K705" s="82"/>
      <c r="L705" s="82"/>
      <c r="M705" s="82"/>
      <c r="N705" s="82"/>
      <c r="O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</row>
    <row r="706" spans="1:26">
      <c r="A706" s="81"/>
      <c r="F706" s="81"/>
      <c r="G706" s="82"/>
      <c r="H706" s="82"/>
      <c r="I706" s="82"/>
      <c r="J706" s="82"/>
      <c r="K706" s="82"/>
      <c r="L706" s="82"/>
      <c r="M706" s="82"/>
      <c r="N706" s="82"/>
      <c r="O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</row>
    <row r="707" spans="1:26">
      <c r="A707" s="81"/>
      <c r="F707" s="81"/>
      <c r="G707" s="82"/>
      <c r="H707" s="82"/>
      <c r="I707" s="82"/>
      <c r="J707" s="82"/>
      <c r="K707" s="82"/>
      <c r="L707" s="82"/>
      <c r="M707" s="82"/>
      <c r="N707" s="82"/>
      <c r="O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</row>
    <row r="708" spans="1:26">
      <c r="A708" s="81"/>
      <c r="F708" s="81"/>
      <c r="G708" s="82"/>
      <c r="H708" s="82"/>
      <c r="I708" s="82"/>
      <c r="J708" s="82"/>
      <c r="K708" s="82"/>
      <c r="L708" s="82"/>
      <c r="M708" s="82"/>
      <c r="N708" s="82"/>
      <c r="O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</row>
    <row r="709" spans="1:26">
      <c r="A709" s="81"/>
      <c r="F709" s="81"/>
      <c r="G709" s="82"/>
      <c r="H709" s="82"/>
      <c r="I709" s="82"/>
      <c r="J709" s="82"/>
      <c r="K709" s="82"/>
      <c r="L709" s="82"/>
      <c r="M709" s="82"/>
      <c r="N709" s="82"/>
      <c r="O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</row>
    <row r="710" spans="1:26">
      <c r="A710" s="81"/>
      <c r="F710" s="81"/>
      <c r="G710" s="82"/>
      <c r="H710" s="82"/>
      <c r="I710" s="82"/>
      <c r="J710" s="82"/>
      <c r="K710" s="82"/>
      <c r="L710" s="82"/>
      <c r="M710" s="82"/>
      <c r="N710" s="82"/>
      <c r="O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</row>
    <row r="711" spans="1:26">
      <c r="A711" s="81"/>
      <c r="F711" s="81"/>
      <c r="G711" s="82"/>
      <c r="H711" s="82"/>
      <c r="I711" s="82"/>
      <c r="J711" s="82"/>
      <c r="K711" s="82"/>
      <c r="L711" s="82"/>
      <c r="M711" s="82"/>
      <c r="N711" s="82"/>
      <c r="O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</row>
    <row r="712" spans="1:26">
      <c r="A712" s="81"/>
      <c r="F712" s="81"/>
      <c r="G712" s="82"/>
      <c r="H712" s="82"/>
      <c r="I712" s="82"/>
      <c r="J712" s="82"/>
      <c r="K712" s="82"/>
      <c r="L712" s="82"/>
      <c r="M712" s="82"/>
      <c r="N712" s="82"/>
      <c r="O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</row>
    <row r="713" spans="1:26">
      <c r="A713" s="81"/>
      <c r="F713" s="81"/>
      <c r="G713" s="82"/>
      <c r="H713" s="82"/>
      <c r="I713" s="82"/>
      <c r="J713" s="82"/>
      <c r="K713" s="82"/>
      <c r="L713" s="82"/>
      <c r="M713" s="82"/>
      <c r="N713" s="82"/>
      <c r="O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</row>
    <row r="714" spans="1:26">
      <c r="A714" s="81"/>
      <c r="F714" s="81"/>
      <c r="G714" s="82"/>
      <c r="H714" s="82"/>
      <c r="I714" s="82"/>
      <c r="J714" s="82"/>
      <c r="K714" s="82"/>
      <c r="L714" s="82"/>
      <c r="M714" s="82"/>
      <c r="N714" s="82"/>
      <c r="O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</row>
    <row r="715" spans="1:26">
      <c r="A715" s="81"/>
      <c r="F715" s="81"/>
      <c r="G715" s="82"/>
      <c r="H715" s="82"/>
      <c r="I715" s="82"/>
      <c r="J715" s="82"/>
      <c r="K715" s="82"/>
      <c r="L715" s="82"/>
      <c r="M715" s="82"/>
      <c r="N715" s="82"/>
      <c r="O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</row>
    <row r="716" spans="1:26">
      <c r="A716" s="81"/>
      <c r="F716" s="81"/>
      <c r="G716" s="82"/>
      <c r="H716" s="82"/>
      <c r="I716" s="82"/>
      <c r="J716" s="82"/>
      <c r="K716" s="82"/>
      <c r="L716" s="82"/>
      <c r="M716" s="82"/>
      <c r="N716" s="82"/>
      <c r="O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</row>
    <row r="717" spans="1:26">
      <c r="A717" s="81"/>
      <c r="F717" s="81"/>
      <c r="G717" s="82"/>
      <c r="H717" s="82"/>
      <c r="I717" s="82"/>
      <c r="J717" s="82"/>
      <c r="K717" s="82"/>
      <c r="L717" s="82"/>
      <c r="M717" s="82"/>
      <c r="N717" s="82"/>
      <c r="O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</row>
    <row r="718" spans="1:26">
      <c r="A718" s="81"/>
      <c r="F718" s="81"/>
      <c r="G718" s="82"/>
      <c r="H718" s="82"/>
      <c r="I718" s="82"/>
      <c r="J718" s="82"/>
      <c r="K718" s="82"/>
      <c r="L718" s="82"/>
      <c r="M718" s="82"/>
      <c r="N718" s="82"/>
      <c r="O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</row>
    <row r="719" spans="1:26">
      <c r="A719" s="81"/>
      <c r="F719" s="81"/>
      <c r="G719" s="82"/>
      <c r="H719" s="82"/>
      <c r="I719" s="82"/>
      <c r="J719" s="82"/>
      <c r="K719" s="82"/>
      <c r="L719" s="82"/>
      <c r="M719" s="82"/>
      <c r="N719" s="82"/>
      <c r="O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</row>
    <row r="720" spans="1:26">
      <c r="A720" s="81"/>
      <c r="F720" s="81"/>
      <c r="G720" s="82"/>
      <c r="H720" s="82"/>
      <c r="I720" s="82"/>
      <c r="J720" s="82"/>
      <c r="K720" s="82"/>
      <c r="L720" s="82"/>
      <c r="M720" s="82"/>
      <c r="N720" s="82"/>
      <c r="O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</row>
    <row r="721" spans="1:26">
      <c r="A721" s="81"/>
      <c r="F721" s="81"/>
      <c r="G721" s="82"/>
      <c r="H721" s="82"/>
      <c r="I721" s="82"/>
      <c r="J721" s="82"/>
      <c r="K721" s="82"/>
      <c r="L721" s="82"/>
      <c r="M721" s="82"/>
      <c r="N721" s="82"/>
      <c r="O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</row>
    <row r="722" spans="1:26">
      <c r="A722" s="81"/>
      <c r="F722" s="81"/>
      <c r="G722" s="82"/>
      <c r="H722" s="82"/>
      <c r="I722" s="82"/>
      <c r="J722" s="82"/>
      <c r="K722" s="82"/>
      <c r="L722" s="82"/>
      <c r="M722" s="82"/>
      <c r="N722" s="82"/>
      <c r="O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</row>
    <row r="723" spans="1:26">
      <c r="A723" s="81"/>
      <c r="F723" s="81"/>
      <c r="G723" s="82"/>
      <c r="H723" s="82"/>
      <c r="I723" s="82"/>
      <c r="J723" s="82"/>
      <c r="K723" s="82"/>
      <c r="L723" s="82"/>
      <c r="M723" s="82"/>
      <c r="N723" s="82"/>
      <c r="O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</row>
    <row r="724" spans="1:26">
      <c r="A724" s="81"/>
      <c r="F724" s="81"/>
      <c r="G724" s="82"/>
      <c r="H724" s="82"/>
      <c r="I724" s="82"/>
      <c r="J724" s="82"/>
      <c r="K724" s="82"/>
      <c r="L724" s="82"/>
      <c r="M724" s="82"/>
      <c r="N724" s="82"/>
      <c r="O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</row>
    <row r="725" spans="1:26">
      <c r="A725" s="81"/>
      <c r="F725" s="81"/>
      <c r="G725" s="82"/>
      <c r="H725" s="82"/>
      <c r="I725" s="82"/>
      <c r="J725" s="82"/>
      <c r="K725" s="82"/>
      <c r="L725" s="82"/>
      <c r="M725" s="82"/>
      <c r="N725" s="82"/>
      <c r="O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</row>
    <row r="726" spans="1:26">
      <c r="A726" s="81"/>
      <c r="F726" s="81"/>
      <c r="G726" s="82"/>
      <c r="H726" s="82"/>
      <c r="I726" s="82"/>
      <c r="J726" s="82"/>
      <c r="K726" s="82"/>
      <c r="L726" s="82"/>
      <c r="M726" s="82"/>
      <c r="N726" s="82"/>
      <c r="O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</row>
    <row r="727" spans="1:26">
      <c r="A727" s="81"/>
      <c r="F727" s="81"/>
      <c r="G727" s="82"/>
      <c r="H727" s="82"/>
      <c r="I727" s="82"/>
      <c r="J727" s="82"/>
      <c r="K727" s="82"/>
      <c r="L727" s="82"/>
      <c r="M727" s="82"/>
      <c r="N727" s="82"/>
      <c r="O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</row>
    <row r="728" spans="1:26">
      <c r="A728" s="81"/>
      <c r="F728" s="81"/>
      <c r="G728" s="82"/>
      <c r="H728" s="82"/>
      <c r="I728" s="82"/>
      <c r="J728" s="82"/>
      <c r="K728" s="82"/>
      <c r="L728" s="82"/>
      <c r="M728" s="82"/>
      <c r="N728" s="82"/>
      <c r="O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</row>
    <row r="729" spans="1:26">
      <c r="A729" s="81"/>
      <c r="F729" s="81"/>
      <c r="G729" s="82"/>
      <c r="H729" s="82"/>
      <c r="I729" s="82"/>
      <c r="J729" s="82"/>
      <c r="K729" s="82"/>
      <c r="L729" s="82"/>
      <c r="M729" s="82"/>
      <c r="N729" s="82"/>
      <c r="O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</row>
    <row r="730" spans="1:26">
      <c r="A730" s="81"/>
      <c r="F730" s="81"/>
      <c r="G730" s="82"/>
      <c r="H730" s="82"/>
      <c r="I730" s="82"/>
      <c r="J730" s="82"/>
      <c r="K730" s="82"/>
      <c r="L730" s="82"/>
      <c r="M730" s="82"/>
      <c r="N730" s="82"/>
      <c r="O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</row>
    <row r="731" spans="1:26">
      <c r="A731" s="81"/>
      <c r="F731" s="81"/>
      <c r="G731" s="82"/>
      <c r="H731" s="82"/>
      <c r="I731" s="82"/>
      <c r="J731" s="82"/>
      <c r="K731" s="82"/>
      <c r="L731" s="82"/>
      <c r="M731" s="82"/>
      <c r="N731" s="82"/>
      <c r="O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</row>
    <row r="732" spans="1:26">
      <c r="A732" s="81"/>
      <c r="F732" s="81"/>
      <c r="G732" s="82"/>
      <c r="H732" s="82"/>
      <c r="I732" s="82"/>
      <c r="J732" s="82"/>
      <c r="K732" s="82"/>
      <c r="L732" s="82"/>
      <c r="M732" s="82"/>
      <c r="N732" s="82"/>
      <c r="O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</row>
    <row r="733" spans="1:26">
      <c r="A733" s="81"/>
      <c r="F733" s="81"/>
      <c r="G733" s="82"/>
      <c r="H733" s="82"/>
      <c r="I733" s="82"/>
      <c r="J733" s="82"/>
      <c r="K733" s="82"/>
      <c r="L733" s="82"/>
      <c r="M733" s="82"/>
      <c r="N733" s="82"/>
      <c r="O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</row>
    <row r="734" spans="1:26">
      <c r="A734" s="81"/>
      <c r="F734" s="81"/>
      <c r="G734" s="82"/>
      <c r="H734" s="82"/>
      <c r="I734" s="82"/>
      <c r="J734" s="82"/>
      <c r="K734" s="82"/>
      <c r="L734" s="82"/>
      <c r="M734" s="82"/>
      <c r="N734" s="82"/>
      <c r="O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</row>
    <row r="735" spans="1:26">
      <c r="A735" s="81"/>
      <c r="F735" s="81"/>
      <c r="G735" s="82"/>
      <c r="H735" s="82"/>
      <c r="I735" s="82"/>
      <c r="J735" s="82"/>
      <c r="K735" s="82"/>
      <c r="L735" s="82"/>
      <c r="M735" s="82"/>
      <c r="N735" s="82"/>
      <c r="O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</row>
    <row r="736" spans="1:26">
      <c r="A736" s="81"/>
      <c r="F736" s="81"/>
      <c r="G736" s="82"/>
      <c r="H736" s="82"/>
      <c r="I736" s="82"/>
      <c r="J736" s="82"/>
      <c r="K736" s="82"/>
      <c r="L736" s="82"/>
      <c r="M736" s="82"/>
      <c r="N736" s="82"/>
      <c r="O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</row>
    <row r="737" spans="1:26">
      <c r="A737" s="81"/>
      <c r="F737" s="81"/>
      <c r="G737" s="82"/>
      <c r="H737" s="82"/>
      <c r="I737" s="82"/>
      <c r="J737" s="82"/>
      <c r="K737" s="82"/>
      <c r="L737" s="82"/>
      <c r="M737" s="82"/>
      <c r="N737" s="82"/>
      <c r="O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</row>
    <row r="738" spans="1:26">
      <c r="A738" s="81"/>
      <c r="F738" s="81"/>
      <c r="G738" s="82"/>
      <c r="H738" s="82"/>
      <c r="I738" s="82"/>
      <c r="J738" s="82"/>
      <c r="K738" s="82"/>
      <c r="L738" s="82"/>
      <c r="M738" s="82"/>
      <c r="N738" s="82"/>
      <c r="O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</row>
    <row r="739" spans="1:26">
      <c r="A739" s="81"/>
      <c r="F739" s="81"/>
      <c r="G739" s="82"/>
      <c r="H739" s="82"/>
      <c r="I739" s="82"/>
      <c r="J739" s="82"/>
      <c r="K739" s="82"/>
      <c r="L739" s="82"/>
      <c r="M739" s="82"/>
      <c r="N739" s="82"/>
      <c r="O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</row>
    <row r="740" spans="1:26">
      <c r="A740" s="81"/>
      <c r="F740" s="81"/>
      <c r="G740" s="82"/>
      <c r="H740" s="82"/>
      <c r="I740" s="82"/>
      <c r="J740" s="82"/>
      <c r="K740" s="82"/>
      <c r="L740" s="82"/>
      <c r="M740" s="82"/>
      <c r="N740" s="82"/>
      <c r="O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</row>
    <row r="741" spans="1:26">
      <c r="A741" s="81"/>
      <c r="F741" s="81"/>
      <c r="G741" s="82"/>
      <c r="H741" s="82"/>
      <c r="I741" s="82"/>
      <c r="J741" s="82"/>
      <c r="K741" s="82"/>
      <c r="L741" s="82"/>
      <c r="M741" s="82"/>
      <c r="N741" s="82"/>
      <c r="O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</row>
    <row r="742" spans="1:26">
      <c r="A742" s="81"/>
      <c r="F742" s="81"/>
      <c r="G742" s="82"/>
      <c r="H742" s="82"/>
      <c r="I742" s="82"/>
      <c r="J742" s="82"/>
      <c r="K742" s="82"/>
      <c r="L742" s="82"/>
      <c r="M742" s="82"/>
      <c r="N742" s="82"/>
      <c r="O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</row>
    <row r="743" spans="1:26">
      <c r="A743" s="81"/>
      <c r="F743" s="81"/>
      <c r="G743" s="82"/>
      <c r="H743" s="82"/>
      <c r="I743" s="82"/>
      <c r="J743" s="82"/>
      <c r="K743" s="82"/>
      <c r="L743" s="82"/>
      <c r="M743" s="82"/>
      <c r="N743" s="82"/>
      <c r="O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</row>
    <row r="744" spans="1:26">
      <c r="A744" s="81"/>
      <c r="F744" s="81"/>
      <c r="G744" s="82"/>
      <c r="H744" s="82"/>
      <c r="I744" s="82"/>
      <c r="J744" s="82"/>
      <c r="K744" s="82"/>
      <c r="L744" s="82"/>
      <c r="M744" s="82"/>
      <c r="N744" s="82"/>
      <c r="O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</row>
    <row r="745" spans="1:26">
      <c r="A745" s="81"/>
      <c r="F745" s="81"/>
      <c r="G745" s="82"/>
      <c r="H745" s="82"/>
      <c r="I745" s="82"/>
      <c r="J745" s="82"/>
      <c r="K745" s="82"/>
      <c r="L745" s="82"/>
      <c r="M745" s="82"/>
      <c r="N745" s="82"/>
      <c r="O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</row>
    <row r="746" spans="1:26">
      <c r="A746" s="81"/>
      <c r="F746" s="81"/>
      <c r="G746" s="82"/>
      <c r="H746" s="82"/>
      <c r="I746" s="82"/>
      <c r="J746" s="82"/>
      <c r="K746" s="82"/>
      <c r="L746" s="82"/>
      <c r="M746" s="82"/>
      <c r="N746" s="82"/>
      <c r="O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</row>
    <row r="747" spans="1:26">
      <c r="A747" s="81"/>
      <c r="F747" s="81"/>
      <c r="G747" s="82"/>
      <c r="H747" s="82"/>
      <c r="I747" s="82"/>
      <c r="J747" s="82"/>
      <c r="K747" s="82"/>
      <c r="L747" s="82"/>
      <c r="M747" s="82"/>
      <c r="N747" s="82"/>
      <c r="O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</row>
    <row r="748" spans="1:26">
      <c r="A748" s="81"/>
      <c r="F748" s="81"/>
      <c r="G748" s="82"/>
      <c r="H748" s="82"/>
      <c r="I748" s="82"/>
      <c r="J748" s="82"/>
      <c r="K748" s="82"/>
      <c r="L748" s="82"/>
      <c r="M748" s="82"/>
      <c r="N748" s="82"/>
      <c r="O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</row>
    <row r="749" spans="1:26">
      <c r="A749" s="81"/>
      <c r="F749" s="81"/>
      <c r="G749" s="82"/>
      <c r="H749" s="82"/>
      <c r="I749" s="82"/>
      <c r="J749" s="82"/>
      <c r="K749" s="82"/>
      <c r="L749" s="82"/>
      <c r="M749" s="82"/>
      <c r="N749" s="82"/>
      <c r="O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</row>
    <row r="750" spans="1:26">
      <c r="A750" s="81"/>
      <c r="F750" s="81"/>
      <c r="G750" s="82"/>
      <c r="H750" s="82"/>
      <c r="I750" s="82"/>
      <c r="J750" s="82"/>
      <c r="K750" s="82"/>
      <c r="L750" s="82"/>
      <c r="M750" s="82"/>
      <c r="N750" s="82"/>
      <c r="O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</row>
    <row r="751" spans="1:26">
      <c r="A751" s="81"/>
      <c r="F751" s="81"/>
      <c r="G751" s="82"/>
      <c r="H751" s="82"/>
      <c r="I751" s="82"/>
      <c r="J751" s="82"/>
      <c r="K751" s="82"/>
      <c r="L751" s="82"/>
      <c r="M751" s="82"/>
      <c r="N751" s="82"/>
      <c r="O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</row>
    <row r="752" spans="1:26">
      <c r="A752" s="81"/>
      <c r="F752" s="81"/>
      <c r="G752" s="82"/>
      <c r="H752" s="82"/>
      <c r="I752" s="82"/>
      <c r="J752" s="82"/>
      <c r="K752" s="82"/>
      <c r="L752" s="82"/>
      <c r="M752" s="82"/>
      <c r="N752" s="82"/>
      <c r="O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</row>
    <row r="753" spans="1:26">
      <c r="A753" s="81"/>
      <c r="F753" s="81"/>
      <c r="G753" s="82"/>
      <c r="H753" s="82"/>
      <c r="I753" s="82"/>
      <c r="J753" s="82"/>
      <c r="K753" s="82"/>
      <c r="L753" s="82"/>
      <c r="M753" s="82"/>
      <c r="N753" s="82"/>
      <c r="O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</row>
    <row r="754" spans="1:26">
      <c r="A754" s="81"/>
      <c r="F754" s="81"/>
      <c r="G754" s="82"/>
      <c r="H754" s="82"/>
      <c r="I754" s="82"/>
      <c r="J754" s="82"/>
      <c r="K754" s="82"/>
      <c r="L754" s="82"/>
      <c r="M754" s="82"/>
      <c r="N754" s="82"/>
      <c r="O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</row>
    <row r="755" spans="1:26">
      <c r="A755" s="81"/>
      <c r="F755" s="81"/>
      <c r="G755" s="82"/>
      <c r="H755" s="82"/>
      <c r="I755" s="82"/>
      <c r="J755" s="82"/>
      <c r="K755" s="82"/>
      <c r="L755" s="82"/>
      <c r="M755" s="82"/>
      <c r="N755" s="82"/>
      <c r="O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</row>
    <row r="756" spans="1:26">
      <c r="A756" s="81"/>
      <c r="F756" s="81"/>
      <c r="G756" s="82"/>
      <c r="H756" s="82"/>
      <c r="I756" s="82"/>
      <c r="J756" s="82"/>
      <c r="K756" s="82"/>
      <c r="L756" s="82"/>
      <c r="M756" s="82"/>
      <c r="N756" s="82"/>
      <c r="O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</row>
    <row r="757" spans="1:26">
      <c r="A757" s="81"/>
      <c r="F757" s="81"/>
      <c r="G757" s="82"/>
      <c r="H757" s="82"/>
      <c r="I757" s="82"/>
      <c r="J757" s="82"/>
      <c r="K757" s="82"/>
      <c r="L757" s="82"/>
      <c r="M757" s="82"/>
      <c r="N757" s="82"/>
      <c r="O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</row>
    <row r="758" spans="1:26">
      <c r="A758" s="81"/>
      <c r="F758" s="81"/>
      <c r="G758" s="82"/>
      <c r="H758" s="82"/>
      <c r="I758" s="82"/>
      <c r="J758" s="82"/>
      <c r="K758" s="82"/>
      <c r="L758" s="82"/>
      <c r="M758" s="82"/>
      <c r="N758" s="82"/>
      <c r="O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</row>
    <row r="759" spans="1:26">
      <c r="A759" s="81"/>
      <c r="F759" s="81"/>
      <c r="G759" s="82"/>
      <c r="H759" s="82"/>
      <c r="I759" s="82"/>
      <c r="J759" s="82"/>
      <c r="K759" s="82"/>
      <c r="L759" s="82"/>
      <c r="M759" s="82"/>
      <c r="N759" s="82"/>
      <c r="O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</row>
    <row r="760" spans="1:26">
      <c r="A760" s="81"/>
      <c r="F760" s="81"/>
      <c r="G760" s="82"/>
      <c r="H760" s="82"/>
      <c r="I760" s="82"/>
      <c r="J760" s="82"/>
      <c r="K760" s="82"/>
      <c r="L760" s="82"/>
      <c r="M760" s="82"/>
      <c r="N760" s="82"/>
      <c r="O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</row>
    <row r="761" spans="1:26">
      <c r="A761" s="81"/>
      <c r="F761" s="81"/>
      <c r="G761" s="82"/>
      <c r="H761" s="82"/>
      <c r="I761" s="82"/>
      <c r="J761" s="82"/>
      <c r="K761" s="82"/>
      <c r="L761" s="82"/>
      <c r="M761" s="82"/>
      <c r="N761" s="82"/>
      <c r="O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</row>
    <row r="762" spans="1:26">
      <c r="A762" s="81"/>
      <c r="F762" s="81"/>
      <c r="G762" s="82"/>
      <c r="H762" s="82"/>
      <c r="I762" s="82"/>
      <c r="J762" s="82"/>
      <c r="K762" s="82"/>
      <c r="L762" s="82"/>
      <c r="M762" s="82"/>
      <c r="N762" s="82"/>
      <c r="O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</row>
    <row r="763" spans="1:26">
      <c r="A763" s="81"/>
      <c r="F763" s="81"/>
      <c r="G763" s="82"/>
      <c r="H763" s="82"/>
      <c r="I763" s="82"/>
      <c r="J763" s="82"/>
      <c r="K763" s="82"/>
      <c r="L763" s="82"/>
      <c r="M763" s="82"/>
      <c r="N763" s="82"/>
      <c r="O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</row>
    <row r="764" spans="1:26">
      <c r="A764" s="81"/>
      <c r="F764" s="81"/>
      <c r="G764" s="82"/>
      <c r="H764" s="82"/>
      <c r="I764" s="82"/>
      <c r="J764" s="82"/>
      <c r="K764" s="82"/>
      <c r="L764" s="82"/>
      <c r="M764" s="82"/>
      <c r="N764" s="82"/>
      <c r="O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</row>
    <row r="765" spans="1:26">
      <c r="A765" s="81"/>
      <c r="F765" s="81"/>
      <c r="G765" s="82"/>
      <c r="H765" s="82"/>
      <c r="I765" s="82"/>
      <c r="J765" s="82"/>
      <c r="K765" s="82"/>
      <c r="L765" s="82"/>
      <c r="M765" s="82"/>
      <c r="N765" s="82"/>
      <c r="O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</row>
    <row r="766" spans="1:26">
      <c r="A766" s="81"/>
      <c r="F766" s="81"/>
      <c r="G766" s="82"/>
      <c r="H766" s="82"/>
      <c r="I766" s="82"/>
      <c r="J766" s="82"/>
      <c r="K766" s="82"/>
      <c r="L766" s="82"/>
      <c r="M766" s="82"/>
      <c r="N766" s="82"/>
      <c r="O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</row>
    <row r="767" spans="1:26">
      <c r="A767" s="81"/>
      <c r="F767" s="81"/>
      <c r="G767" s="82"/>
      <c r="H767" s="82"/>
      <c r="I767" s="82"/>
      <c r="J767" s="82"/>
      <c r="K767" s="82"/>
      <c r="L767" s="82"/>
      <c r="M767" s="82"/>
      <c r="N767" s="82"/>
      <c r="O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</row>
    <row r="768" spans="1:26">
      <c r="A768" s="81"/>
      <c r="F768" s="81"/>
      <c r="G768" s="82"/>
      <c r="H768" s="82"/>
      <c r="I768" s="82"/>
      <c r="J768" s="82"/>
      <c r="K768" s="82"/>
      <c r="L768" s="82"/>
      <c r="M768" s="82"/>
      <c r="N768" s="82"/>
      <c r="O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</row>
    <row r="769" spans="1:26">
      <c r="A769" s="81"/>
      <c r="F769" s="81"/>
      <c r="G769" s="82"/>
      <c r="H769" s="82"/>
      <c r="I769" s="82"/>
      <c r="J769" s="82"/>
      <c r="K769" s="82"/>
      <c r="L769" s="82"/>
      <c r="M769" s="82"/>
      <c r="N769" s="82"/>
      <c r="O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</row>
    <row r="770" spans="1:26">
      <c r="A770" s="81"/>
      <c r="F770" s="81"/>
      <c r="G770" s="82"/>
      <c r="H770" s="82"/>
      <c r="I770" s="82"/>
      <c r="J770" s="82"/>
      <c r="K770" s="82"/>
      <c r="L770" s="82"/>
      <c r="M770" s="82"/>
      <c r="N770" s="82"/>
      <c r="O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</row>
    <row r="771" spans="1:26">
      <c r="A771" s="81"/>
      <c r="F771" s="81"/>
      <c r="G771" s="82"/>
      <c r="H771" s="82"/>
      <c r="I771" s="82"/>
      <c r="J771" s="82"/>
      <c r="K771" s="82"/>
      <c r="L771" s="82"/>
      <c r="M771" s="82"/>
      <c r="N771" s="82"/>
      <c r="O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</row>
    <row r="772" spans="1:26">
      <c r="A772" s="81"/>
      <c r="F772" s="81"/>
      <c r="G772" s="82"/>
      <c r="H772" s="82"/>
      <c r="I772" s="82"/>
      <c r="J772" s="82"/>
      <c r="K772" s="82"/>
      <c r="L772" s="82"/>
      <c r="M772" s="82"/>
      <c r="N772" s="82"/>
      <c r="O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</row>
    <row r="773" spans="1:26">
      <c r="A773" s="81"/>
      <c r="F773" s="81"/>
      <c r="G773" s="82"/>
      <c r="H773" s="82"/>
      <c r="I773" s="82"/>
      <c r="J773" s="82"/>
      <c r="K773" s="82"/>
      <c r="L773" s="82"/>
      <c r="M773" s="82"/>
      <c r="N773" s="82"/>
      <c r="O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</row>
    <row r="774" spans="1:26">
      <c r="A774" s="81"/>
      <c r="F774" s="81"/>
      <c r="G774" s="82"/>
      <c r="H774" s="82"/>
      <c r="I774" s="82"/>
      <c r="J774" s="82"/>
      <c r="K774" s="82"/>
      <c r="L774" s="82"/>
      <c r="M774" s="82"/>
      <c r="N774" s="82"/>
      <c r="O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</row>
    <row r="775" spans="1:26">
      <c r="A775" s="81"/>
      <c r="F775" s="81"/>
      <c r="G775" s="82"/>
      <c r="H775" s="82"/>
      <c r="I775" s="82"/>
      <c r="J775" s="82"/>
      <c r="K775" s="82"/>
      <c r="L775" s="82"/>
      <c r="M775" s="82"/>
      <c r="N775" s="82"/>
      <c r="O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</row>
    <row r="776" spans="1:26">
      <c r="A776" s="81"/>
      <c r="F776" s="81"/>
      <c r="G776" s="82"/>
      <c r="H776" s="82"/>
      <c r="I776" s="82"/>
      <c r="J776" s="82"/>
      <c r="K776" s="82"/>
      <c r="L776" s="82"/>
      <c r="M776" s="82"/>
      <c r="N776" s="82"/>
      <c r="O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</row>
    <row r="777" spans="1:26">
      <c r="A777" s="81"/>
      <c r="F777" s="81"/>
      <c r="G777" s="82"/>
      <c r="H777" s="82"/>
      <c r="I777" s="82"/>
      <c r="J777" s="82"/>
      <c r="K777" s="82"/>
      <c r="L777" s="82"/>
      <c r="M777" s="82"/>
      <c r="N777" s="82"/>
      <c r="O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</row>
    <row r="778" spans="1:26">
      <c r="A778" s="81"/>
      <c r="F778" s="81"/>
      <c r="G778" s="82"/>
      <c r="H778" s="82"/>
      <c r="I778" s="82"/>
      <c r="J778" s="82"/>
      <c r="K778" s="82"/>
      <c r="L778" s="82"/>
      <c r="M778" s="82"/>
      <c r="N778" s="82"/>
      <c r="O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</row>
    <row r="779" spans="1:26">
      <c r="A779" s="81"/>
      <c r="F779" s="81"/>
      <c r="G779" s="82"/>
      <c r="H779" s="82"/>
      <c r="I779" s="82"/>
      <c r="J779" s="82"/>
      <c r="K779" s="82"/>
      <c r="L779" s="82"/>
      <c r="M779" s="82"/>
      <c r="N779" s="82"/>
      <c r="O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</row>
    <row r="780" spans="1:26">
      <c r="A780" s="81"/>
      <c r="F780" s="81"/>
      <c r="G780" s="82"/>
      <c r="H780" s="82"/>
      <c r="I780" s="82"/>
      <c r="J780" s="82"/>
      <c r="K780" s="82"/>
      <c r="L780" s="82"/>
      <c r="M780" s="82"/>
      <c r="N780" s="82"/>
      <c r="O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</row>
    <row r="781" spans="1:26">
      <c r="A781" s="81"/>
      <c r="F781" s="81"/>
      <c r="G781" s="82"/>
      <c r="H781" s="82"/>
      <c r="I781" s="82"/>
      <c r="J781" s="82"/>
      <c r="K781" s="82"/>
      <c r="L781" s="82"/>
      <c r="M781" s="82"/>
      <c r="N781" s="82"/>
      <c r="O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</row>
    <row r="782" spans="1:26">
      <c r="A782" s="81"/>
      <c r="F782" s="81"/>
      <c r="G782" s="82"/>
      <c r="H782" s="82"/>
      <c r="I782" s="82"/>
      <c r="J782" s="82"/>
      <c r="K782" s="82"/>
      <c r="L782" s="82"/>
      <c r="M782" s="82"/>
      <c r="N782" s="82"/>
      <c r="O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</row>
    <row r="783" spans="1:26">
      <c r="A783" s="81"/>
      <c r="F783" s="81"/>
      <c r="G783" s="82"/>
      <c r="H783" s="82"/>
      <c r="I783" s="82"/>
      <c r="J783" s="82"/>
      <c r="K783" s="82"/>
      <c r="L783" s="82"/>
      <c r="M783" s="82"/>
      <c r="N783" s="82"/>
      <c r="O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</row>
    <row r="784" spans="1:26">
      <c r="A784" s="81"/>
      <c r="F784" s="81"/>
      <c r="G784" s="82"/>
      <c r="H784" s="82"/>
      <c r="I784" s="82"/>
      <c r="J784" s="82"/>
      <c r="K784" s="82"/>
      <c r="L784" s="82"/>
      <c r="M784" s="82"/>
      <c r="N784" s="82"/>
      <c r="O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</row>
    <row r="785" spans="1:26">
      <c r="A785" s="81"/>
      <c r="F785" s="81"/>
      <c r="G785" s="82"/>
      <c r="H785" s="82"/>
      <c r="I785" s="82"/>
      <c r="J785" s="82"/>
      <c r="K785" s="82"/>
      <c r="L785" s="82"/>
      <c r="M785" s="82"/>
      <c r="N785" s="82"/>
      <c r="O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</row>
    <row r="786" spans="1:26">
      <c r="A786" s="81"/>
      <c r="F786" s="81"/>
      <c r="G786" s="82"/>
      <c r="H786" s="82"/>
      <c r="I786" s="82"/>
      <c r="J786" s="82"/>
      <c r="K786" s="82"/>
      <c r="L786" s="82"/>
      <c r="M786" s="82"/>
      <c r="N786" s="82"/>
      <c r="O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</row>
    <row r="787" spans="1:26">
      <c r="A787" s="81"/>
      <c r="F787" s="81"/>
      <c r="G787" s="82"/>
      <c r="H787" s="82"/>
      <c r="I787" s="82"/>
      <c r="J787" s="82"/>
      <c r="K787" s="82"/>
      <c r="L787" s="82"/>
      <c r="M787" s="82"/>
      <c r="N787" s="82"/>
      <c r="O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</row>
    <row r="788" spans="1:26">
      <c r="A788" s="81"/>
      <c r="F788" s="81"/>
      <c r="G788" s="82"/>
      <c r="H788" s="82"/>
      <c r="I788" s="82"/>
      <c r="J788" s="82"/>
      <c r="K788" s="82"/>
      <c r="L788" s="82"/>
      <c r="M788" s="82"/>
      <c r="N788" s="82"/>
      <c r="O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</row>
    <row r="789" spans="1:26">
      <c r="A789" s="81"/>
      <c r="F789" s="81"/>
      <c r="G789" s="82"/>
      <c r="H789" s="82"/>
      <c r="I789" s="82"/>
      <c r="J789" s="82"/>
      <c r="K789" s="82"/>
      <c r="L789" s="82"/>
      <c r="M789" s="82"/>
      <c r="N789" s="82"/>
      <c r="O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</row>
    <row r="790" spans="1:26">
      <c r="A790" s="81"/>
      <c r="F790" s="81"/>
      <c r="G790" s="82"/>
      <c r="H790" s="82"/>
      <c r="I790" s="82"/>
      <c r="J790" s="82"/>
      <c r="K790" s="82"/>
      <c r="L790" s="82"/>
      <c r="M790" s="82"/>
      <c r="N790" s="82"/>
      <c r="O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</row>
    <row r="791" spans="1:26">
      <c r="A791" s="81"/>
      <c r="F791" s="81"/>
      <c r="G791" s="82"/>
      <c r="H791" s="82"/>
      <c r="I791" s="82"/>
      <c r="J791" s="82"/>
      <c r="K791" s="82"/>
      <c r="L791" s="82"/>
      <c r="M791" s="82"/>
      <c r="N791" s="82"/>
      <c r="O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</row>
    <row r="792" spans="1:26">
      <c r="A792" s="81"/>
      <c r="F792" s="81"/>
      <c r="G792" s="82"/>
      <c r="H792" s="82"/>
      <c r="I792" s="82"/>
      <c r="J792" s="82"/>
      <c r="K792" s="82"/>
      <c r="L792" s="82"/>
      <c r="M792" s="82"/>
      <c r="N792" s="82"/>
      <c r="O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</row>
    <row r="793" spans="1:26">
      <c r="A793" s="81"/>
      <c r="F793" s="81"/>
      <c r="G793" s="82"/>
      <c r="H793" s="82"/>
      <c r="I793" s="82"/>
      <c r="J793" s="82"/>
      <c r="K793" s="82"/>
      <c r="L793" s="82"/>
      <c r="M793" s="82"/>
      <c r="N793" s="82"/>
      <c r="O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</row>
    <row r="794" spans="1:26">
      <c r="A794" s="81"/>
      <c r="F794" s="81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</row>
    <row r="795" spans="1:26">
      <c r="A795" s="81"/>
      <c r="F795" s="81"/>
      <c r="G795" s="82"/>
      <c r="H795" s="82"/>
      <c r="I795" s="82"/>
      <c r="J795" s="82"/>
      <c r="K795" s="82"/>
      <c r="L795" s="82"/>
      <c r="M795" s="82"/>
      <c r="N795" s="82"/>
      <c r="O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</row>
    <row r="796" spans="1:26">
      <c r="A796" s="81"/>
      <c r="F796" s="81"/>
      <c r="G796" s="82"/>
      <c r="H796" s="82"/>
      <c r="I796" s="82"/>
      <c r="J796" s="82"/>
      <c r="K796" s="82"/>
      <c r="L796" s="82"/>
      <c r="M796" s="82"/>
      <c r="N796" s="82"/>
      <c r="O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</row>
    <row r="797" spans="1:26">
      <c r="A797" s="81"/>
      <c r="F797" s="81"/>
      <c r="G797" s="82"/>
      <c r="H797" s="82"/>
      <c r="I797" s="82"/>
      <c r="J797" s="82"/>
      <c r="K797" s="82"/>
      <c r="L797" s="82"/>
      <c r="M797" s="82"/>
      <c r="N797" s="82"/>
      <c r="O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</row>
    <row r="798" spans="1:26">
      <c r="A798" s="81"/>
      <c r="F798" s="81"/>
      <c r="G798" s="82"/>
      <c r="H798" s="82"/>
      <c r="I798" s="82"/>
      <c r="J798" s="82"/>
      <c r="K798" s="82"/>
      <c r="L798" s="82"/>
      <c r="M798" s="82"/>
      <c r="N798" s="82"/>
      <c r="O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</row>
    <row r="799" spans="1:26">
      <c r="A799" s="81"/>
      <c r="F799" s="81"/>
      <c r="G799" s="82"/>
      <c r="H799" s="82"/>
      <c r="I799" s="82"/>
      <c r="J799" s="82"/>
      <c r="K799" s="82"/>
      <c r="L799" s="82"/>
      <c r="M799" s="82"/>
      <c r="N799" s="82"/>
      <c r="O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</row>
    <row r="800" spans="1:26">
      <c r="A800" s="81"/>
      <c r="F800" s="81"/>
      <c r="G800" s="82"/>
      <c r="H800" s="82"/>
      <c r="I800" s="82"/>
      <c r="J800" s="82"/>
      <c r="K800" s="82"/>
      <c r="L800" s="82"/>
      <c r="M800" s="82"/>
      <c r="N800" s="82"/>
      <c r="O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</row>
    <row r="801" spans="1:26">
      <c r="A801" s="81"/>
      <c r="F801" s="81"/>
      <c r="G801" s="82"/>
      <c r="H801" s="82"/>
      <c r="I801" s="82"/>
      <c r="J801" s="82"/>
      <c r="K801" s="82"/>
      <c r="L801" s="82"/>
      <c r="M801" s="82"/>
      <c r="N801" s="82"/>
      <c r="O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</row>
    <row r="802" spans="1:26">
      <c r="A802" s="81"/>
      <c r="F802" s="81"/>
      <c r="G802" s="82"/>
      <c r="H802" s="82"/>
      <c r="I802" s="82"/>
      <c r="J802" s="82"/>
      <c r="K802" s="82"/>
      <c r="L802" s="82"/>
      <c r="M802" s="82"/>
      <c r="N802" s="82"/>
      <c r="O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</row>
    <row r="803" spans="1:26">
      <c r="A803" s="81"/>
      <c r="F803" s="81"/>
      <c r="G803" s="82"/>
      <c r="H803" s="82"/>
      <c r="I803" s="82"/>
      <c r="J803" s="82"/>
      <c r="K803" s="82"/>
      <c r="L803" s="82"/>
      <c r="M803" s="82"/>
      <c r="N803" s="82"/>
      <c r="O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</row>
    <row r="804" spans="1:26">
      <c r="A804" s="81"/>
      <c r="F804" s="81"/>
      <c r="G804" s="82"/>
      <c r="H804" s="82"/>
      <c r="I804" s="82"/>
      <c r="J804" s="82"/>
      <c r="K804" s="82"/>
      <c r="L804" s="82"/>
      <c r="M804" s="82"/>
      <c r="N804" s="82"/>
      <c r="O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</row>
    <row r="805" spans="1:26">
      <c r="A805" s="81"/>
      <c r="F805" s="81"/>
      <c r="G805" s="82"/>
      <c r="H805" s="82"/>
      <c r="I805" s="82"/>
      <c r="J805" s="82"/>
      <c r="K805" s="82"/>
      <c r="L805" s="82"/>
      <c r="M805" s="82"/>
      <c r="N805" s="82"/>
      <c r="O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</row>
    <row r="806" spans="1:26">
      <c r="A806" s="81"/>
      <c r="F806" s="81"/>
      <c r="G806" s="82"/>
      <c r="H806" s="82"/>
      <c r="I806" s="82"/>
      <c r="J806" s="82"/>
      <c r="K806" s="82"/>
      <c r="L806" s="82"/>
      <c r="M806" s="82"/>
      <c r="N806" s="82"/>
      <c r="O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</row>
    <row r="807" spans="1:26">
      <c r="A807" s="81"/>
      <c r="F807" s="81"/>
      <c r="G807" s="82"/>
      <c r="H807" s="82"/>
      <c r="I807" s="82"/>
      <c r="J807" s="82"/>
      <c r="K807" s="82"/>
      <c r="L807" s="82"/>
      <c r="M807" s="82"/>
      <c r="N807" s="82"/>
      <c r="O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</row>
    <row r="808" spans="1:26">
      <c r="A808" s="81"/>
      <c r="F808" s="81"/>
      <c r="G808" s="82"/>
      <c r="H808" s="82"/>
      <c r="I808" s="82"/>
      <c r="J808" s="82"/>
      <c r="K808" s="82"/>
      <c r="L808" s="82"/>
      <c r="M808" s="82"/>
      <c r="N808" s="82"/>
      <c r="O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</row>
    <row r="809" spans="1:26">
      <c r="A809" s="81"/>
      <c r="F809" s="81"/>
      <c r="G809" s="82"/>
      <c r="H809" s="82"/>
      <c r="I809" s="82"/>
      <c r="J809" s="82"/>
      <c r="K809" s="82"/>
      <c r="L809" s="82"/>
      <c r="M809" s="82"/>
      <c r="N809" s="82"/>
      <c r="O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</row>
    <row r="810" spans="1:26">
      <c r="A810" s="81"/>
      <c r="F810" s="81"/>
      <c r="G810" s="82"/>
      <c r="H810" s="82"/>
      <c r="I810" s="82"/>
      <c r="J810" s="82"/>
      <c r="K810" s="82"/>
      <c r="L810" s="82"/>
      <c r="M810" s="82"/>
      <c r="N810" s="82"/>
      <c r="O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</row>
    <row r="811" spans="1:26">
      <c r="A811" s="81"/>
      <c r="F811" s="81"/>
      <c r="G811" s="82"/>
      <c r="H811" s="82"/>
      <c r="I811" s="82"/>
      <c r="J811" s="82"/>
      <c r="K811" s="82"/>
      <c r="L811" s="82"/>
      <c r="M811" s="82"/>
      <c r="N811" s="82"/>
      <c r="O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</row>
    <row r="812" spans="1:26">
      <c r="A812" s="81"/>
      <c r="F812" s="81"/>
      <c r="G812" s="82"/>
      <c r="H812" s="82"/>
      <c r="I812" s="82"/>
      <c r="J812" s="82"/>
      <c r="K812" s="82"/>
      <c r="L812" s="82"/>
      <c r="M812" s="82"/>
      <c r="N812" s="82"/>
      <c r="O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</row>
    <row r="813" spans="1:26">
      <c r="A813" s="81"/>
      <c r="F813" s="81"/>
      <c r="G813" s="82"/>
      <c r="H813" s="82"/>
      <c r="I813" s="82"/>
      <c r="J813" s="82"/>
      <c r="K813" s="82"/>
      <c r="L813" s="82"/>
      <c r="M813" s="82"/>
      <c r="N813" s="82"/>
      <c r="O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</row>
    <row r="814" spans="1:26">
      <c r="A814" s="81"/>
      <c r="F814" s="81"/>
      <c r="G814" s="82"/>
      <c r="H814" s="82"/>
      <c r="I814" s="82"/>
      <c r="J814" s="82"/>
      <c r="K814" s="82"/>
      <c r="L814" s="82"/>
      <c r="M814" s="82"/>
      <c r="N814" s="82"/>
      <c r="O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</row>
    <row r="815" spans="1:26">
      <c r="A815" s="81"/>
      <c r="F815" s="81"/>
      <c r="G815" s="82"/>
      <c r="H815" s="82"/>
      <c r="I815" s="82"/>
      <c r="J815" s="82"/>
      <c r="K815" s="82"/>
      <c r="L815" s="82"/>
      <c r="M815" s="82"/>
      <c r="N815" s="82"/>
      <c r="O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</row>
    <row r="816" spans="1:26">
      <c r="A816" s="81"/>
      <c r="F816" s="81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</row>
    <row r="817" spans="1:26">
      <c r="A817" s="81"/>
      <c r="F817" s="81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</row>
    <row r="818" spans="1:26">
      <c r="A818" s="81"/>
      <c r="F818" s="81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</row>
    <row r="819" spans="1:26">
      <c r="A819" s="81"/>
      <c r="F819" s="81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</row>
    <row r="820" spans="1:26">
      <c r="A820" s="81"/>
      <c r="F820" s="81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</row>
    <row r="821" spans="1:26">
      <c r="A821" s="81"/>
      <c r="F821" s="81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</row>
    <row r="822" spans="1:26">
      <c r="A822" s="81"/>
      <c r="F822" s="81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</row>
    <row r="823" spans="1:26">
      <c r="A823" s="81"/>
      <c r="F823" s="81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</row>
    <row r="824" spans="1:26">
      <c r="A824" s="81"/>
      <c r="F824" s="81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</row>
    <row r="825" spans="1:26">
      <c r="A825" s="81"/>
      <c r="F825" s="81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</row>
    <row r="826" spans="1:26">
      <c r="A826" s="81"/>
      <c r="F826" s="81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</row>
    <row r="827" spans="1:26">
      <c r="A827" s="81"/>
      <c r="F827" s="81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</row>
    <row r="828" spans="1:26">
      <c r="A828" s="81"/>
      <c r="F828" s="81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</row>
    <row r="829" spans="1:26">
      <c r="A829" s="81"/>
      <c r="F829" s="81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</row>
    <row r="830" spans="1:26">
      <c r="A830" s="81"/>
      <c r="F830" s="81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</row>
    <row r="831" spans="1:26">
      <c r="A831" s="81"/>
      <c r="F831" s="81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</row>
    <row r="832" spans="1:26">
      <c r="A832" s="81"/>
      <c r="F832" s="81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</row>
    <row r="833" spans="1:26">
      <c r="A833" s="81"/>
      <c r="F833" s="81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</row>
    <row r="834" spans="1:26">
      <c r="A834" s="81"/>
      <c r="F834" s="81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</row>
    <row r="835" spans="1:26">
      <c r="A835" s="81"/>
      <c r="F835" s="81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</row>
    <row r="836" spans="1:26">
      <c r="A836" s="81"/>
      <c r="F836" s="81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</row>
    <row r="837" spans="1:26">
      <c r="A837" s="81"/>
      <c r="F837" s="81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</row>
    <row r="838" spans="1:26">
      <c r="A838" s="81"/>
      <c r="F838" s="81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</row>
    <row r="839" spans="1:26">
      <c r="A839" s="81"/>
      <c r="F839" s="81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</row>
    <row r="840" spans="1:26">
      <c r="A840" s="81"/>
      <c r="F840" s="81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</row>
    <row r="841" spans="1:26">
      <c r="A841" s="81"/>
      <c r="F841" s="81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</row>
    <row r="842" spans="1:26">
      <c r="A842" s="81"/>
      <c r="F842" s="81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</row>
    <row r="843" spans="1:26">
      <c r="A843" s="81"/>
      <c r="F843" s="81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</row>
    <row r="844" spans="1:26">
      <c r="A844" s="81"/>
      <c r="F844" s="81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</row>
    <row r="845" spans="1:26">
      <c r="A845" s="81"/>
      <c r="F845" s="81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</row>
    <row r="846" spans="1:26">
      <c r="A846" s="81"/>
      <c r="F846" s="81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</row>
    <row r="847" spans="1:26">
      <c r="A847" s="81"/>
      <c r="F847" s="81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</row>
    <row r="848" spans="1:26">
      <c r="A848" s="81"/>
      <c r="F848" s="81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</row>
    <row r="849" spans="1:26">
      <c r="A849" s="81"/>
      <c r="F849" s="81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</row>
    <row r="850" spans="1:26">
      <c r="A850" s="81"/>
      <c r="F850" s="81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</row>
    <row r="851" spans="1:26">
      <c r="A851" s="81"/>
      <c r="F851" s="81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</row>
    <row r="852" spans="1:26">
      <c r="A852" s="81"/>
      <c r="F852" s="81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</row>
    <row r="853" spans="1:26">
      <c r="A853" s="81"/>
      <c r="F853" s="81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</row>
    <row r="854" spans="1:26">
      <c r="A854" s="81"/>
      <c r="F854" s="81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</row>
    <row r="855" spans="1:26">
      <c r="A855" s="81"/>
      <c r="F855" s="81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</row>
    <row r="856" spans="1:26">
      <c r="A856" s="81"/>
      <c r="F856" s="81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</row>
    <row r="857" spans="1:26">
      <c r="A857" s="81"/>
      <c r="F857" s="81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</row>
    <row r="858" spans="1:26">
      <c r="A858" s="81"/>
      <c r="F858" s="81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</row>
    <row r="859" spans="1:26">
      <c r="A859" s="81"/>
      <c r="F859" s="81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</row>
    <row r="860" spans="1:26">
      <c r="A860" s="81"/>
      <c r="F860" s="81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</row>
    <row r="861" spans="1:26">
      <c r="A861" s="81"/>
      <c r="F861" s="81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</row>
    <row r="862" spans="1:26">
      <c r="A862" s="81"/>
      <c r="F862" s="81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</row>
    <row r="863" spans="1:26">
      <c r="A863" s="81"/>
      <c r="F863" s="81"/>
      <c r="G863" s="82"/>
      <c r="H863" s="82"/>
      <c r="I863" s="82"/>
      <c r="J863" s="82"/>
      <c r="K863" s="82"/>
      <c r="L863" s="82"/>
      <c r="M863" s="82"/>
      <c r="N863" s="82"/>
      <c r="O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</row>
    <row r="864" spans="1:26">
      <c r="A864" s="81"/>
      <c r="F864" s="81"/>
      <c r="G864" s="82"/>
      <c r="H864" s="82"/>
      <c r="I864" s="82"/>
      <c r="J864" s="82"/>
      <c r="K864" s="82"/>
      <c r="L864" s="82"/>
      <c r="M864" s="82"/>
      <c r="N864" s="82"/>
      <c r="O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</row>
    <row r="865" spans="1:26">
      <c r="A865" s="81"/>
      <c r="F865" s="81"/>
      <c r="G865" s="82"/>
      <c r="H865" s="82"/>
      <c r="I865" s="82"/>
      <c r="J865" s="82"/>
      <c r="K865" s="82"/>
      <c r="L865" s="82"/>
      <c r="M865" s="82"/>
      <c r="N865" s="82"/>
      <c r="O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</row>
    <row r="866" spans="1:26">
      <c r="A866" s="81"/>
      <c r="F866" s="81"/>
      <c r="G866" s="82"/>
      <c r="H866" s="82"/>
      <c r="I866" s="82"/>
      <c r="J866" s="82"/>
      <c r="K866" s="82"/>
      <c r="L866" s="82"/>
      <c r="M866" s="82"/>
      <c r="N866" s="82"/>
      <c r="O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</row>
    <row r="867" spans="1:26">
      <c r="A867" s="81"/>
      <c r="F867" s="81"/>
      <c r="G867" s="82"/>
      <c r="H867" s="82"/>
      <c r="I867" s="82"/>
      <c r="J867" s="82"/>
      <c r="K867" s="82"/>
      <c r="L867" s="82"/>
      <c r="M867" s="82"/>
      <c r="N867" s="82"/>
      <c r="O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</row>
    <row r="868" spans="1:26">
      <c r="A868" s="81"/>
      <c r="F868" s="81"/>
      <c r="G868" s="82"/>
      <c r="H868" s="82"/>
      <c r="I868" s="82"/>
      <c r="J868" s="82"/>
      <c r="K868" s="82"/>
      <c r="L868" s="82"/>
      <c r="M868" s="82"/>
      <c r="N868" s="82"/>
      <c r="O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</row>
    <row r="869" spans="1:26">
      <c r="A869" s="81"/>
      <c r="F869" s="81"/>
      <c r="G869" s="82"/>
      <c r="H869" s="82"/>
      <c r="I869" s="82"/>
      <c r="J869" s="82"/>
      <c r="K869" s="82"/>
      <c r="L869" s="82"/>
      <c r="M869" s="82"/>
      <c r="N869" s="82"/>
      <c r="O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</row>
    <row r="870" spans="1:26">
      <c r="A870" s="81"/>
      <c r="F870" s="81"/>
      <c r="G870" s="82"/>
      <c r="H870" s="82"/>
      <c r="I870" s="82"/>
      <c r="J870" s="82"/>
      <c r="K870" s="82"/>
      <c r="L870" s="82"/>
      <c r="M870" s="82"/>
      <c r="N870" s="82"/>
      <c r="O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</row>
    <row r="871" spans="1:26">
      <c r="A871" s="81"/>
      <c r="F871" s="81"/>
      <c r="G871" s="82"/>
      <c r="H871" s="82"/>
      <c r="I871" s="82"/>
      <c r="J871" s="82"/>
      <c r="K871" s="82"/>
      <c r="L871" s="82"/>
      <c r="M871" s="82"/>
      <c r="N871" s="82"/>
      <c r="O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</row>
    <row r="872" spans="1:26">
      <c r="A872" s="81"/>
      <c r="F872" s="81"/>
      <c r="G872" s="82"/>
      <c r="H872" s="82"/>
      <c r="I872" s="82"/>
      <c r="J872" s="82"/>
      <c r="K872" s="82"/>
      <c r="L872" s="82"/>
      <c r="M872" s="82"/>
      <c r="N872" s="82"/>
      <c r="O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</row>
    <row r="873" spans="1:26">
      <c r="A873" s="81"/>
      <c r="F873" s="81"/>
      <c r="G873" s="82"/>
      <c r="H873" s="82"/>
      <c r="I873" s="82"/>
      <c r="J873" s="82"/>
      <c r="K873" s="82"/>
      <c r="L873" s="82"/>
      <c r="M873" s="82"/>
      <c r="N873" s="82"/>
      <c r="O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</row>
    <row r="874" spans="1:26">
      <c r="A874" s="81"/>
      <c r="F874" s="81"/>
      <c r="G874" s="82"/>
      <c r="H874" s="82"/>
      <c r="I874" s="82"/>
      <c r="J874" s="82"/>
      <c r="K874" s="82"/>
      <c r="L874" s="82"/>
      <c r="M874" s="82"/>
      <c r="N874" s="82"/>
      <c r="O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</row>
    <row r="875" spans="1:26">
      <c r="A875" s="81"/>
      <c r="F875" s="81"/>
      <c r="G875" s="82"/>
      <c r="H875" s="82"/>
      <c r="I875" s="82"/>
      <c r="J875" s="82"/>
      <c r="K875" s="82"/>
      <c r="L875" s="82"/>
      <c r="M875" s="82"/>
      <c r="N875" s="82"/>
      <c r="O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</row>
    <row r="876" spans="1:26">
      <c r="A876" s="81"/>
      <c r="F876" s="81"/>
      <c r="G876" s="82"/>
      <c r="H876" s="82"/>
      <c r="I876" s="82"/>
      <c r="J876" s="82"/>
      <c r="K876" s="82"/>
      <c r="L876" s="82"/>
      <c r="M876" s="82"/>
      <c r="N876" s="82"/>
      <c r="O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</row>
    <row r="877" spans="1:26">
      <c r="A877" s="81"/>
      <c r="F877" s="81"/>
      <c r="G877" s="82"/>
      <c r="H877" s="82"/>
      <c r="I877" s="82"/>
      <c r="J877" s="82"/>
      <c r="K877" s="82"/>
      <c r="L877" s="82"/>
      <c r="M877" s="82"/>
      <c r="N877" s="82"/>
      <c r="O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</row>
    <row r="878" spans="1:26">
      <c r="A878" s="81"/>
      <c r="F878" s="81"/>
      <c r="G878" s="82"/>
      <c r="H878" s="82"/>
      <c r="I878" s="82"/>
      <c r="J878" s="82"/>
      <c r="K878" s="82"/>
      <c r="L878" s="82"/>
      <c r="M878" s="82"/>
      <c r="N878" s="82"/>
      <c r="O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</row>
    <row r="879" spans="1:26">
      <c r="A879" s="81"/>
      <c r="F879" s="81"/>
      <c r="G879" s="82"/>
      <c r="H879" s="82"/>
      <c r="I879" s="82"/>
      <c r="J879" s="82"/>
      <c r="K879" s="82"/>
      <c r="L879" s="82"/>
      <c r="M879" s="82"/>
      <c r="N879" s="82"/>
      <c r="O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</row>
    <row r="880" spans="1:26">
      <c r="A880" s="81"/>
      <c r="F880" s="81"/>
      <c r="G880" s="82"/>
      <c r="H880" s="82"/>
      <c r="I880" s="82"/>
      <c r="J880" s="82"/>
      <c r="K880" s="82"/>
      <c r="L880" s="82"/>
      <c r="M880" s="82"/>
      <c r="N880" s="82"/>
      <c r="O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</row>
    <row r="881" spans="1:26">
      <c r="A881" s="81"/>
      <c r="F881" s="81"/>
      <c r="G881" s="82"/>
      <c r="H881" s="82"/>
      <c r="I881" s="82"/>
      <c r="J881" s="82"/>
      <c r="K881" s="82"/>
      <c r="L881" s="82"/>
      <c r="M881" s="82"/>
      <c r="N881" s="82"/>
      <c r="O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</row>
    <row r="882" spans="1:26">
      <c r="A882" s="81"/>
      <c r="F882" s="81"/>
      <c r="G882" s="82"/>
      <c r="H882" s="82"/>
      <c r="I882" s="82"/>
      <c r="J882" s="82"/>
      <c r="K882" s="82"/>
      <c r="L882" s="82"/>
      <c r="M882" s="82"/>
      <c r="N882" s="82"/>
      <c r="O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</row>
    <row r="883" spans="1:26">
      <c r="A883" s="81"/>
      <c r="F883" s="81"/>
      <c r="G883" s="82"/>
      <c r="H883" s="82"/>
      <c r="I883" s="82"/>
      <c r="J883" s="82"/>
      <c r="K883" s="82"/>
      <c r="L883" s="82"/>
      <c r="M883" s="82"/>
      <c r="N883" s="82"/>
      <c r="O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</row>
    <row r="884" spans="1:26">
      <c r="A884" s="81"/>
      <c r="F884" s="81"/>
      <c r="G884" s="82"/>
      <c r="H884" s="82"/>
      <c r="I884" s="82"/>
      <c r="J884" s="82"/>
      <c r="K884" s="82"/>
      <c r="L884" s="82"/>
      <c r="M884" s="82"/>
      <c r="N884" s="82"/>
      <c r="O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</row>
    <row r="885" spans="1:26">
      <c r="A885" s="81"/>
      <c r="F885" s="81"/>
      <c r="G885" s="82"/>
      <c r="H885" s="82"/>
      <c r="I885" s="82"/>
      <c r="J885" s="82"/>
      <c r="K885" s="82"/>
      <c r="L885" s="82"/>
      <c r="M885" s="82"/>
      <c r="N885" s="82"/>
      <c r="O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</row>
    <row r="886" spans="1:26">
      <c r="A886" s="81"/>
      <c r="F886" s="81"/>
      <c r="G886" s="82"/>
      <c r="H886" s="82"/>
      <c r="I886" s="82"/>
      <c r="J886" s="82"/>
      <c r="K886" s="82"/>
      <c r="L886" s="82"/>
      <c r="M886" s="82"/>
      <c r="N886" s="82"/>
      <c r="O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</row>
    <row r="887" spans="1:26">
      <c r="A887" s="81"/>
      <c r="F887" s="81"/>
      <c r="G887" s="82"/>
      <c r="H887" s="82"/>
      <c r="I887" s="82"/>
      <c r="J887" s="82"/>
      <c r="K887" s="82"/>
      <c r="L887" s="82"/>
      <c r="M887" s="82"/>
      <c r="N887" s="82"/>
      <c r="O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</row>
    <row r="888" spans="1:26">
      <c r="A888" s="81"/>
      <c r="F888" s="81"/>
      <c r="G888" s="82"/>
      <c r="H888" s="82"/>
      <c r="I888" s="82"/>
      <c r="J888" s="82"/>
      <c r="K888" s="82"/>
      <c r="L888" s="82"/>
      <c r="M888" s="82"/>
      <c r="N888" s="82"/>
      <c r="O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</row>
    <row r="889" spans="1:26">
      <c r="A889" s="81"/>
      <c r="F889" s="81"/>
      <c r="G889" s="82"/>
      <c r="H889" s="82"/>
      <c r="I889" s="82"/>
      <c r="J889" s="82"/>
      <c r="K889" s="82"/>
      <c r="L889" s="82"/>
      <c r="M889" s="82"/>
      <c r="N889" s="82"/>
      <c r="O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</row>
    <row r="890" spans="1:26">
      <c r="A890" s="81"/>
      <c r="F890" s="81"/>
      <c r="G890" s="82"/>
      <c r="H890" s="82"/>
      <c r="I890" s="82"/>
      <c r="J890" s="82"/>
      <c r="K890" s="82"/>
      <c r="L890" s="82"/>
      <c r="M890" s="82"/>
      <c r="N890" s="82"/>
      <c r="O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</row>
    <row r="891" spans="1:26">
      <c r="A891" s="81"/>
      <c r="F891" s="81"/>
      <c r="G891" s="82"/>
      <c r="H891" s="82"/>
      <c r="I891" s="82"/>
      <c r="J891" s="82"/>
      <c r="K891" s="82"/>
      <c r="L891" s="82"/>
      <c r="M891" s="82"/>
      <c r="N891" s="82"/>
      <c r="O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</row>
    <row r="892" spans="1:26">
      <c r="A892" s="81"/>
      <c r="F892" s="81"/>
      <c r="G892" s="82"/>
      <c r="H892" s="82"/>
      <c r="I892" s="82"/>
      <c r="J892" s="82"/>
      <c r="K892" s="82"/>
      <c r="L892" s="82"/>
      <c r="M892" s="82"/>
      <c r="N892" s="82"/>
      <c r="O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</row>
    <row r="893" spans="1:26">
      <c r="A893" s="81"/>
      <c r="F893" s="81"/>
      <c r="G893" s="82"/>
      <c r="H893" s="82"/>
      <c r="I893" s="82"/>
      <c r="J893" s="82"/>
      <c r="K893" s="82"/>
      <c r="L893" s="82"/>
      <c r="M893" s="82"/>
      <c r="N893" s="82"/>
      <c r="O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</row>
    <row r="894" spans="1:26">
      <c r="A894" s="81"/>
      <c r="F894" s="81"/>
      <c r="G894" s="82"/>
      <c r="H894" s="82"/>
      <c r="I894" s="82"/>
      <c r="J894" s="82"/>
      <c r="K894" s="82"/>
      <c r="L894" s="82"/>
      <c r="M894" s="82"/>
      <c r="N894" s="82"/>
      <c r="O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</row>
    <row r="895" spans="1:26">
      <c r="A895" s="81"/>
      <c r="F895" s="81"/>
      <c r="G895" s="82"/>
      <c r="H895" s="82"/>
      <c r="I895" s="82"/>
      <c r="J895" s="82"/>
      <c r="K895" s="82"/>
      <c r="L895" s="82"/>
      <c r="M895" s="82"/>
      <c r="N895" s="82"/>
      <c r="O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</row>
    <row r="896" spans="1:26">
      <c r="A896" s="81"/>
      <c r="F896" s="81"/>
      <c r="G896" s="82"/>
      <c r="H896" s="82"/>
      <c r="I896" s="82"/>
      <c r="J896" s="82"/>
      <c r="K896" s="82"/>
      <c r="L896" s="82"/>
      <c r="M896" s="82"/>
      <c r="N896" s="82"/>
      <c r="O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</row>
    <row r="897" spans="1:26">
      <c r="A897" s="81"/>
      <c r="F897" s="81"/>
      <c r="G897" s="82"/>
      <c r="H897" s="82"/>
      <c r="I897" s="82"/>
      <c r="J897" s="82"/>
      <c r="K897" s="82"/>
      <c r="L897" s="82"/>
      <c r="M897" s="82"/>
      <c r="N897" s="82"/>
      <c r="O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</row>
    <row r="898" spans="1:26">
      <c r="A898" s="81"/>
      <c r="F898" s="81"/>
      <c r="G898" s="82"/>
      <c r="H898" s="82"/>
      <c r="I898" s="82"/>
      <c r="J898" s="82"/>
      <c r="K898" s="82"/>
      <c r="L898" s="82"/>
      <c r="M898" s="82"/>
      <c r="N898" s="82"/>
      <c r="O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</row>
    <row r="899" spans="1:26">
      <c r="A899" s="81"/>
      <c r="F899" s="81"/>
      <c r="G899" s="82"/>
      <c r="H899" s="82"/>
      <c r="I899" s="82"/>
      <c r="J899" s="82"/>
      <c r="K899" s="82"/>
      <c r="L899" s="82"/>
      <c r="M899" s="82"/>
      <c r="N899" s="82"/>
      <c r="O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</row>
    <row r="900" spans="1:26">
      <c r="A900" s="81"/>
      <c r="F900" s="81"/>
      <c r="G900" s="82"/>
      <c r="H900" s="82"/>
      <c r="I900" s="82"/>
      <c r="J900" s="82"/>
      <c r="K900" s="82"/>
      <c r="L900" s="82"/>
      <c r="M900" s="82"/>
      <c r="N900" s="82"/>
      <c r="O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</row>
    <row r="901" spans="1:26">
      <c r="A901" s="81"/>
      <c r="F901" s="81"/>
      <c r="G901" s="82"/>
      <c r="H901" s="82"/>
      <c r="I901" s="82"/>
      <c r="J901" s="82"/>
      <c r="K901" s="82"/>
      <c r="L901" s="82"/>
      <c r="M901" s="82"/>
      <c r="N901" s="82"/>
      <c r="O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</row>
    <row r="902" spans="1:26">
      <c r="A902" s="81"/>
      <c r="F902" s="81"/>
      <c r="G902" s="82"/>
      <c r="H902" s="82"/>
      <c r="I902" s="82"/>
      <c r="J902" s="82"/>
      <c r="K902" s="82"/>
      <c r="L902" s="82"/>
      <c r="M902" s="82"/>
      <c r="N902" s="82"/>
      <c r="O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</row>
    <row r="903" spans="1:26">
      <c r="A903" s="81"/>
      <c r="F903" s="81"/>
      <c r="G903" s="82"/>
      <c r="H903" s="82"/>
      <c r="I903" s="82"/>
      <c r="J903" s="82"/>
      <c r="K903" s="82"/>
      <c r="L903" s="82"/>
      <c r="M903" s="82"/>
      <c r="N903" s="82"/>
      <c r="O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</row>
    <row r="904" spans="1:26">
      <c r="A904" s="81"/>
      <c r="F904" s="81"/>
      <c r="G904" s="82"/>
      <c r="H904" s="82"/>
      <c r="I904" s="82"/>
      <c r="J904" s="82"/>
      <c r="K904" s="82"/>
      <c r="L904" s="82"/>
      <c r="M904" s="82"/>
      <c r="N904" s="82"/>
      <c r="O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</row>
    <row r="905" spans="1:26">
      <c r="A905" s="81"/>
      <c r="F905" s="81"/>
      <c r="G905" s="82"/>
      <c r="H905" s="82"/>
      <c r="I905" s="82"/>
      <c r="J905" s="82"/>
      <c r="K905" s="82"/>
      <c r="L905" s="82"/>
      <c r="M905" s="82"/>
      <c r="N905" s="82"/>
      <c r="O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</row>
    <row r="906" spans="1:26">
      <c r="A906" s="81"/>
      <c r="F906" s="81"/>
      <c r="G906" s="82"/>
      <c r="H906" s="82"/>
      <c r="I906" s="82"/>
      <c r="J906" s="82"/>
      <c r="K906" s="82"/>
      <c r="L906" s="82"/>
      <c r="M906" s="82"/>
      <c r="N906" s="82"/>
      <c r="O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</row>
    <row r="907" spans="1:26">
      <c r="A907" s="81"/>
      <c r="F907" s="81"/>
      <c r="G907" s="82"/>
      <c r="H907" s="82"/>
      <c r="I907" s="82"/>
      <c r="J907" s="82"/>
      <c r="K907" s="82"/>
      <c r="L907" s="82"/>
      <c r="M907" s="82"/>
      <c r="N907" s="82"/>
      <c r="O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</row>
    <row r="908" spans="1:26">
      <c r="A908" s="81"/>
      <c r="F908" s="81"/>
      <c r="G908" s="82"/>
      <c r="H908" s="82"/>
      <c r="I908" s="82"/>
      <c r="J908" s="82"/>
      <c r="K908" s="82"/>
      <c r="L908" s="82"/>
      <c r="M908" s="82"/>
      <c r="N908" s="82"/>
      <c r="O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</row>
    <row r="909" spans="1:26">
      <c r="A909" s="81"/>
      <c r="F909" s="81"/>
      <c r="G909" s="82"/>
      <c r="H909" s="82"/>
      <c r="I909" s="82"/>
      <c r="J909" s="82"/>
      <c r="K909" s="82"/>
      <c r="L909" s="82"/>
      <c r="M909" s="82"/>
      <c r="N909" s="82"/>
      <c r="O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</row>
    <row r="910" spans="1:26">
      <c r="A910" s="81"/>
      <c r="F910" s="81"/>
      <c r="G910" s="82"/>
      <c r="H910" s="82"/>
      <c r="I910" s="82"/>
      <c r="J910" s="82"/>
      <c r="K910" s="82"/>
      <c r="L910" s="82"/>
      <c r="M910" s="82"/>
      <c r="N910" s="82"/>
      <c r="O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</row>
    <row r="911" spans="1:26">
      <c r="A911" s="81"/>
      <c r="F911" s="81"/>
      <c r="G911" s="82"/>
      <c r="H911" s="82"/>
      <c r="I911" s="82"/>
      <c r="J911" s="82"/>
      <c r="K911" s="82"/>
      <c r="L911" s="82"/>
      <c r="M911" s="82"/>
      <c r="N911" s="82"/>
      <c r="O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</row>
    <row r="912" spans="1:26">
      <c r="A912" s="81"/>
      <c r="F912" s="81"/>
      <c r="G912" s="82"/>
      <c r="H912" s="82"/>
      <c r="I912" s="82"/>
      <c r="J912" s="82"/>
      <c r="K912" s="82"/>
      <c r="L912" s="82"/>
      <c r="M912" s="82"/>
      <c r="N912" s="82"/>
      <c r="O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</row>
    <row r="913" spans="1:26">
      <c r="A913" s="81"/>
      <c r="F913" s="81"/>
      <c r="G913" s="82"/>
      <c r="H913" s="82"/>
      <c r="I913" s="82"/>
      <c r="J913" s="82"/>
      <c r="K913" s="82"/>
      <c r="L913" s="82"/>
      <c r="M913" s="82"/>
      <c r="N913" s="82"/>
      <c r="O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</row>
    <row r="914" spans="1:26">
      <c r="A914" s="81"/>
      <c r="F914" s="81"/>
      <c r="G914" s="82"/>
      <c r="H914" s="82"/>
      <c r="I914" s="82"/>
      <c r="J914" s="82"/>
      <c r="K914" s="82"/>
      <c r="L914" s="82"/>
      <c r="M914" s="82"/>
      <c r="N914" s="82"/>
      <c r="O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</row>
    <row r="915" spans="1:26">
      <c r="A915" s="81"/>
      <c r="F915" s="81"/>
      <c r="G915" s="82"/>
      <c r="H915" s="82"/>
      <c r="I915" s="82"/>
      <c r="J915" s="82"/>
      <c r="K915" s="82"/>
      <c r="L915" s="82"/>
      <c r="M915" s="82"/>
      <c r="N915" s="82"/>
      <c r="O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</row>
    <row r="916" spans="1:26">
      <c r="A916" s="81"/>
      <c r="F916" s="81"/>
      <c r="G916" s="82"/>
      <c r="H916" s="82"/>
      <c r="I916" s="82"/>
      <c r="J916" s="82"/>
      <c r="K916" s="82"/>
      <c r="L916" s="82"/>
      <c r="M916" s="82"/>
      <c r="N916" s="82"/>
      <c r="O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</row>
    <row r="917" spans="1:26">
      <c r="A917" s="81"/>
      <c r="F917" s="81"/>
      <c r="G917" s="82"/>
      <c r="H917" s="82"/>
      <c r="I917" s="82"/>
      <c r="J917" s="82"/>
      <c r="K917" s="82"/>
      <c r="L917" s="82"/>
      <c r="M917" s="82"/>
      <c r="N917" s="82"/>
      <c r="O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</row>
    <row r="918" spans="1:26">
      <c r="A918" s="81"/>
      <c r="F918" s="81"/>
      <c r="G918" s="82"/>
      <c r="H918" s="82"/>
      <c r="I918" s="82"/>
      <c r="J918" s="82"/>
      <c r="K918" s="82"/>
      <c r="L918" s="82"/>
      <c r="M918" s="82"/>
      <c r="N918" s="82"/>
      <c r="O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</row>
    <row r="919" spans="1:26">
      <c r="A919" s="81"/>
      <c r="F919" s="81"/>
      <c r="G919" s="82"/>
      <c r="H919" s="82"/>
      <c r="I919" s="82"/>
      <c r="J919" s="82"/>
      <c r="K919" s="82"/>
      <c r="L919" s="82"/>
      <c r="M919" s="82"/>
      <c r="N919" s="82"/>
      <c r="O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</row>
    <row r="920" spans="1:26">
      <c r="A920" s="81"/>
      <c r="F920" s="81"/>
      <c r="G920" s="82"/>
      <c r="H920" s="82"/>
      <c r="I920" s="82"/>
      <c r="J920" s="82"/>
      <c r="K920" s="82"/>
      <c r="L920" s="82"/>
      <c r="M920" s="82"/>
      <c r="N920" s="82"/>
      <c r="O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</row>
    <row r="921" spans="1:26">
      <c r="A921" s="81"/>
      <c r="F921" s="81"/>
      <c r="G921" s="82"/>
      <c r="H921" s="82"/>
      <c r="I921" s="82"/>
      <c r="J921" s="82"/>
      <c r="K921" s="82"/>
      <c r="L921" s="82"/>
      <c r="M921" s="82"/>
      <c r="N921" s="82"/>
      <c r="O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</row>
    <row r="922" spans="1:26">
      <c r="A922" s="81"/>
      <c r="F922" s="81"/>
      <c r="G922" s="82"/>
      <c r="H922" s="82"/>
      <c r="I922" s="82"/>
      <c r="J922" s="82"/>
      <c r="K922" s="82"/>
      <c r="L922" s="82"/>
      <c r="M922" s="82"/>
      <c r="N922" s="82"/>
      <c r="O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</row>
    <row r="923" spans="1:26">
      <c r="A923" s="81"/>
      <c r="F923" s="81"/>
      <c r="G923" s="82"/>
      <c r="H923" s="82"/>
      <c r="I923" s="82"/>
      <c r="J923" s="82"/>
      <c r="K923" s="82"/>
      <c r="L923" s="82"/>
      <c r="M923" s="82"/>
      <c r="N923" s="82"/>
      <c r="O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</row>
    <row r="924" spans="1:26">
      <c r="A924" s="81"/>
      <c r="F924" s="81"/>
      <c r="G924" s="82"/>
      <c r="H924" s="82"/>
      <c r="I924" s="82"/>
      <c r="J924" s="82"/>
      <c r="K924" s="82"/>
      <c r="L924" s="82"/>
      <c r="M924" s="82"/>
      <c r="N924" s="82"/>
      <c r="O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</row>
    <row r="925" spans="1:26">
      <c r="A925" s="81"/>
      <c r="F925" s="81"/>
      <c r="G925" s="82"/>
      <c r="H925" s="82"/>
      <c r="I925" s="82"/>
      <c r="J925" s="82"/>
      <c r="K925" s="82"/>
      <c r="L925" s="82"/>
      <c r="M925" s="82"/>
      <c r="N925" s="82"/>
      <c r="O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</row>
    <row r="926" spans="1:26">
      <c r="A926" s="81"/>
      <c r="F926" s="81"/>
      <c r="G926" s="82"/>
      <c r="H926" s="82"/>
      <c r="I926" s="82"/>
      <c r="J926" s="82"/>
      <c r="K926" s="82"/>
      <c r="L926" s="82"/>
      <c r="M926" s="82"/>
      <c r="N926" s="82"/>
      <c r="O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</row>
    <row r="927" spans="1:26">
      <c r="A927" s="81"/>
      <c r="F927" s="81"/>
      <c r="G927" s="82"/>
      <c r="H927" s="82"/>
      <c r="I927" s="82"/>
      <c r="J927" s="82"/>
      <c r="K927" s="82"/>
      <c r="L927" s="82"/>
      <c r="M927" s="82"/>
      <c r="N927" s="82"/>
      <c r="O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</row>
    <row r="928" spans="1:26">
      <c r="A928" s="81"/>
      <c r="F928" s="81"/>
      <c r="G928" s="82"/>
      <c r="H928" s="82"/>
      <c r="I928" s="82"/>
      <c r="J928" s="82"/>
      <c r="K928" s="82"/>
      <c r="L928" s="82"/>
      <c r="M928" s="82"/>
      <c r="N928" s="82"/>
      <c r="O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</row>
    <row r="929" spans="1:26">
      <c r="A929" s="81"/>
      <c r="F929" s="81"/>
      <c r="G929" s="82"/>
      <c r="H929" s="82"/>
      <c r="I929" s="82"/>
      <c r="J929" s="82"/>
      <c r="K929" s="82"/>
      <c r="L929" s="82"/>
      <c r="M929" s="82"/>
      <c r="N929" s="82"/>
      <c r="O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</row>
    <row r="930" spans="1:26">
      <c r="A930" s="81"/>
      <c r="F930" s="81"/>
      <c r="G930" s="82"/>
      <c r="H930" s="82"/>
      <c r="I930" s="82"/>
      <c r="J930" s="82"/>
      <c r="K930" s="82"/>
      <c r="L930" s="82"/>
      <c r="M930" s="82"/>
      <c r="N930" s="82"/>
      <c r="O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</row>
    <row r="931" spans="1:26">
      <c r="A931" s="81"/>
      <c r="F931" s="81"/>
      <c r="G931" s="82"/>
      <c r="H931" s="82"/>
      <c r="I931" s="82"/>
      <c r="J931" s="82"/>
      <c r="K931" s="82"/>
      <c r="L931" s="82"/>
      <c r="M931" s="82"/>
      <c r="N931" s="82"/>
      <c r="O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</row>
    <row r="932" spans="1:26">
      <c r="A932" s="81"/>
      <c r="F932" s="81"/>
      <c r="G932" s="82"/>
      <c r="H932" s="82"/>
      <c r="I932" s="82"/>
      <c r="J932" s="82"/>
      <c r="K932" s="82"/>
      <c r="L932" s="82"/>
      <c r="M932" s="82"/>
      <c r="N932" s="82"/>
      <c r="O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</row>
    <row r="933" spans="1:26">
      <c r="A933" s="81"/>
      <c r="F933" s="81"/>
      <c r="G933" s="82"/>
      <c r="H933" s="82"/>
      <c r="I933" s="82"/>
      <c r="J933" s="82"/>
      <c r="K933" s="82"/>
      <c r="L933" s="82"/>
      <c r="M933" s="82"/>
      <c r="N933" s="82"/>
      <c r="O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</row>
    <row r="934" spans="1:26">
      <c r="A934" s="81"/>
      <c r="F934" s="81"/>
      <c r="G934" s="82"/>
      <c r="H934" s="82"/>
      <c r="I934" s="82"/>
      <c r="J934" s="82"/>
      <c r="K934" s="82"/>
      <c r="L934" s="82"/>
      <c r="M934" s="82"/>
      <c r="N934" s="82"/>
      <c r="O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</row>
    <row r="935" spans="1:26">
      <c r="A935" s="81"/>
      <c r="F935" s="81"/>
      <c r="G935" s="82"/>
      <c r="H935" s="82"/>
      <c r="I935" s="82"/>
      <c r="J935" s="82"/>
      <c r="K935" s="82"/>
      <c r="L935" s="82"/>
      <c r="M935" s="82"/>
      <c r="N935" s="82"/>
      <c r="O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</row>
    <row r="936" spans="1:26">
      <c r="A936" s="81"/>
      <c r="F936" s="81"/>
      <c r="G936" s="82"/>
      <c r="H936" s="82"/>
      <c r="I936" s="82"/>
      <c r="J936" s="82"/>
      <c r="K936" s="82"/>
      <c r="L936" s="82"/>
      <c r="M936" s="82"/>
      <c r="N936" s="82"/>
      <c r="O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</row>
    <row r="937" spans="1:26">
      <c r="A937" s="81"/>
      <c r="F937" s="81"/>
      <c r="G937" s="82"/>
      <c r="H937" s="82"/>
      <c r="I937" s="82"/>
      <c r="J937" s="82"/>
      <c r="K937" s="82"/>
      <c r="L937" s="82"/>
      <c r="M937" s="82"/>
      <c r="N937" s="82"/>
      <c r="O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</row>
    <row r="938" spans="1:26">
      <c r="A938" s="81"/>
      <c r="F938" s="81"/>
      <c r="G938" s="82"/>
      <c r="H938" s="82"/>
      <c r="I938" s="82"/>
      <c r="J938" s="82"/>
      <c r="K938" s="82"/>
      <c r="L938" s="82"/>
      <c r="M938" s="82"/>
      <c r="N938" s="82"/>
      <c r="O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</row>
    <row r="939" spans="1:26">
      <c r="A939" s="81"/>
      <c r="F939" s="81"/>
      <c r="G939" s="82"/>
      <c r="H939" s="82"/>
      <c r="I939" s="82"/>
      <c r="J939" s="82"/>
      <c r="K939" s="82"/>
      <c r="L939" s="82"/>
      <c r="M939" s="82"/>
      <c r="N939" s="82"/>
      <c r="O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</row>
    <row r="940" spans="1:26">
      <c r="A940" s="81"/>
      <c r="F940" s="81"/>
      <c r="G940" s="82"/>
      <c r="H940" s="82"/>
      <c r="I940" s="82"/>
      <c r="J940" s="82"/>
      <c r="K940" s="82"/>
      <c r="L940" s="82"/>
      <c r="M940" s="82"/>
      <c r="N940" s="82"/>
      <c r="O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</row>
    <row r="941" spans="1:26">
      <c r="A941" s="81"/>
      <c r="F941" s="81"/>
      <c r="G941" s="82"/>
      <c r="H941" s="82"/>
      <c r="I941" s="82"/>
      <c r="J941" s="82"/>
      <c r="K941" s="82"/>
      <c r="L941" s="82"/>
      <c r="M941" s="82"/>
      <c r="N941" s="82"/>
      <c r="O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</row>
    <row r="942" spans="1:26">
      <c r="A942" s="81"/>
      <c r="F942" s="81"/>
      <c r="G942" s="82"/>
      <c r="H942" s="82"/>
      <c r="I942" s="82"/>
      <c r="J942" s="82"/>
      <c r="K942" s="82"/>
      <c r="L942" s="82"/>
      <c r="M942" s="82"/>
      <c r="N942" s="82"/>
      <c r="O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</row>
    <row r="943" spans="1:26">
      <c r="A943" s="81"/>
      <c r="F943" s="81"/>
      <c r="G943" s="82"/>
      <c r="H943" s="82"/>
      <c r="I943" s="82"/>
      <c r="J943" s="82"/>
      <c r="K943" s="82"/>
      <c r="L943" s="82"/>
      <c r="M943" s="82"/>
      <c r="N943" s="82"/>
      <c r="O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</row>
    <row r="944" spans="1:26">
      <c r="A944" s="81"/>
      <c r="F944" s="81"/>
      <c r="G944" s="82"/>
      <c r="H944" s="82"/>
      <c r="I944" s="82"/>
      <c r="J944" s="82"/>
      <c r="K944" s="82"/>
      <c r="L944" s="82"/>
      <c r="M944" s="82"/>
      <c r="N944" s="82"/>
      <c r="O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</row>
    <row r="945" spans="1:26">
      <c r="A945" s="81"/>
      <c r="F945" s="81"/>
      <c r="G945" s="82"/>
      <c r="H945" s="82"/>
      <c r="I945" s="82"/>
      <c r="J945" s="82"/>
      <c r="K945" s="82"/>
      <c r="L945" s="82"/>
      <c r="M945" s="82"/>
      <c r="N945" s="82"/>
      <c r="O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</row>
    <row r="946" spans="1:26">
      <c r="A946" s="81"/>
      <c r="F946" s="81"/>
      <c r="G946" s="82"/>
      <c r="H946" s="82"/>
      <c r="I946" s="82"/>
      <c r="J946" s="82"/>
      <c r="K946" s="82"/>
      <c r="L946" s="82"/>
      <c r="M946" s="82"/>
      <c r="N946" s="82"/>
      <c r="O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</row>
    <row r="947" spans="1:26">
      <c r="A947" s="81"/>
      <c r="F947" s="81"/>
      <c r="G947" s="82"/>
      <c r="H947" s="82"/>
      <c r="I947" s="82"/>
      <c r="J947" s="82"/>
      <c r="K947" s="82"/>
      <c r="L947" s="82"/>
      <c r="M947" s="82"/>
      <c r="N947" s="82"/>
      <c r="O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</row>
    <row r="948" spans="1:26">
      <c r="A948" s="81"/>
      <c r="F948" s="81"/>
      <c r="G948" s="82"/>
      <c r="H948" s="82"/>
      <c r="I948" s="82"/>
      <c r="J948" s="82"/>
      <c r="K948" s="82"/>
      <c r="L948" s="82"/>
      <c r="M948" s="82"/>
      <c r="N948" s="82"/>
      <c r="O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</row>
    <row r="949" spans="1:26">
      <c r="A949" s="81"/>
      <c r="F949" s="81"/>
      <c r="G949" s="82"/>
      <c r="H949" s="82"/>
      <c r="I949" s="82"/>
      <c r="J949" s="82"/>
      <c r="K949" s="82"/>
      <c r="L949" s="82"/>
      <c r="M949" s="82"/>
      <c r="N949" s="82"/>
      <c r="O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</row>
    <row r="950" spans="1:26">
      <c r="A950" s="81"/>
      <c r="F950" s="81"/>
      <c r="G950" s="82"/>
      <c r="H950" s="82"/>
      <c r="I950" s="82"/>
      <c r="J950" s="82"/>
      <c r="K950" s="82"/>
      <c r="L950" s="82"/>
      <c r="M950" s="82"/>
      <c r="N950" s="82"/>
      <c r="O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</row>
    <row r="951" spans="1:26">
      <c r="A951" s="81"/>
      <c r="F951" s="81"/>
      <c r="G951" s="82"/>
      <c r="H951" s="82"/>
      <c r="I951" s="82"/>
      <c r="J951" s="82"/>
      <c r="K951" s="82"/>
      <c r="L951" s="82"/>
      <c r="M951" s="82"/>
      <c r="N951" s="82"/>
      <c r="O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</row>
    <row r="952" spans="1:26">
      <c r="A952" s="81"/>
      <c r="F952" s="81"/>
      <c r="G952" s="82"/>
      <c r="H952" s="82"/>
      <c r="I952" s="82"/>
      <c r="J952" s="82"/>
      <c r="K952" s="82"/>
      <c r="L952" s="82"/>
      <c r="M952" s="82"/>
      <c r="N952" s="82"/>
      <c r="O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</row>
    <row r="953" spans="1:26">
      <c r="A953" s="81"/>
      <c r="F953" s="81"/>
      <c r="G953" s="82"/>
      <c r="H953" s="82"/>
      <c r="I953" s="82"/>
      <c r="J953" s="82"/>
      <c r="K953" s="82"/>
      <c r="L953" s="82"/>
      <c r="M953" s="82"/>
      <c r="N953" s="82"/>
      <c r="O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</row>
    <row r="954" spans="1:26">
      <c r="A954" s="81"/>
      <c r="F954" s="81"/>
      <c r="G954" s="82"/>
      <c r="H954" s="82"/>
      <c r="I954" s="82"/>
      <c r="J954" s="82"/>
      <c r="K954" s="82"/>
      <c r="L954" s="82"/>
      <c r="M954" s="82"/>
      <c r="N954" s="82"/>
      <c r="O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</row>
    <row r="955" spans="1:26">
      <c r="A955" s="81"/>
      <c r="F955" s="81"/>
      <c r="G955" s="82"/>
      <c r="H955" s="82"/>
      <c r="I955" s="82"/>
      <c r="J955" s="82"/>
      <c r="K955" s="82"/>
      <c r="L955" s="82"/>
      <c r="M955" s="82"/>
      <c r="N955" s="82"/>
      <c r="O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</row>
    <row r="956" spans="1:26">
      <c r="A956" s="81"/>
      <c r="F956" s="81"/>
      <c r="G956" s="82"/>
      <c r="H956" s="82"/>
      <c r="I956" s="82"/>
      <c r="J956" s="82"/>
      <c r="K956" s="82"/>
      <c r="L956" s="82"/>
      <c r="M956" s="82"/>
      <c r="N956" s="82"/>
      <c r="O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</row>
    <row r="957" spans="1:26">
      <c r="A957" s="81"/>
      <c r="F957" s="81"/>
      <c r="G957" s="82"/>
      <c r="H957" s="82"/>
      <c r="I957" s="82"/>
      <c r="J957" s="82"/>
      <c r="K957" s="82"/>
      <c r="L957" s="82"/>
      <c r="M957" s="82"/>
      <c r="N957" s="82"/>
      <c r="O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</row>
    <row r="958" spans="1:26">
      <c r="A958" s="81"/>
      <c r="F958" s="81"/>
      <c r="G958" s="82"/>
      <c r="H958" s="82"/>
      <c r="I958" s="82"/>
      <c r="J958" s="82"/>
      <c r="K958" s="82"/>
      <c r="L958" s="82"/>
      <c r="M958" s="82"/>
      <c r="N958" s="82"/>
      <c r="O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</row>
    <row r="959" spans="1:26">
      <c r="A959" s="81"/>
      <c r="F959" s="81"/>
      <c r="G959" s="82"/>
      <c r="H959" s="82"/>
      <c r="I959" s="82"/>
      <c r="J959" s="82"/>
      <c r="K959" s="82"/>
      <c r="L959" s="82"/>
      <c r="M959" s="82"/>
      <c r="N959" s="82"/>
      <c r="O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</row>
    <row r="960" spans="1:26">
      <c r="A960" s="81"/>
      <c r="F960" s="81"/>
      <c r="G960" s="82"/>
      <c r="H960" s="82"/>
      <c r="I960" s="82"/>
      <c r="J960" s="82"/>
      <c r="K960" s="82"/>
      <c r="L960" s="82"/>
      <c r="M960" s="82"/>
      <c r="N960" s="82"/>
      <c r="O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</row>
    <row r="961" spans="1:26">
      <c r="A961" s="81"/>
      <c r="F961" s="81"/>
      <c r="G961" s="82"/>
      <c r="H961" s="82"/>
      <c r="I961" s="82"/>
      <c r="J961" s="82"/>
      <c r="K961" s="82"/>
      <c r="L961" s="82"/>
      <c r="M961" s="82"/>
      <c r="N961" s="82"/>
      <c r="O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</row>
    <row r="962" spans="1:26">
      <c r="A962" s="81"/>
      <c r="F962" s="81"/>
      <c r="G962" s="82"/>
      <c r="H962" s="82"/>
      <c r="I962" s="82"/>
      <c r="J962" s="82"/>
      <c r="K962" s="82"/>
      <c r="L962" s="82"/>
      <c r="M962" s="82"/>
      <c r="N962" s="82"/>
      <c r="O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</row>
    <row r="963" spans="1:26">
      <c r="A963" s="81"/>
      <c r="F963" s="81"/>
      <c r="G963" s="82"/>
      <c r="H963" s="82"/>
      <c r="I963" s="82"/>
      <c r="J963" s="82"/>
      <c r="K963" s="82"/>
      <c r="L963" s="82"/>
      <c r="M963" s="82"/>
      <c r="N963" s="82"/>
      <c r="O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</row>
    <row r="964" spans="1:26">
      <c r="A964" s="81"/>
      <c r="F964" s="81"/>
      <c r="G964" s="82"/>
      <c r="H964" s="82"/>
      <c r="I964" s="82"/>
      <c r="J964" s="82"/>
      <c r="K964" s="82"/>
      <c r="L964" s="82"/>
      <c r="M964" s="82"/>
      <c r="N964" s="82"/>
      <c r="O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</row>
    <row r="965" spans="1:26">
      <c r="A965" s="81"/>
      <c r="F965" s="81"/>
      <c r="G965" s="82"/>
      <c r="H965" s="82"/>
      <c r="I965" s="82"/>
      <c r="J965" s="82"/>
      <c r="K965" s="82"/>
      <c r="L965" s="82"/>
      <c r="M965" s="82"/>
      <c r="N965" s="82"/>
      <c r="O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</row>
    <row r="966" spans="1:26">
      <c r="A966" s="81"/>
      <c r="F966" s="81"/>
      <c r="G966" s="82"/>
      <c r="H966" s="82"/>
      <c r="I966" s="82"/>
      <c r="J966" s="82"/>
      <c r="K966" s="82"/>
      <c r="L966" s="82"/>
      <c r="M966" s="82"/>
      <c r="N966" s="82"/>
      <c r="O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</row>
    <row r="967" spans="1:26">
      <c r="A967" s="81"/>
      <c r="F967" s="81"/>
      <c r="G967" s="82"/>
      <c r="H967" s="82"/>
      <c r="I967" s="82"/>
      <c r="J967" s="82"/>
      <c r="K967" s="82"/>
      <c r="L967" s="82"/>
      <c r="M967" s="82"/>
      <c r="N967" s="82"/>
      <c r="O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</row>
    <row r="968" spans="1:26">
      <c r="A968" s="81"/>
      <c r="F968" s="81"/>
      <c r="G968" s="82"/>
      <c r="H968" s="82"/>
      <c r="I968" s="82"/>
      <c r="J968" s="82"/>
      <c r="K968" s="82"/>
      <c r="L968" s="82"/>
      <c r="M968" s="82"/>
      <c r="N968" s="82"/>
      <c r="O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</row>
    <row r="969" spans="1:26">
      <c r="A969" s="81"/>
      <c r="F969" s="81"/>
      <c r="G969" s="82"/>
      <c r="H969" s="82"/>
      <c r="I969" s="82"/>
      <c r="J969" s="82"/>
      <c r="K969" s="82"/>
      <c r="L969" s="82"/>
      <c r="M969" s="82"/>
      <c r="N969" s="82"/>
      <c r="O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</row>
    <row r="970" spans="1:26">
      <c r="A970" s="81"/>
      <c r="F970" s="81"/>
      <c r="G970" s="82"/>
      <c r="H970" s="82"/>
      <c r="I970" s="82"/>
      <c r="J970" s="82"/>
      <c r="K970" s="82"/>
      <c r="L970" s="82"/>
      <c r="M970" s="82"/>
      <c r="N970" s="82"/>
      <c r="O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</row>
    <row r="971" spans="1:26">
      <c r="A971" s="81"/>
      <c r="F971" s="81"/>
      <c r="G971" s="82"/>
      <c r="H971" s="82"/>
      <c r="I971" s="82"/>
      <c r="J971" s="82"/>
      <c r="K971" s="82"/>
      <c r="L971" s="82"/>
      <c r="M971" s="82"/>
      <c r="N971" s="82"/>
      <c r="O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</row>
    <row r="972" spans="1:26">
      <c r="A972" s="81"/>
      <c r="F972" s="81"/>
      <c r="G972" s="82"/>
      <c r="H972" s="82"/>
      <c r="I972" s="82"/>
      <c r="J972" s="82"/>
      <c r="K972" s="82"/>
      <c r="L972" s="82"/>
      <c r="M972" s="82"/>
      <c r="N972" s="82"/>
      <c r="O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</row>
    <row r="973" spans="1:26">
      <c r="A973" s="81"/>
      <c r="F973" s="81"/>
      <c r="G973" s="82"/>
      <c r="H973" s="82"/>
      <c r="I973" s="82"/>
      <c r="J973" s="82"/>
      <c r="K973" s="82"/>
      <c r="L973" s="82"/>
      <c r="M973" s="82"/>
      <c r="N973" s="82"/>
      <c r="O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</row>
    <row r="974" spans="1:26">
      <c r="A974" s="81"/>
      <c r="F974" s="81"/>
      <c r="G974" s="82"/>
      <c r="H974" s="82"/>
      <c r="I974" s="82"/>
      <c r="J974" s="82"/>
      <c r="K974" s="82"/>
      <c r="L974" s="82"/>
      <c r="M974" s="82"/>
      <c r="N974" s="82"/>
      <c r="O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</row>
    <row r="975" spans="1:26">
      <c r="A975" s="81"/>
      <c r="F975" s="81"/>
      <c r="G975" s="82"/>
      <c r="H975" s="82"/>
      <c r="I975" s="82"/>
      <c r="J975" s="82"/>
      <c r="K975" s="82"/>
      <c r="L975" s="82"/>
      <c r="M975" s="82"/>
      <c r="N975" s="82"/>
      <c r="O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</row>
    <row r="976" spans="1:26">
      <c r="A976" s="81"/>
      <c r="F976" s="81"/>
      <c r="G976" s="82"/>
      <c r="H976" s="82"/>
      <c r="I976" s="82"/>
      <c r="J976" s="82"/>
      <c r="K976" s="82"/>
      <c r="L976" s="82"/>
      <c r="M976" s="82"/>
      <c r="N976" s="82"/>
      <c r="O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</row>
    <row r="977" spans="1:26">
      <c r="A977" s="81"/>
      <c r="F977" s="81"/>
      <c r="G977" s="82"/>
      <c r="H977" s="82"/>
      <c r="I977" s="82"/>
      <c r="J977" s="82"/>
      <c r="K977" s="82"/>
      <c r="L977" s="82"/>
      <c r="M977" s="82"/>
      <c r="N977" s="82"/>
      <c r="O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</row>
    <row r="978" spans="1:26">
      <c r="A978" s="81"/>
      <c r="F978" s="81"/>
      <c r="G978" s="82"/>
      <c r="H978" s="82"/>
      <c r="I978" s="82"/>
      <c r="J978" s="82"/>
      <c r="K978" s="82"/>
      <c r="L978" s="82"/>
      <c r="M978" s="82"/>
      <c r="N978" s="82"/>
      <c r="O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</row>
    <row r="979" spans="1:26">
      <c r="A979" s="81"/>
      <c r="F979" s="81"/>
      <c r="G979" s="82"/>
      <c r="H979" s="82"/>
      <c r="I979" s="82"/>
      <c r="J979" s="82"/>
      <c r="K979" s="82"/>
      <c r="L979" s="82"/>
      <c r="M979" s="82"/>
      <c r="N979" s="82"/>
      <c r="O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</row>
    <row r="980" spans="1:26">
      <c r="A980" s="81"/>
      <c r="F980" s="81"/>
      <c r="G980" s="82"/>
      <c r="H980" s="82"/>
      <c r="I980" s="82"/>
      <c r="J980" s="82"/>
      <c r="K980" s="82"/>
      <c r="L980" s="82"/>
      <c r="M980" s="82"/>
      <c r="N980" s="82"/>
      <c r="O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</row>
    <row r="981" spans="1:26">
      <c r="A981" s="81"/>
      <c r="F981" s="81"/>
      <c r="G981" s="82"/>
      <c r="H981" s="82"/>
      <c r="I981" s="82"/>
      <c r="J981" s="82"/>
      <c r="K981" s="82"/>
      <c r="L981" s="82"/>
      <c r="M981" s="82"/>
      <c r="N981" s="82"/>
      <c r="O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</row>
    <row r="982" spans="1:26">
      <c r="A982" s="81"/>
      <c r="F982" s="81"/>
      <c r="G982" s="82"/>
      <c r="H982" s="82"/>
      <c r="I982" s="82"/>
      <c r="J982" s="82"/>
      <c r="K982" s="82"/>
      <c r="L982" s="82"/>
      <c r="M982" s="82"/>
      <c r="N982" s="82"/>
      <c r="O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</row>
    <row r="983" spans="1:26">
      <c r="A983" s="81"/>
      <c r="F983" s="81"/>
      <c r="G983" s="82"/>
      <c r="H983" s="82"/>
      <c r="I983" s="82"/>
      <c r="J983" s="82"/>
      <c r="K983" s="82"/>
      <c r="L983" s="82"/>
      <c r="M983" s="82"/>
      <c r="N983" s="82"/>
      <c r="O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</row>
    <row r="984" spans="1:26">
      <c r="A984" s="81"/>
      <c r="F984" s="81"/>
      <c r="G984" s="82"/>
      <c r="H984" s="82"/>
      <c r="I984" s="82"/>
      <c r="J984" s="82"/>
      <c r="K984" s="82"/>
      <c r="L984" s="82"/>
      <c r="M984" s="82"/>
      <c r="N984" s="82"/>
      <c r="O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</row>
    <row r="985" spans="1:26">
      <c r="A985" s="81"/>
      <c r="F985" s="81"/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</row>
    <row r="986" spans="1:26">
      <c r="A986" s="81"/>
      <c r="F986" s="81"/>
      <c r="G986" s="82"/>
      <c r="H986" s="82"/>
      <c r="I986" s="82"/>
      <c r="J986" s="82"/>
      <c r="K986" s="82"/>
      <c r="L986" s="82"/>
      <c r="M986" s="82"/>
      <c r="N986" s="82"/>
      <c r="O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</row>
    <row r="987" spans="1:26">
      <c r="A987" s="81"/>
      <c r="F987" s="81"/>
      <c r="G987" s="82"/>
      <c r="H987" s="82"/>
      <c r="I987" s="82"/>
      <c r="J987" s="82"/>
      <c r="K987" s="82"/>
      <c r="L987" s="82"/>
      <c r="M987" s="82"/>
      <c r="N987" s="82"/>
      <c r="O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</row>
    <row r="988" spans="1:26">
      <c r="A988" s="81"/>
      <c r="F988" s="81"/>
      <c r="G988" s="82"/>
      <c r="H988" s="82"/>
      <c r="I988" s="82"/>
      <c r="J988" s="82"/>
      <c r="K988" s="82"/>
      <c r="L988" s="82"/>
      <c r="M988" s="82"/>
      <c r="N988" s="82"/>
      <c r="O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</row>
    <row r="989" spans="1:26">
      <c r="A989" s="81"/>
      <c r="F989" s="81"/>
      <c r="G989" s="82"/>
      <c r="H989" s="82"/>
      <c r="I989" s="82"/>
      <c r="J989" s="82"/>
      <c r="K989" s="82"/>
      <c r="L989" s="82"/>
      <c r="M989" s="82"/>
      <c r="N989" s="82"/>
      <c r="O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</row>
    <row r="990" spans="1:26">
      <c r="A990" s="81"/>
      <c r="F990" s="81"/>
      <c r="G990" s="82"/>
      <c r="H990" s="82"/>
      <c r="I990" s="82"/>
      <c r="J990" s="82"/>
      <c r="K990" s="82"/>
      <c r="L990" s="82"/>
      <c r="M990" s="82"/>
      <c r="N990" s="82"/>
      <c r="O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</row>
    <row r="991" spans="1:26">
      <c r="A991" s="81"/>
      <c r="F991" s="81"/>
      <c r="G991" s="82"/>
      <c r="H991" s="82"/>
      <c r="I991" s="82"/>
      <c r="J991" s="82"/>
      <c r="K991" s="82"/>
      <c r="L991" s="82"/>
      <c r="M991" s="82"/>
      <c r="N991" s="82"/>
      <c r="O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</row>
    <row r="992" spans="1:26">
      <c r="A992" s="81"/>
      <c r="F992" s="81"/>
      <c r="G992" s="82"/>
      <c r="H992" s="82"/>
      <c r="I992" s="82"/>
      <c r="J992" s="82"/>
      <c r="K992" s="82"/>
      <c r="L992" s="82"/>
      <c r="M992" s="82"/>
      <c r="N992" s="82"/>
      <c r="O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</row>
    <row r="993" spans="1:26">
      <c r="A993" s="81"/>
      <c r="F993" s="81"/>
      <c r="G993" s="82"/>
      <c r="H993" s="82"/>
      <c r="I993" s="82"/>
      <c r="J993" s="82"/>
      <c r="K993" s="82"/>
      <c r="L993" s="82"/>
      <c r="M993" s="82"/>
      <c r="N993" s="82"/>
      <c r="O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</row>
    <row r="994" spans="1:26">
      <c r="A994" s="81"/>
      <c r="F994" s="81"/>
      <c r="G994" s="82"/>
      <c r="H994" s="82"/>
      <c r="I994" s="82"/>
      <c r="J994" s="82"/>
      <c r="K994" s="82"/>
      <c r="L994" s="82"/>
      <c r="M994" s="82"/>
      <c r="N994" s="82"/>
      <c r="O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</row>
    <row r="995" spans="1:26">
      <c r="A995" s="81"/>
      <c r="F995" s="81"/>
      <c r="G995" s="82"/>
      <c r="H995" s="82"/>
      <c r="I995" s="82"/>
      <c r="J995" s="82"/>
      <c r="K995" s="82"/>
      <c r="L995" s="82"/>
      <c r="M995" s="82"/>
      <c r="N995" s="82"/>
      <c r="O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</row>
    <row r="996" spans="1:26">
      <c r="A996" s="81"/>
      <c r="F996" s="81"/>
      <c r="G996" s="82"/>
      <c r="H996" s="82"/>
      <c r="I996" s="82"/>
      <c r="J996" s="82"/>
      <c r="K996" s="82"/>
      <c r="L996" s="82"/>
      <c r="M996" s="82"/>
      <c r="N996" s="82"/>
      <c r="O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</row>
    <row r="997" spans="1:26">
      <c r="A997" s="81"/>
      <c r="F997" s="81"/>
      <c r="G997" s="82"/>
      <c r="H997" s="82"/>
      <c r="I997" s="82"/>
      <c r="J997" s="82"/>
      <c r="K997" s="82"/>
      <c r="L997" s="82"/>
      <c r="M997" s="82"/>
      <c r="N997" s="82"/>
      <c r="O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</row>
    <row r="998" spans="1:26">
      <c r="A998" s="81"/>
      <c r="F998" s="81"/>
      <c r="G998" s="82"/>
      <c r="H998" s="82"/>
      <c r="I998" s="82"/>
      <c r="J998" s="82"/>
      <c r="K998" s="82"/>
      <c r="L998" s="82"/>
      <c r="M998" s="82"/>
      <c r="N998" s="82"/>
      <c r="O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</row>
    <row r="999" spans="1:26">
      <c r="A999" s="81"/>
      <c r="F999" s="81"/>
      <c r="G999" s="82"/>
      <c r="H999" s="82"/>
      <c r="I999" s="82"/>
      <c r="J999" s="82"/>
      <c r="K999" s="82"/>
      <c r="L999" s="82"/>
      <c r="M999" s="82"/>
      <c r="N999" s="82"/>
      <c r="O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</row>
    <row r="1000" spans="1:26">
      <c r="A1000" s="81"/>
      <c r="F1000" s="81"/>
      <c r="G1000" s="82"/>
      <c r="H1000" s="82"/>
      <c r="I1000" s="82"/>
      <c r="J1000" s="82"/>
      <c r="K1000" s="82"/>
      <c r="L1000" s="82"/>
      <c r="M1000" s="82"/>
      <c r="N1000" s="82"/>
      <c r="O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</row>
    <row r="1001" spans="1:26">
      <c r="A1001" s="81"/>
      <c r="F1001" s="81"/>
      <c r="G1001" s="82"/>
      <c r="H1001" s="82"/>
      <c r="I1001" s="82"/>
      <c r="J1001" s="82"/>
      <c r="K1001" s="82"/>
      <c r="L1001" s="82"/>
      <c r="M1001" s="82"/>
      <c r="N1001" s="82"/>
      <c r="O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</row>
    <row r="1002" spans="1:26">
      <c r="A1002" s="81"/>
      <c r="F1002" s="81"/>
      <c r="G1002" s="82"/>
      <c r="H1002" s="82"/>
      <c r="I1002" s="82"/>
      <c r="J1002" s="82"/>
      <c r="K1002" s="82"/>
      <c r="L1002" s="82"/>
      <c r="M1002" s="82"/>
      <c r="N1002" s="82"/>
      <c r="O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</row>
    <row r="1003" spans="1:26">
      <c r="A1003" s="81"/>
      <c r="F1003" s="81"/>
      <c r="G1003" s="82"/>
      <c r="H1003" s="82"/>
      <c r="I1003" s="82"/>
      <c r="J1003" s="82"/>
      <c r="K1003" s="82"/>
      <c r="L1003" s="82"/>
      <c r="M1003" s="82"/>
      <c r="N1003" s="82"/>
      <c r="O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</row>
    <row r="1004" spans="1:26">
      <c r="A1004" s="81"/>
      <c r="F1004" s="81"/>
      <c r="G1004" s="82"/>
      <c r="H1004" s="82"/>
      <c r="I1004" s="82"/>
      <c r="J1004" s="82"/>
      <c r="K1004" s="82"/>
      <c r="L1004" s="82"/>
      <c r="M1004" s="82"/>
      <c r="N1004" s="82"/>
      <c r="O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</row>
    <row r="1005" spans="1:26">
      <c r="A1005" s="81"/>
      <c r="F1005" s="81"/>
      <c r="G1005" s="82"/>
      <c r="H1005" s="82"/>
      <c r="I1005" s="82"/>
      <c r="J1005" s="82"/>
      <c r="K1005" s="82"/>
      <c r="L1005" s="82"/>
      <c r="M1005" s="82"/>
      <c r="N1005" s="82"/>
      <c r="O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</row>
    <row r="1006" spans="1:26">
      <c r="A1006" s="81"/>
      <c r="F1006" s="81"/>
      <c r="G1006" s="82"/>
      <c r="H1006" s="82"/>
      <c r="I1006" s="82"/>
      <c r="J1006" s="82"/>
      <c r="K1006" s="82"/>
      <c r="L1006" s="82"/>
      <c r="M1006" s="82"/>
      <c r="N1006" s="82"/>
      <c r="O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</row>
    <row r="1007" spans="1:26">
      <c r="A1007" s="81"/>
      <c r="F1007" s="81"/>
      <c r="G1007" s="82"/>
      <c r="H1007" s="82"/>
      <c r="I1007" s="82"/>
      <c r="J1007" s="82"/>
      <c r="K1007" s="82"/>
      <c r="L1007" s="82"/>
      <c r="M1007" s="82"/>
      <c r="N1007" s="82"/>
      <c r="O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</row>
    <row r="1008" spans="1:26">
      <c r="A1008" s="81"/>
      <c r="F1008" s="81"/>
      <c r="G1008" s="82"/>
      <c r="H1008" s="82"/>
      <c r="I1008" s="82"/>
      <c r="J1008" s="82"/>
      <c r="K1008" s="82"/>
      <c r="L1008" s="82"/>
      <c r="M1008" s="82"/>
      <c r="N1008" s="82"/>
      <c r="O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</row>
    <row r="1009" spans="1:26">
      <c r="A1009" s="81"/>
      <c r="F1009" s="81"/>
      <c r="G1009" s="82"/>
      <c r="H1009" s="82"/>
      <c r="I1009" s="82"/>
      <c r="J1009" s="82"/>
      <c r="K1009" s="82"/>
      <c r="L1009" s="82"/>
      <c r="M1009" s="82"/>
      <c r="N1009" s="82"/>
      <c r="O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</row>
    <row r="1010" spans="1:26">
      <c r="A1010" s="81"/>
      <c r="F1010" s="81"/>
      <c r="G1010" s="82"/>
      <c r="H1010" s="82"/>
      <c r="I1010" s="82"/>
      <c r="J1010" s="82"/>
      <c r="K1010" s="82"/>
      <c r="L1010" s="82"/>
      <c r="M1010" s="82"/>
      <c r="N1010" s="82"/>
      <c r="O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</row>
    <row r="1011" spans="1:26">
      <c r="A1011" s="81"/>
      <c r="F1011" s="81"/>
      <c r="G1011" s="82"/>
      <c r="H1011" s="82"/>
      <c r="I1011" s="82"/>
      <c r="J1011" s="82"/>
      <c r="K1011" s="82"/>
      <c r="L1011" s="82"/>
      <c r="M1011" s="82"/>
      <c r="N1011" s="82"/>
      <c r="O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</row>
    <row r="1012" spans="1:26">
      <c r="A1012" s="81"/>
      <c r="F1012" s="81"/>
      <c r="G1012" s="82"/>
      <c r="H1012" s="82"/>
      <c r="I1012" s="82"/>
      <c r="J1012" s="82"/>
      <c r="K1012" s="82"/>
      <c r="L1012" s="82"/>
      <c r="M1012" s="82"/>
      <c r="N1012" s="82"/>
      <c r="O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</row>
    <row r="1013" spans="1:26">
      <c r="A1013" s="81"/>
      <c r="F1013" s="81"/>
      <c r="G1013" s="82"/>
      <c r="H1013" s="82"/>
      <c r="I1013" s="82"/>
      <c r="J1013" s="82"/>
      <c r="K1013" s="82"/>
      <c r="L1013" s="82"/>
      <c r="M1013" s="82"/>
      <c r="N1013" s="82"/>
      <c r="O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</row>
    <row r="1014" spans="1:26">
      <c r="A1014" s="81"/>
      <c r="F1014" s="81"/>
      <c r="G1014" s="82"/>
      <c r="H1014" s="82"/>
      <c r="I1014" s="82"/>
      <c r="J1014" s="82"/>
      <c r="K1014" s="82"/>
      <c r="L1014" s="82"/>
      <c r="M1014" s="82"/>
      <c r="N1014" s="82"/>
      <c r="O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</row>
    <row r="1015" spans="1:26">
      <c r="A1015" s="81"/>
      <c r="F1015" s="81"/>
      <c r="G1015" s="82"/>
      <c r="H1015" s="82"/>
      <c r="I1015" s="82"/>
      <c r="J1015" s="82"/>
      <c r="K1015" s="82"/>
      <c r="L1015" s="82"/>
      <c r="M1015" s="82"/>
      <c r="N1015" s="82"/>
      <c r="O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</row>
    <row r="1016" spans="1:26">
      <c r="A1016" s="81"/>
      <c r="F1016" s="81"/>
      <c r="G1016" s="82"/>
      <c r="H1016" s="82"/>
      <c r="I1016" s="82"/>
      <c r="J1016" s="82"/>
      <c r="K1016" s="82"/>
      <c r="L1016" s="82"/>
      <c r="M1016" s="82"/>
      <c r="N1016" s="82"/>
      <c r="O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</row>
    <row r="1017" spans="1:26">
      <c r="A1017" s="81"/>
      <c r="F1017" s="81"/>
      <c r="G1017" s="82"/>
      <c r="H1017" s="82"/>
      <c r="I1017" s="82"/>
      <c r="J1017" s="82"/>
      <c r="K1017" s="82"/>
      <c r="L1017" s="82"/>
      <c r="M1017" s="82"/>
      <c r="N1017" s="82"/>
      <c r="O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</row>
    <row r="1018" spans="1:26">
      <c r="A1018" s="81"/>
      <c r="F1018" s="81"/>
      <c r="G1018" s="82"/>
      <c r="H1018" s="82"/>
      <c r="I1018" s="82"/>
      <c r="J1018" s="82"/>
      <c r="K1018" s="82"/>
      <c r="L1018" s="82"/>
      <c r="M1018" s="82"/>
      <c r="N1018" s="82"/>
      <c r="O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</row>
    <row r="1019" spans="1:26">
      <c r="A1019" s="81"/>
      <c r="F1019" s="81"/>
      <c r="G1019" s="82"/>
      <c r="H1019" s="82"/>
      <c r="I1019" s="82"/>
      <c r="J1019" s="82"/>
      <c r="K1019" s="82"/>
      <c r="L1019" s="82"/>
      <c r="M1019" s="82"/>
      <c r="N1019" s="82"/>
      <c r="O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</row>
    <row r="1020" spans="1:26">
      <c r="A1020" s="81"/>
      <c r="F1020" s="81"/>
      <c r="G1020" s="82"/>
      <c r="H1020" s="82"/>
      <c r="I1020" s="82"/>
      <c r="J1020" s="82"/>
      <c r="K1020" s="82"/>
      <c r="L1020" s="82"/>
      <c r="M1020" s="82"/>
      <c r="N1020" s="82"/>
      <c r="O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</row>
    <row r="1021" spans="1:26">
      <c r="A1021" s="81"/>
      <c r="F1021" s="81"/>
      <c r="G1021" s="82"/>
      <c r="H1021" s="82"/>
      <c r="I1021" s="82"/>
      <c r="J1021" s="82"/>
      <c r="K1021" s="82"/>
      <c r="L1021" s="82"/>
      <c r="M1021" s="82"/>
      <c r="N1021" s="82"/>
      <c r="O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</row>
    <row r="1022" spans="1:26">
      <c r="A1022" s="81"/>
      <c r="F1022" s="81"/>
      <c r="G1022" s="82"/>
      <c r="H1022" s="82"/>
      <c r="I1022" s="82"/>
      <c r="J1022" s="82"/>
      <c r="K1022" s="82"/>
      <c r="L1022" s="82"/>
      <c r="M1022" s="82"/>
      <c r="N1022" s="82"/>
      <c r="O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</row>
    <row r="1023" spans="1:26">
      <c r="A1023" s="81"/>
      <c r="F1023" s="81"/>
      <c r="G1023" s="82"/>
      <c r="H1023" s="82"/>
      <c r="I1023" s="82"/>
      <c r="J1023" s="82"/>
      <c r="K1023" s="82"/>
      <c r="L1023" s="82"/>
      <c r="M1023" s="82"/>
      <c r="N1023" s="82"/>
      <c r="O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</row>
    <row r="1024" spans="1:26">
      <c r="A1024" s="81"/>
      <c r="F1024" s="81"/>
      <c r="G1024" s="82"/>
      <c r="H1024" s="82"/>
      <c r="I1024" s="82"/>
      <c r="J1024" s="82"/>
      <c r="K1024" s="82"/>
      <c r="L1024" s="82"/>
      <c r="M1024" s="82"/>
      <c r="N1024" s="82"/>
      <c r="O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</row>
    <row r="1025" spans="1:26">
      <c r="A1025" s="81"/>
      <c r="F1025" s="81"/>
      <c r="G1025" s="82"/>
      <c r="H1025" s="82"/>
      <c r="I1025" s="82"/>
      <c r="J1025" s="82"/>
      <c r="K1025" s="82"/>
      <c r="L1025" s="82"/>
      <c r="M1025" s="82"/>
      <c r="N1025" s="82"/>
      <c r="O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</row>
    <row r="1026" spans="1:26">
      <c r="A1026" s="81"/>
      <c r="F1026" s="81"/>
      <c r="G1026" s="82"/>
      <c r="H1026" s="82"/>
      <c r="I1026" s="82"/>
      <c r="J1026" s="82"/>
      <c r="K1026" s="82"/>
      <c r="L1026" s="82"/>
      <c r="M1026" s="82"/>
      <c r="N1026" s="82"/>
      <c r="O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</row>
    <row r="1027" spans="1:26">
      <c r="A1027" s="81"/>
      <c r="F1027" s="81"/>
      <c r="G1027" s="82"/>
      <c r="H1027" s="82"/>
      <c r="I1027" s="82"/>
      <c r="J1027" s="82"/>
      <c r="K1027" s="82"/>
      <c r="L1027" s="82"/>
      <c r="M1027" s="82"/>
      <c r="N1027" s="82"/>
      <c r="O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</row>
    <row r="1028" spans="1:26">
      <c r="A1028" s="81"/>
      <c r="F1028" s="81"/>
      <c r="G1028" s="82"/>
      <c r="H1028" s="82"/>
      <c r="I1028" s="82"/>
      <c r="J1028" s="82"/>
      <c r="K1028" s="82"/>
      <c r="L1028" s="82"/>
      <c r="M1028" s="82"/>
      <c r="N1028" s="82"/>
      <c r="O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</row>
    <row r="1029" spans="1:26">
      <c r="A1029" s="81"/>
      <c r="F1029" s="81"/>
      <c r="G1029" s="82"/>
      <c r="H1029" s="82"/>
      <c r="I1029" s="82"/>
      <c r="J1029" s="82"/>
      <c r="K1029" s="82"/>
      <c r="L1029" s="82"/>
      <c r="M1029" s="82"/>
      <c r="N1029" s="82"/>
      <c r="O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</row>
    <row r="1030" spans="1:26">
      <c r="A1030" s="81"/>
      <c r="F1030" s="81"/>
      <c r="G1030" s="82"/>
      <c r="H1030" s="82"/>
      <c r="I1030" s="82"/>
      <c r="J1030" s="82"/>
      <c r="K1030" s="82"/>
      <c r="L1030" s="82"/>
      <c r="M1030" s="82"/>
      <c r="N1030" s="82"/>
      <c r="O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</row>
    <row r="1031" spans="1:26">
      <c r="A1031" s="81"/>
      <c r="F1031" s="81"/>
      <c r="G1031" s="82"/>
      <c r="H1031" s="82"/>
      <c r="I1031" s="82"/>
      <c r="J1031" s="82"/>
      <c r="K1031" s="82"/>
      <c r="L1031" s="82"/>
      <c r="M1031" s="82"/>
      <c r="N1031" s="82"/>
      <c r="O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</row>
    <row r="1032" spans="1:26">
      <c r="A1032" s="81"/>
      <c r="F1032" s="81"/>
      <c r="G1032" s="82"/>
      <c r="H1032" s="82"/>
      <c r="I1032" s="82"/>
      <c r="J1032" s="82"/>
      <c r="K1032" s="82"/>
      <c r="L1032" s="82"/>
      <c r="M1032" s="82"/>
      <c r="N1032" s="82"/>
      <c r="O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</row>
    <row r="1033" spans="1:26">
      <c r="A1033" s="81"/>
      <c r="F1033" s="81"/>
      <c r="G1033" s="82"/>
      <c r="H1033" s="82"/>
      <c r="I1033" s="82"/>
      <c r="J1033" s="82"/>
      <c r="K1033" s="82"/>
      <c r="L1033" s="82"/>
      <c r="M1033" s="82"/>
      <c r="N1033" s="82"/>
      <c r="O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</row>
    <row r="1034" spans="1:26">
      <c r="A1034" s="81"/>
      <c r="F1034" s="81"/>
      <c r="G1034" s="82"/>
      <c r="H1034" s="82"/>
      <c r="I1034" s="82"/>
      <c r="J1034" s="82"/>
      <c r="K1034" s="82"/>
      <c r="L1034" s="82"/>
      <c r="M1034" s="82"/>
      <c r="N1034" s="82"/>
      <c r="O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</row>
    <row r="1035" spans="1:26">
      <c r="A1035" s="81"/>
      <c r="F1035" s="81"/>
      <c r="G1035" s="82"/>
      <c r="H1035" s="82"/>
      <c r="I1035" s="82"/>
      <c r="J1035" s="82"/>
      <c r="K1035" s="82"/>
      <c r="L1035" s="82"/>
      <c r="M1035" s="82"/>
      <c r="N1035" s="82"/>
      <c r="O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</row>
    <row r="1036" spans="1:26">
      <c r="A1036" s="81"/>
      <c r="F1036" s="81"/>
      <c r="G1036" s="82"/>
      <c r="H1036" s="82"/>
      <c r="I1036" s="82"/>
      <c r="J1036" s="82"/>
      <c r="K1036" s="82"/>
      <c r="L1036" s="82"/>
      <c r="M1036" s="82"/>
      <c r="N1036" s="82"/>
      <c r="O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</row>
    <row r="1037" spans="1:26">
      <c r="A1037" s="81"/>
      <c r="F1037" s="81"/>
      <c r="G1037" s="82"/>
      <c r="H1037" s="82"/>
      <c r="I1037" s="82"/>
      <c r="J1037" s="82"/>
      <c r="K1037" s="82"/>
      <c r="L1037" s="82"/>
      <c r="M1037" s="82"/>
      <c r="N1037" s="82"/>
      <c r="O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</row>
    <row r="1038" spans="1:26">
      <c r="A1038" s="81"/>
      <c r="F1038" s="81"/>
      <c r="G1038" s="82"/>
      <c r="H1038" s="82"/>
      <c r="I1038" s="82"/>
      <c r="J1038" s="82"/>
      <c r="K1038" s="82"/>
      <c r="L1038" s="82"/>
      <c r="M1038" s="82"/>
      <c r="N1038" s="82"/>
      <c r="O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</row>
    <row r="1039" spans="1:26">
      <c r="A1039" s="81"/>
      <c r="F1039" s="81"/>
      <c r="G1039" s="82"/>
      <c r="H1039" s="82"/>
      <c r="I1039" s="82"/>
      <c r="J1039" s="82"/>
      <c r="K1039" s="82"/>
      <c r="L1039" s="82"/>
      <c r="M1039" s="82"/>
      <c r="N1039" s="82"/>
      <c r="O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</row>
    <row r="1040" spans="1:26">
      <c r="A1040" s="81"/>
      <c r="F1040" s="81"/>
      <c r="G1040" s="82"/>
      <c r="H1040" s="82"/>
      <c r="I1040" s="82"/>
      <c r="J1040" s="82"/>
      <c r="K1040" s="82"/>
      <c r="L1040" s="82"/>
      <c r="M1040" s="82"/>
      <c r="N1040" s="82"/>
      <c r="O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</row>
    <row r="1041" spans="1:26">
      <c r="A1041" s="81"/>
      <c r="F1041" s="81"/>
      <c r="G1041" s="82"/>
      <c r="H1041" s="82"/>
      <c r="I1041" s="82"/>
      <c r="J1041" s="82"/>
      <c r="K1041" s="82"/>
      <c r="L1041" s="82"/>
      <c r="M1041" s="82"/>
      <c r="N1041" s="82"/>
      <c r="O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</row>
    <row r="1042" spans="1:26">
      <c r="A1042" s="81"/>
      <c r="F1042" s="81"/>
      <c r="G1042" s="82"/>
      <c r="H1042" s="82"/>
      <c r="I1042" s="82"/>
      <c r="J1042" s="82"/>
      <c r="K1042" s="82"/>
      <c r="L1042" s="82"/>
      <c r="M1042" s="82"/>
      <c r="N1042" s="82"/>
      <c r="O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</row>
    <row r="1043" spans="1:26">
      <c r="A1043" s="81"/>
      <c r="F1043" s="81"/>
      <c r="G1043" s="82"/>
      <c r="H1043" s="82"/>
      <c r="I1043" s="82"/>
      <c r="J1043" s="82"/>
      <c r="K1043" s="82"/>
      <c r="L1043" s="82"/>
      <c r="M1043" s="82"/>
      <c r="N1043" s="82"/>
      <c r="O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</row>
    <row r="1044" spans="1:26">
      <c r="A1044" s="81"/>
      <c r="F1044" s="81"/>
      <c r="G1044" s="82"/>
      <c r="H1044" s="82"/>
      <c r="I1044" s="82"/>
      <c r="J1044" s="82"/>
      <c r="K1044" s="82"/>
      <c r="L1044" s="82"/>
      <c r="M1044" s="82"/>
      <c r="N1044" s="82"/>
      <c r="O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</row>
    <row r="1045" spans="1:26">
      <c r="A1045" s="81"/>
      <c r="F1045" s="81"/>
      <c r="G1045" s="82"/>
      <c r="H1045" s="82"/>
      <c r="I1045" s="82"/>
      <c r="J1045" s="82"/>
      <c r="K1045" s="82"/>
      <c r="L1045" s="82"/>
      <c r="M1045" s="82"/>
      <c r="N1045" s="82"/>
      <c r="O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</row>
    <row r="1046" spans="1:26">
      <c r="A1046" s="81"/>
      <c r="F1046" s="81"/>
      <c r="G1046" s="82"/>
      <c r="H1046" s="82"/>
      <c r="I1046" s="82"/>
      <c r="J1046" s="82"/>
      <c r="K1046" s="82"/>
      <c r="L1046" s="82"/>
      <c r="M1046" s="82"/>
      <c r="N1046" s="82"/>
      <c r="O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</row>
    <row r="1047" spans="1:26">
      <c r="A1047" s="81"/>
      <c r="F1047" s="81"/>
      <c r="G1047" s="82"/>
      <c r="H1047" s="82"/>
      <c r="I1047" s="82"/>
      <c r="J1047" s="82"/>
      <c r="K1047" s="82"/>
      <c r="L1047" s="82"/>
      <c r="M1047" s="82"/>
      <c r="N1047" s="82"/>
      <c r="O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</row>
    <row r="1048" spans="1:26">
      <c r="A1048" s="81"/>
      <c r="F1048" s="81"/>
      <c r="G1048" s="82"/>
      <c r="H1048" s="82"/>
      <c r="I1048" s="82"/>
      <c r="J1048" s="82"/>
      <c r="K1048" s="82"/>
      <c r="L1048" s="82"/>
      <c r="M1048" s="82"/>
      <c r="N1048" s="82"/>
      <c r="O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</row>
    <row r="1049" spans="1:26">
      <c r="A1049" s="81"/>
      <c r="F1049" s="81"/>
      <c r="G1049" s="82"/>
      <c r="H1049" s="82"/>
      <c r="I1049" s="82"/>
      <c r="J1049" s="82"/>
      <c r="K1049" s="82"/>
      <c r="L1049" s="82"/>
      <c r="M1049" s="82"/>
      <c r="N1049" s="82"/>
      <c r="O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</row>
    <row r="1050" spans="1:26">
      <c r="A1050" s="81"/>
      <c r="F1050" s="81"/>
      <c r="G1050" s="82"/>
      <c r="H1050" s="82"/>
      <c r="I1050" s="82"/>
      <c r="J1050" s="82"/>
      <c r="K1050" s="82"/>
      <c r="L1050" s="82"/>
      <c r="M1050" s="82"/>
      <c r="N1050" s="82"/>
      <c r="O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</row>
    <row r="1051" spans="1:26">
      <c r="A1051" s="81"/>
      <c r="F1051" s="81"/>
      <c r="G1051" s="82"/>
      <c r="H1051" s="82"/>
      <c r="I1051" s="82"/>
      <c r="J1051" s="82"/>
      <c r="K1051" s="82"/>
      <c r="L1051" s="82"/>
      <c r="M1051" s="82"/>
      <c r="N1051" s="82"/>
      <c r="O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</row>
    <row r="1052" spans="1:26">
      <c r="A1052" s="81"/>
      <c r="F1052" s="81"/>
      <c r="G1052" s="82"/>
      <c r="H1052" s="82"/>
      <c r="I1052" s="82"/>
      <c r="J1052" s="82"/>
      <c r="K1052" s="82"/>
      <c r="L1052" s="82"/>
      <c r="M1052" s="82"/>
      <c r="N1052" s="82"/>
      <c r="O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</row>
    <row r="1053" spans="1:26">
      <c r="A1053" s="81"/>
      <c r="F1053" s="81"/>
      <c r="G1053" s="82"/>
      <c r="H1053" s="82"/>
      <c r="I1053" s="82"/>
      <c r="J1053" s="82"/>
      <c r="K1053" s="82"/>
      <c r="L1053" s="82"/>
      <c r="M1053" s="82"/>
      <c r="N1053" s="82"/>
      <c r="O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</row>
    <row r="1054" spans="1:26">
      <c r="A1054" s="81"/>
      <c r="F1054" s="81"/>
      <c r="G1054" s="82"/>
      <c r="H1054" s="82"/>
      <c r="I1054" s="82"/>
      <c r="J1054" s="82"/>
      <c r="K1054" s="82"/>
      <c r="L1054" s="82"/>
      <c r="M1054" s="82"/>
      <c r="N1054" s="82"/>
      <c r="O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</row>
    <row r="1055" spans="1:26">
      <c r="A1055" s="81"/>
      <c r="F1055" s="81"/>
      <c r="G1055" s="82"/>
      <c r="H1055" s="82"/>
      <c r="I1055" s="82"/>
      <c r="J1055" s="82"/>
      <c r="K1055" s="82"/>
      <c r="L1055" s="82"/>
      <c r="M1055" s="82"/>
      <c r="N1055" s="82"/>
      <c r="O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</row>
    <row r="1056" spans="1:26">
      <c r="A1056" s="81"/>
      <c r="F1056" s="81"/>
      <c r="G1056" s="82"/>
      <c r="H1056" s="82"/>
      <c r="I1056" s="82"/>
      <c r="J1056" s="82"/>
      <c r="K1056" s="82"/>
      <c r="L1056" s="82"/>
      <c r="M1056" s="82"/>
      <c r="N1056" s="82"/>
      <c r="O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</row>
    <row r="1057" spans="1:26">
      <c r="A1057" s="81"/>
      <c r="F1057" s="81"/>
      <c r="G1057" s="82"/>
      <c r="H1057" s="82"/>
      <c r="I1057" s="82"/>
      <c r="J1057" s="82"/>
      <c r="K1057" s="82"/>
      <c r="L1057" s="82"/>
      <c r="M1057" s="82"/>
      <c r="N1057" s="82"/>
      <c r="O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</row>
    <row r="1058" spans="1:26">
      <c r="A1058" s="81"/>
      <c r="F1058" s="81"/>
      <c r="G1058" s="82"/>
      <c r="H1058" s="82"/>
      <c r="I1058" s="82"/>
      <c r="J1058" s="82"/>
      <c r="K1058" s="82"/>
      <c r="L1058" s="82"/>
      <c r="M1058" s="82"/>
      <c r="N1058" s="82"/>
      <c r="O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</row>
    <row r="1059" spans="1:26">
      <c r="A1059" s="81"/>
      <c r="F1059" s="81"/>
      <c r="G1059" s="82"/>
      <c r="H1059" s="82"/>
      <c r="I1059" s="82"/>
      <c r="J1059" s="82"/>
      <c r="K1059" s="82"/>
      <c r="L1059" s="82"/>
      <c r="M1059" s="82"/>
      <c r="N1059" s="82"/>
      <c r="O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</row>
    <row r="1060" spans="1:26">
      <c r="A1060" s="81"/>
      <c r="F1060" s="81"/>
      <c r="G1060" s="82"/>
      <c r="H1060" s="82"/>
      <c r="I1060" s="82"/>
      <c r="J1060" s="82"/>
      <c r="K1060" s="82"/>
      <c r="L1060" s="82"/>
      <c r="M1060" s="82"/>
      <c r="N1060" s="82"/>
      <c r="O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</row>
    <row r="1061" spans="1:26">
      <c r="A1061" s="81"/>
      <c r="F1061" s="81"/>
      <c r="G1061" s="82"/>
      <c r="H1061" s="82"/>
      <c r="I1061" s="82"/>
      <c r="J1061" s="82"/>
      <c r="K1061" s="82"/>
      <c r="L1061" s="82"/>
      <c r="M1061" s="82"/>
      <c r="N1061" s="82"/>
      <c r="O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</row>
    <row r="1062" spans="1:26">
      <c r="A1062" s="81"/>
      <c r="F1062" s="81"/>
      <c r="G1062" s="82"/>
      <c r="H1062" s="82"/>
      <c r="I1062" s="82"/>
      <c r="J1062" s="82"/>
      <c r="K1062" s="82"/>
      <c r="L1062" s="82"/>
      <c r="M1062" s="82"/>
      <c r="N1062" s="82"/>
      <c r="O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</row>
    <row r="1063" spans="1:26">
      <c r="A1063" s="81"/>
      <c r="F1063" s="81"/>
      <c r="G1063" s="82"/>
      <c r="H1063" s="82"/>
      <c r="I1063" s="82"/>
      <c r="J1063" s="82"/>
      <c r="K1063" s="82"/>
      <c r="L1063" s="82"/>
      <c r="M1063" s="82"/>
      <c r="N1063" s="82"/>
      <c r="O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</row>
    <row r="1064" spans="1:26">
      <c r="A1064" s="81"/>
      <c r="F1064" s="81"/>
      <c r="G1064" s="82"/>
      <c r="H1064" s="82"/>
      <c r="I1064" s="82"/>
      <c r="J1064" s="82"/>
      <c r="K1064" s="82"/>
      <c r="L1064" s="82"/>
      <c r="M1064" s="82"/>
      <c r="N1064" s="82"/>
      <c r="O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</row>
    <row r="1065" spans="1:26">
      <c r="A1065" s="81"/>
      <c r="F1065" s="81"/>
      <c r="G1065" s="82"/>
      <c r="H1065" s="82"/>
      <c r="I1065" s="82"/>
      <c r="J1065" s="82"/>
      <c r="K1065" s="82"/>
      <c r="L1065" s="82"/>
      <c r="M1065" s="82"/>
      <c r="N1065" s="82"/>
      <c r="O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</row>
    <row r="1066" spans="1:26">
      <c r="A1066" s="81"/>
      <c r="F1066" s="81"/>
      <c r="G1066" s="82"/>
      <c r="H1066" s="82"/>
      <c r="I1066" s="82"/>
      <c r="J1066" s="82"/>
      <c r="K1066" s="82"/>
      <c r="L1066" s="82"/>
      <c r="M1066" s="82"/>
      <c r="N1066" s="82"/>
      <c r="O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</row>
    <row r="1067" spans="1:26">
      <c r="A1067" s="81"/>
      <c r="F1067" s="81"/>
      <c r="G1067" s="82"/>
      <c r="H1067" s="82"/>
      <c r="I1067" s="82"/>
      <c r="J1067" s="82"/>
      <c r="K1067" s="82"/>
      <c r="L1067" s="82"/>
      <c r="M1067" s="82"/>
      <c r="N1067" s="82"/>
      <c r="O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</row>
    <row r="1068" spans="1:26">
      <c r="A1068" s="81"/>
      <c r="F1068" s="81"/>
      <c r="G1068" s="82"/>
      <c r="H1068" s="82"/>
      <c r="I1068" s="82"/>
      <c r="J1068" s="82"/>
      <c r="K1068" s="82"/>
      <c r="L1068" s="82"/>
      <c r="M1068" s="82"/>
      <c r="N1068" s="82"/>
      <c r="O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</row>
    <row r="1069" spans="1:26">
      <c r="A1069" s="81"/>
      <c r="F1069" s="81"/>
      <c r="G1069" s="82"/>
      <c r="H1069" s="82"/>
      <c r="I1069" s="82"/>
      <c r="J1069" s="82"/>
      <c r="K1069" s="82"/>
      <c r="L1069" s="82"/>
      <c r="M1069" s="82"/>
      <c r="N1069" s="82"/>
      <c r="O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</row>
    <row r="1070" spans="1:26">
      <c r="A1070" s="81"/>
      <c r="F1070" s="81"/>
      <c r="G1070" s="82"/>
      <c r="H1070" s="82"/>
      <c r="I1070" s="82"/>
      <c r="J1070" s="82"/>
      <c r="K1070" s="82"/>
      <c r="L1070" s="82"/>
      <c r="M1070" s="82"/>
      <c r="N1070" s="82"/>
      <c r="O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</row>
    <row r="1071" spans="1:26">
      <c r="A1071" s="81"/>
      <c r="F1071" s="81"/>
      <c r="G1071" s="82"/>
      <c r="H1071" s="82"/>
      <c r="I1071" s="82"/>
      <c r="J1071" s="82"/>
      <c r="K1071" s="82"/>
      <c r="L1071" s="82"/>
      <c r="M1071" s="82"/>
      <c r="N1071" s="82"/>
      <c r="O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</row>
    <row r="1072" spans="1:26">
      <c r="A1072" s="81"/>
      <c r="F1072" s="81"/>
      <c r="G1072" s="82"/>
      <c r="H1072" s="82"/>
      <c r="I1072" s="82"/>
      <c r="J1072" s="82"/>
      <c r="K1072" s="82"/>
      <c r="L1072" s="82"/>
      <c r="M1072" s="82"/>
      <c r="N1072" s="82"/>
      <c r="O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</row>
    <row r="1073" spans="1:26">
      <c r="A1073" s="81"/>
      <c r="F1073" s="81"/>
      <c r="G1073" s="82"/>
      <c r="H1073" s="82"/>
      <c r="I1073" s="82"/>
      <c r="J1073" s="82"/>
      <c r="K1073" s="82"/>
      <c r="L1073" s="82"/>
      <c r="M1073" s="82"/>
      <c r="N1073" s="82"/>
      <c r="O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</row>
    <row r="1074" spans="1:26">
      <c r="A1074" s="81"/>
      <c r="F1074" s="81"/>
      <c r="G1074" s="82"/>
      <c r="H1074" s="82"/>
      <c r="I1074" s="82"/>
      <c r="J1074" s="82"/>
      <c r="K1074" s="82"/>
      <c r="L1074" s="82"/>
      <c r="M1074" s="82"/>
      <c r="N1074" s="82"/>
      <c r="O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</row>
    <row r="1075" spans="1:26">
      <c r="A1075" s="81"/>
      <c r="F1075" s="81"/>
      <c r="G1075" s="82"/>
      <c r="H1075" s="82"/>
      <c r="I1075" s="82"/>
      <c r="J1075" s="82"/>
      <c r="K1075" s="82"/>
      <c r="L1075" s="82"/>
      <c r="M1075" s="82"/>
      <c r="N1075" s="82"/>
      <c r="O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</row>
    <row r="1076" spans="1:26">
      <c r="A1076" s="81"/>
      <c r="F1076" s="81"/>
      <c r="G1076" s="82"/>
      <c r="H1076" s="82"/>
      <c r="I1076" s="82"/>
      <c r="J1076" s="82"/>
      <c r="K1076" s="82"/>
      <c r="L1076" s="82"/>
      <c r="M1076" s="82"/>
      <c r="N1076" s="82"/>
      <c r="O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</row>
    <row r="1077" spans="1:26">
      <c r="A1077" s="81"/>
      <c r="F1077" s="81"/>
      <c r="G1077" s="82"/>
      <c r="H1077" s="82"/>
      <c r="I1077" s="82"/>
      <c r="J1077" s="82"/>
      <c r="K1077" s="82"/>
      <c r="L1077" s="82"/>
      <c r="M1077" s="82"/>
      <c r="N1077" s="82"/>
      <c r="O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</row>
    <row r="1078" spans="1:26">
      <c r="A1078" s="81"/>
      <c r="F1078" s="81"/>
      <c r="G1078" s="82"/>
      <c r="H1078" s="82"/>
      <c r="I1078" s="82"/>
      <c r="J1078" s="82"/>
      <c r="K1078" s="82"/>
      <c r="L1078" s="82"/>
      <c r="M1078" s="82"/>
      <c r="N1078" s="82"/>
      <c r="O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</row>
    <row r="1079" spans="1:26">
      <c r="A1079" s="81"/>
      <c r="F1079" s="81"/>
      <c r="G1079" s="82"/>
      <c r="H1079" s="82"/>
      <c r="I1079" s="82"/>
      <c r="J1079" s="82"/>
      <c r="K1079" s="82"/>
      <c r="L1079" s="82"/>
      <c r="M1079" s="82"/>
      <c r="N1079" s="82"/>
      <c r="O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</row>
    <row r="1080" spans="1:26">
      <c r="A1080" s="81"/>
      <c r="F1080" s="81"/>
      <c r="G1080" s="82"/>
      <c r="H1080" s="82"/>
      <c r="I1080" s="82"/>
      <c r="J1080" s="82"/>
      <c r="K1080" s="82"/>
      <c r="L1080" s="82"/>
      <c r="M1080" s="82"/>
      <c r="N1080" s="82"/>
      <c r="O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</row>
    <row r="1081" spans="1:26">
      <c r="A1081" s="81"/>
      <c r="F1081" s="81"/>
      <c r="G1081" s="82"/>
      <c r="H1081" s="82"/>
      <c r="I1081" s="82"/>
      <c r="J1081" s="82"/>
      <c r="K1081" s="82"/>
      <c r="L1081" s="82"/>
      <c r="M1081" s="82"/>
      <c r="N1081" s="82"/>
      <c r="O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</row>
    <row r="1082" spans="1:26">
      <c r="A1082" s="81"/>
      <c r="F1082" s="81"/>
      <c r="G1082" s="82"/>
      <c r="H1082" s="82"/>
      <c r="I1082" s="82"/>
      <c r="J1082" s="82"/>
      <c r="K1082" s="82"/>
      <c r="L1082" s="82"/>
      <c r="M1082" s="82"/>
      <c r="N1082" s="82"/>
      <c r="O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</row>
    <row r="1083" spans="1:26">
      <c r="A1083" s="81"/>
      <c r="F1083" s="81"/>
      <c r="G1083" s="82"/>
      <c r="H1083" s="82"/>
      <c r="I1083" s="82"/>
      <c r="J1083" s="82"/>
      <c r="K1083" s="82"/>
      <c r="L1083" s="82"/>
      <c r="M1083" s="82"/>
      <c r="N1083" s="82"/>
      <c r="O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</row>
    <row r="1084" spans="1:26">
      <c r="A1084" s="81"/>
      <c r="F1084" s="81"/>
      <c r="G1084" s="82"/>
      <c r="H1084" s="82"/>
      <c r="I1084" s="82"/>
      <c r="J1084" s="82"/>
      <c r="K1084" s="82"/>
      <c r="L1084" s="82"/>
      <c r="M1084" s="82"/>
      <c r="N1084" s="82"/>
      <c r="O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</row>
    <row r="1085" spans="1:26">
      <c r="A1085" s="81"/>
      <c r="F1085" s="81"/>
      <c r="G1085" s="82"/>
      <c r="H1085" s="82"/>
      <c r="I1085" s="82"/>
      <c r="J1085" s="82"/>
      <c r="K1085" s="82"/>
      <c r="L1085" s="82"/>
      <c r="M1085" s="82"/>
      <c r="N1085" s="82"/>
      <c r="O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</row>
    <row r="1086" spans="1:26">
      <c r="A1086" s="81"/>
      <c r="F1086" s="81"/>
      <c r="G1086" s="82"/>
      <c r="H1086" s="82"/>
      <c r="I1086" s="82"/>
      <c r="J1086" s="82"/>
      <c r="K1086" s="82"/>
      <c r="L1086" s="82"/>
      <c r="M1086" s="82"/>
      <c r="N1086" s="82"/>
      <c r="O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</row>
    <row r="1087" spans="1:26">
      <c r="A1087" s="81"/>
      <c r="F1087" s="81"/>
      <c r="G1087" s="82"/>
      <c r="H1087" s="82"/>
      <c r="I1087" s="82"/>
      <c r="J1087" s="82"/>
      <c r="K1087" s="82"/>
      <c r="L1087" s="82"/>
      <c r="M1087" s="82"/>
      <c r="N1087" s="82"/>
      <c r="O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</row>
    <row r="1088" spans="1:26">
      <c r="A1088" s="81"/>
      <c r="F1088" s="81"/>
      <c r="G1088" s="82"/>
      <c r="H1088" s="82"/>
      <c r="I1088" s="82"/>
      <c r="J1088" s="82"/>
      <c r="K1088" s="82"/>
      <c r="L1088" s="82"/>
      <c r="M1088" s="82"/>
      <c r="N1088" s="82"/>
      <c r="O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</row>
    <row r="1089" spans="1:26">
      <c r="A1089" s="81"/>
      <c r="F1089" s="81"/>
      <c r="G1089" s="82"/>
      <c r="H1089" s="82"/>
      <c r="I1089" s="82"/>
      <c r="J1089" s="82"/>
      <c r="K1089" s="82"/>
      <c r="L1089" s="82"/>
      <c r="M1089" s="82"/>
      <c r="N1089" s="82"/>
      <c r="O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</row>
    <row r="1090" spans="1:26">
      <c r="A1090" s="81"/>
      <c r="F1090" s="81"/>
      <c r="G1090" s="82"/>
      <c r="H1090" s="82"/>
      <c r="I1090" s="82"/>
      <c r="J1090" s="82"/>
      <c r="K1090" s="82"/>
      <c r="L1090" s="82"/>
      <c r="M1090" s="82"/>
      <c r="N1090" s="82"/>
      <c r="O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</row>
    <row r="1091" spans="1:26">
      <c r="A1091" s="81"/>
      <c r="F1091" s="81"/>
      <c r="G1091" s="82"/>
      <c r="H1091" s="82"/>
      <c r="I1091" s="82"/>
      <c r="J1091" s="82"/>
      <c r="K1091" s="82"/>
      <c r="L1091" s="82"/>
      <c r="M1091" s="82"/>
      <c r="N1091" s="82"/>
      <c r="O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</row>
    <row r="1092" spans="1:26">
      <c r="A1092" s="81"/>
      <c r="F1092" s="81"/>
      <c r="G1092" s="82"/>
      <c r="H1092" s="82"/>
      <c r="I1092" s="82"/>
      <c r="J1092" s="82"/>
      <c r="K1092" s="82"/>
      <c r="L1092" s="82"/>
      <c r="M1092" s="82"/>
      <c r="N1092" s="82"/>
      <c r="O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</row>
    <row r="1093" spans="1:26">
      <c r="A1093" s="81"/>
      <c r="F1093" s="81"/>
      <c r="G1093" s="82"/>
      <c r="H1093" s="82"/>
      <c r="I1093" s="82"/>
      <c r="J1093" s="82"/>
      <c r="K1093" s="82"/>
      <c r="L1093" s="82"/>
      <c r="M1093" s="82"/>
      <c r="N1093" s="82"/>
      <c r="O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</row>
    <row r="1094" spans="1:26">
      <c r="A1094" s="81"/>
      <c r="F1094" s="81"/>
      <c r="G1094" s="82"/>
      <c r="H1094" s="82"/>
      <c r="I1094" s="82"/>
      <c r="J1094" s="82"/>
      <c r="K1094" s="82"/>
      <c r="L1094" s="82"/>
      <c r="M1094" s="82"/>
      <c r="N1094" s="82"/>
      <c r="O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</row>
    <row r="1095" spans="1:26">
      <c r="A1095" s="81"/>
      <c r="F1095" s="81"/>
      <c r="G1095" s="82"/>
      <c r="H1095" s="82"/>
      <c r="I1095" s="82"/>
      <c r="J1095" s="82"/>
      <c r="K1095" s="82"/>
      <c r="L1095" s="82"/>
      <c r="M1095" s="82"/>
      <c r="N1095" s="82"/>
      <c r="O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</row>
    <row r="1096" spans="1:26">
      <c r="A1096" s="81"/>
      <c r="F1096" s="81"/>
      <c r="G1096" s="82"/>
      <c r="H1096" s="82"/>
      <c r="I1096" s="82"/>
      <c r="J1096" s="82"/>
      <c r="K1096" s="82"/>
      <c r="L1096" s="82"/>
      <c r="M1096" s="82"/>
      <c r="N1096" s="82"/>
      <c r="O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</row>
    <row r="1097" spans="1:26">
      <c r="A1097" s="81"/>
      <c r="F1097" s="81"/>
      <c r="G1097" s="82"/>
      <c r="H1097" s="82"/>
      <c r="I1097" s="82"/>
      <c r="J1097" s="82"/>
      <c r="K1097" s="82"/>
      <c r="L1097" s="82"/>
      <c r="M1097" s="82"/>
      <c r="N1097" s="82"/>
      <c r="O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</row>
    <row r="1098" spans="1:26">
      <c r="A1098" s="81"/>
      <c r="F1098" s="81"/>
      <c r="G1098" s="82"/>
      <c r="H1098" s="82"/>
      <c r="I1098" s="82"/>
      <c r="J1098" s="82"/>
      <c r="K1098" s="82"/>
      <c r="L1098" s="82"/>
      <c r="M1098" s="82"/>
      <c r="N1098" s="82"/>
      <c r="O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</row>
    <row r="1099" spans="1:26">
      <c r="A1099" s="81"/>
      <c r="F1099" s="81"/>
      <c r="G1099" s="82"/>
      <c r="H1099" s="82"/>
      <c r="I1099" s="82"/>
      <c r="J1099" s="82"/>
      <c r="K1099" s="82"/>
      <c r="L1099" s="82"/>
      <c r="M1099" s="82"/>
      <c r="N1099" s="82"/>
      <c r="O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</row>
    <row r="1100" spans="1:26">
      <c r="A1100" s="81"/>
      <c r="F1100" s="81"/>
      <c r="G1100" s="82"/>
      <c r="H1100" s="82"/>
      <c r="I1100" s="82"/>
      <c r="J1100" s="82"/>
      <c r="K1100" s="82"/>
      <c r="L1100" s="82"/>
      <c r="M1100" s="82"/>
      <c r="N1100" s="82"/>
      <c r="O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</row>
    <row r="1101" spans="1:26">
      <c r="A1101" s="81"/>
      <c r="F1101" s="81"/>
      <c r="G1101" s="82"/>
      <c r="H1101" s="82"/>
      <c r="I1101" s="82"/>
      <c r="J1101" s="82"/>
      <c r="K1101" s="82"/>
      <c r="L1101" s="82"/>
      <c r="M1101" s="82"/>
      <c r="N1101" s="82"/>
      <c r="O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</row>
    <row r="1102" spans="1:26">
      <c r="A1102" s="81"/>
      <c r="F1102" s="81"/>
      <c r="G1102" s="82"/>
      <c r="H1102" s="82"/>
      <c r="I1102" s="82"/>
      <c r="J1102" s="82"/>
      <c r="K1102" s="82"/>
      <c r="L1102" s="82"/>
      <c r="M1102" s="82"/>
      <c r="N1102" s="82"/>
      <c r="O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</row>
    <row r="1103" spans="1:26">
      <c r="A1103" s="81"/>
      <c r="F1103" s="81"/>
      <c r="G1103" s="82"/>
      <c r="H1103" s="82"/>
      <c r="I1103" s="82"/>
      <c r="J1103" s="82"/>
      <c r="K1103" s="82"/>
      <c r="L1103" s="82"/>
      <c r="M1103" s="82"/>
      <c r="N1103" s="82"/>
      <c r="O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</row>
    <row r="1104" spans="1:26">
      <c r="A1104" s="81"/>
      <c r="F1104" s="81"/>
      <c r="G1104" s="82"/>
      <c r="H1104" s="82"/>
      <c r="I1104" s="82"/>
      <c r="J1104" s="82"/>
      <c r="K1104" s="82"/>
      <c r="L1104" s="82"/>
      <c r="M1104" s="82"/>
      <c r="N1104" s="82"/>
      <c r="O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</row>
    <row r="1105" spans="1:26">
      <c r="A1105" s="81"/>
      <c r="F1105" s="81"/>
      <c r="G1105" s="82"/>
      <c r="H1105" s="82"/>
      <c r="I1105" s="82"/>
      <c r="J1105" s="82"/>
      <c r="K1105" s="82"/>
      <c r="L1105" s="82"/>
      <c r="M1105" s="82"/>
      <c r="N1105" s="82"/>
      <c r="O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</row>
    <row r="1106" spans="1:26">
      <c r="A1106" s="81"/>
      <c r="F1106" s="81"/>
      <c r="G1106" s="82"/>
      <c r="H1106" s="82"/>
      <c r="I1106" s="82"/>
      <c r="J1106" s="82"/>
      <c r="K1106" s="82"/>
      <c r="L1106" s="82"/>
      <c r="M1106" s="82"/>
      <c r="N1106" s="82"/>
      <c r="O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</row>
    <row r="1107" spans="1:26">
      <c r="A1107" s="81"/>
      <c r="F1107" s="81"/>
      <c r="G1107" s="82"/>
      <c r="H1107" s="82"/>
      <c r="I1107" s="82"/>
      <c r="J1107" s="82"/>
      <c r="K1107" s="82"/>
      <c r="L1107" s="82"/>
      <c r="M1107" s="82"/>
      <c r="N1107" s="82"/>
      <c r="O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</row>
    <row r="1108" spans="1:26">
      <c r="A1108" s="81"/>
      <c r="F1108" s="81"/>
      <c r="G1108" s="82"/>
      <c r="H1108" s="82"/>
      <c r="I1108" s="82"/>
      <c r="J1108" s="82"/>
      <c r="K1108" s="82"/>
      <c r="L1108" s="82"/>
      <c r="M1108" s="82"/>
      <c r="N1108" s="82"/>
      <c r="O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</row>
    <row r="1109" spans="1:26">
      <c r="A1109" s="81"/>
      <c r="F1109" s="81"/>
      <c r="G1109" s="82"/>
      <c r="H1109" s="82"/>
      <c r="I1109" s="82"/>
      <c r="J1109" s="82"/>
      <c r="K1109" s="82"/>
      <c r="L1109" s="82"/>
      <c r="M1109" s="82"/>
      <c r="N1109" s="82"/>
      <c r="O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</row>
    <row r="1110" spans="1:26">
      <c r="A1110" s="81"/>
      <c r="F1110" s="81"/>
      <c r="G1110" s="82"/>
      <c r="H1110" s="82"/>
      <c r="I1110" s="82"/>
      <c r="J1110" s="82"/>
      <c r="K1110" s="82"/>
      <c r="L1110" s="82"/>
      <c r="M1110" s="82"/>
      <c r="N1110" s="82"/>
      <c r="O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</row>
    <row r="1111" spans="1:26">
      <c r="A1111" s="81"/>
      <c r="F1111" s="81"/>
      <c r="G1111" s="82"/>
      <c r="H1111" s="82"/>
      <c r="I1111" s="82"/>
      <c r="J1111" s="82"/>
      <c r="K1111" s="82"/>
      <c r="L1111" s="82"/>
      <c r="M1111" s="82"/>
      <c r="N1111" s="82"/>
      <c r="O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</row>
    <row r="1112" spans="1:26">
      <c r="A1112" s="81"/>
      <c r="F1112" s="81"/>
      <c r="G1112" s="82"/>
      <c r="H1112" s="82"/>
      <c r="I1112" s="82"/>
      <c r="J1112" s="82"/>
      <c r="K1112" s="82"/>
      <c r="L1112" s="82"/>
      <c r="M1112" s="82"/>
      <c r="N1112" s="82"/>
      <c r="O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</row>
    <row r="1113" spans="1:26">
      <c r="A1113" s="81"/>
      <c r="F1113" s="81"/>
      <c r="G1113" s="82"/>
      <c r="H1113" s="82"/>
      <c r="I1113" s="82"/>
      <c r="J1113" s="82"/>
      <c r="K1113" s="82"/>
      <c r="L1113" s="82"/>
      <c r="M1113" s="82"/>
      <c r="N1113" s="82"/>
      <c r="O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</row>
    <row r="1114" spans="1:26">
      <c r="A1114" s="81"/>
      <c r="F1114" s="81"/>
      <c r="G1114" s="82"/>
      <c r="H1114" s="82"/>
      <c r="I1114" s="82"/>
      <c r="J1114" s="82"/>
      <c r="K1114" s="82"/>
      <c r="L1114" s="82"/>
      <c r="M1114" s="82"/>
      <c r="N1114" s="82"/>
      <c r="O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</row>
    <row r="1115" spans="1:26">
      <c r="A1115" s="81"/>
      <c r="F1115" s="81"/>
      <c r="G1115" s="82"/>
      <c r="H1115" s="82"/>
      <c r="I1115" s="82"/>
      <c r="J1115" s="82"/>
      <c r="K1115" s="82"/>
      <c r="L1115" s="82"/>
      <c r="M1115" s="82"/>
      <c r="N1115" s="82"/>
      <c r="O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</row>
    <row r="1116" spans="1:26">
      <c r="A1116" s="81"/>
      <c r="F1116" s="81"/>
      <c r="G1116" s="82"/>
      <c r="H1116" s="82"/>
      <c r="I1116" s="82"/>
      <c r="J1116" s="82"/>
      <c r="K1116" s="82"/>
      <c r="L1116" s="82"/>
      <c r="M1116" s="82"/>
      <c r="N1116" s="82"/>
      <c r="O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</row>
    <row r="1117" spans="1:26">
      <c r="A1117" s="81"/>
      <c r="F1117" s="81"/>
      <c r="G1117" s="82"/>
      <c r="H1117" s="82"/>
      <c r="I1117" s="82"/>
      <c r="J1117" s="82"/>
      <c r="K1117" s="82"/>
      <c r="L1117" s="82"/>
      <c r="M1117" s="82"/>
      <c r="N1117" s="82"/>
      <c r="O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</row>
    <row r="1118" spans="1:26">
      <c r="A1118" s="81"/>
      <c r="F1118" s="81"/>
      <c r="G1118" s="82"/>
      <c r="H1118" s="82"/>
      <c r="I1118" s="82"/>
      <c r="J1118" s="82"/>
      <c r="K1118" s="82"/>
      <c r="L1118" s="82"/>
      <c r="M1118" s="82"/>
      <c r="N1118" s="82"/>
      <c r="O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</row>
    <row r="1119" spans="1:26">
      <c r="A1119" s="81"/>
      <c r="F1119" s="81"/>
      <c r="G1119" s="82"/>
      <c r="H1119" s="82"/>
      <c r="I1119" s="82"/>
      <c r="J1119" s="82"/>
      <c r="K1119" s="82"/>
      <c r="L1119" s="82"/>
      <c r="M1119" s="82"/>
      <c r="N1119" s="82"/>
      <c r="O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</row>
    <row r="1120" spans="1:26">
      <c r="A1120" s="81"/>
      <c r="F1120" s="81"/>
      <c r="G1120" s="82"/>
      <c r="H1120" s="82"/>
      <c r="I1120" s="82"/>
      <c r="J1120" s="82"/>
      <c r="K1120" s="82"/>
      <c r="L1120" s="82"/>
      <c r="M1120" s="82"/>
      <c r="N1120" s="82"/>
      <c r="O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</row>
    <row r="1121" spans="1:26">
      <c r="A1121" s="81"/>
      <c r="F1121" s="81"/>
      <c r="G1121" s="82"/>
      <c r="H1121" s="82"/>
      <c r="I1121" s="82"/>
      <c r="J1121" s="82"/>
      <c r="K1121" s="82"/>
      <c r="L1121" s="82"/>
      <c r="M1121" s="82"/>
      <c r="N1121" s="82"/>
      <c r="O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</row>
    <row r="1122" spans="1:26">
      <c r="A1122" s="81"/>
      <c r="F1122" s="81"/>
      <c r="G1122" s="82"/>
      <c r="H1122" s="82"/>
      <c r="I1122" s="82"/>
      <c r="J1122" s="82"/>
      <c r="K1122" s="82"/>
      <c r="L1122" s="82"/>
      <c r="M1122" s="82"/>
      <c r="N1122" s="82"/>
      <c r="O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</row>
    <row r="1123" spans="1:26">
      <c r="A1123" s="81"/>
      <c r="F1123" s="81"/>
      <c r="G1123" s="82"/>
      <c r="H1123" s="82"/>
      <c r="I1123" s="82"/>
      <c r="J1123" s="82"/>
      <c r="K1123" s="82"/>
      <c r="L1123" s="82"/>
      <c r="M1123" s="82"/>
      <c r="N1123" s="82"/>
      <c r="O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</row>
    <row r="1124" spans="1:26">
      <c r="A1124" s="81"/>
      <c r="F1124" s="81"/>
      <c r="G1124" s="82"/>
      <c r="H1124" s="82"/>
      <c r="I1124" s="82"/>
      <c r="J1124" s="82"/>
      <c r="K1124" s="82"/>
      <c r="L1124" s="82"/>
      <c r="M1124" s="82"/>
      <c r="N1124" s="82"/>
      <c r="O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</row>
    <row r="1125" spans="1:26">
      <c r="A1125" s="81"/>
      <c r="F1125" s="81"/>
      <c r="G1125" s="82"/>
      <c r="H1125" s="82"/>
      <c r="I1125" s="82"/>
      <c r="J1125" s="82"/>
      <c r="K1125" s="82"/>
      <c r="L1125" s="82"/>
      <c r="M1125" s="82"/>
      <c r="N1125" s="82"/>
      <c r="O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</row>
    <row r="1126" spans="1:26">
      <c r="A1126" s="81"/>
      <c r="F1126" s="81"/>
      <c r="G1126" s="82"/>
      <c r="H1126" s="82"/>
      <c r="I1126" s="82"/>
      <c r="J1126" s="82"/>
      <c r="K1126" s="82"/>
      <c r="L1126" s="82"/>
      <c r="M1126" s="82"/>
      <c r="N1126" s="82"/>
      <c r="O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</row>
    <row r="1127" spans="1:26">
      <c r="A1127" s="81"/>
      <c r="F1127" s="81"/>
      <c r="G1127" s="82"/>
      <c r="H1127" s="82"/>
      <c r="I1127" s="82"/>
      <c r="J1127" s="82"/>
      <c r="K1127" s="82"/>
      <c r="L1127" s="82"/>
      <c r="M1127" s="82"/>
      <c r="N1127" s="82"/>
      <c r="O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</row>
    <row r="1128" spans="1:26">
      <c r="A1128" s="81"/>
      <c r="F1128" s="81"/>
      <c r="G1128" s="82"/>
      <c r="H1128" s="82"/>
      <c r="I1128" s="82"/>
      <c r="J1128" s="82"/>
      <c r="K1128" s="82"/>
      <c r="L1128" s="82"/>
      <c r="M1128" s="82"/>
      <c r="N1128" s="82"/>
      <c r="O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</row>
    <row r="1129" spans="1:26">
      <c r="A1129" s="81"/>
      <c r="F1129" s="81"/>
      <c r="G1129" s="82"/>
      <c r="H1129" s="82"/>
      <c r="I1129" s="82"/>
      <c r="J1129" s="82"/>
      <c r="K1129" s="82"/>
      <c r="L1129" s="82"/>
      <c r="M1129" s="82"/>
      <c r="N1129" s="82"/>
      <c r="O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</row>
    <row r="1130" spans="1:26">
      <c r="A1130" s="81"/>
      <c r="F1130" s="81"/>
      <c r="G1130" s="82"/>
      <c r="H1130" s="82"/>
      <c r="I1130" s="82"/>
      <c r="J1130" s="82"/>
      <c r="K1130" s="82"/>
      <c r="L1130" s="82"/>
      <c r="M1130" s="82"/>
      <c r="N1130" s="82"/>
      <c r="O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</row>
    <row r="1131" spans="1:26">
      <c r="A1131" s="81"/>
      <c r="F1131" s="81"/>
      <c r="G1131" s="82"/>
      <c r="H1131" s="82"/>
      <c r="I1131" s="82"/>
      <c r="J1131" s="82"/>
      <c r="K1131" s="82"/>
      <c r="L1131" s="82"/>
      <c r="M1131" s="82"/>
      <c r="N1131" s="82"/>
      <c r="O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</row>
    <row r="1132" spans="1:26">
      <c r="A1132" s="81"/>
      <c r="F1132" s="81"/>
      <c r="G1132" s="82"/>
      <c r="H1132" s="82"/>
      <c r="I1132" s="82"/>
      <c r="J1132" s="82"/>
      <c r="K1132" s="82"/>
      <c r="L1132" s="82"/>
      <c r="M1132" s="82"/>
      <c r="N1132" s="82"/>
      <c r="O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</row>
    <row r="1133" spans="1:26">
      <c r="A1133" s="81"/>
      <c r="F1133" s="81"/>
      <c r="G1133" s="82"/>
      <c r="H1133" s="82"/>
      <c r="I1133" s="82"/>
      <c r="J1133" s="82"/>
      <c r="K1133" s="82"/>
      <c r="L1133" s="82"/>
      <c r="M1133" s="82"/>
      <c r="N1133" s="82"/>
      <c r="O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</row>
    <row r="1134" spans="1:26">
      <c r="A1134" s="81"/>
      <c r="F1134" s="81"/>
      <c r="G1134" s="82"/>
      <c r="H1134" s="82"/>
      <c r="I1134" s="82"/>
      <c r="J1134" s="82"/>
      <c r="K1134" s="82"/>
      <c r="L1134" s="82"/>
      <c r="M1134" s="82"/>
      <c r="N1134" s="82"/>
      <c r="O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</row>
    <row r="1135" spans="1:26">
      <c r="A1135" s="81"/>
      <c r="F1135" s="81"/>
      <c r="G1135" s="82"/>
      <c r="H1135" s="82"/>
      <c r="I1135" s="82"/>
      <c r="J1135" s="82"/>
      <c r="K1135" s="82"/>
      <c r="L1135" s="82"/>
      <c r="M1135" s="82"/>
      <c r="N1135" s="82"/>
      <c r="O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</row>
    <row r="1136" spans="1:26">
      <c r="A1136" s="81"/>
      <c r="F1136" s="81"/>
      <c r="G1136" s="82"/>
      <c r="H1136" s="82"/>
      <c r="I1136" s="82"/>
      <c r="J1136" s="82"/>
      <c r="K1136" s="82"/>
      <c r="L1136" s="82"/>
      <c r="M1136" s="82"/>
      <c r="N1136" s="82"/>
      <c r="O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</row>
    <row r="1137" spans="1:26">
      <c r="A1137" s="81"/>
      <c r="F1137" s="81"/>
      <c r="G1137" s="82"/>
      <c r="H1137" s="82"/>
      <c r="I1137" s="82"/>
      <c r="J1137" s="82"/>
      <c r="K1137" s="82"/>
      <c r="L1137" s="82"/>
      <c r="M1137" s="82"/>
      <c r="N1137" s="82"/>
      <c r="O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</row>
    <row r="1138" spans="1:26">
      <c r="A1138" s="81"/>
      <c r="F1138" s="81"/>
      <c r="G1138" s="82"/>
      <c r="H1138" s="82"/>
      <c r="I1138" s="82"/>
      <c r="J1138" s="82"/>
      <c r="K1138" s="82"/>
      <c r="L1138" s="82"/>
      <c r="M1138" s="82"/>
      <c r="N1138" s="82"/>
      <c r="O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</row>
    <row r="1139" spans="1:26">
      <c r="A1139" s="81"/>
      <c r="F1139" s="81"/>
      <c r="G1139" s="82"/>
      <c r="H1139" s="82"/>
      <c r="I1139" s="82"/>
      <c r="J1139" s="82"/>
      <c r="K1139" s="82"/>
      <c r="L1139" s="82"/>
      <c r="M1139" s="82"/>
      <c r="N1139" s="82"/>
      <c r="O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</row>
    <row r="1140" spans="1:26">
      <c r="A1140" s="81"/>
      <c r="F1140" s="81"/>
      <c r="G1140" s="82"/>
      <c r="H1140" s="82"/>
      <c r="I1140" s="82"/>
      <c r="J1140" s="82"/>
      <c r="K1140" s="82"/>
      <c r="L1140" s="82"/>
      <c r="M1140" s="82"/>
      <c r="N1140" s="82"/>
      <c r="O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</row>
    <row r="1141" spans="1:26">
      <c r="A1141" s="81"/>
      <c r="F1141" s="81"/>
      <c r="G1141" s="82"/>
      <c r="H1141" s="82"/>
      <c r="I1141" s="82"/>
      <c r="J1141" s="82"/>
      <c r="K1141" s="82"/>
      <c r="L1141" s="82"/>
      <c r="M1141" s="82"/>
      <c r="N1141" s="82"/>
      <c r="O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</row>
    <row r="1142" spans="1:26">
      <c r="A1142" s="81"/>
      <c r="F1142" s="81"/>
      <c r="G1142" s="82"/>
      <c r="H1142" s="82"/>
      <c r="I1142" s="82"/>
      <c r="J1142" s="82"/>
      <c r="K1142" s="82"/>
      <c r="L1142" s="82"/>
      <c r="M1142" s="82"/>
      <c r="N1142" s="82"/>
      <c r="O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</row>
    <row r="1143" spans="1:26">
      <c r="A1143" s="81"/>
      <c r="F1143" s="81"/>
      <c r="G1143" s="82"/>
      <c r="H1143" s="82"/>
      <c r="I1143" s="82"/>
      <c r="J1143" s="82"/>
      <c r="K1143" s="82"/>
      <c r="L1143" s="82"/>
      <c r="M1143" s="82"/>
      <c r="N1143" s="82"/>
      <c r="O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</row>
    <row r="1144" spans="1:26">
      <c r="A1144" s="81"/>
      <c r="F1144" s="81"/>
      <c r="G1144" s="82"/>
      <c r="H1144" s="82"/>
      <c r="I1144" s="82"/>
      <c r="J1144" s="82"/>
      <c r="K1144" s="82"/>
      <c r="L1144" s="82"/>
      <c r="M1144" s="82"/>
      <c r="N1144" s="82"/>
      <c r="O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</row>
    <row r="1145" spans="1:26">
      <c r="A1145" s="81"/>
      <c r="F1145" s="81"/>
      <c r="G1145" s="82"/>
      <c r="H1145" s="82"/>
      <c r="I1145" s="82"/>
      <c r="J1145" s="82"/>
      <c r="K1145" s="82"/>
      <c r="L1145" s="82"/>
      <c r="M1145" s="82"/>
      <c r="N1145" s="82"/>
      <c r="O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</row>
    <row r="1146" spans="1:26">
      <c r="A1146" s="81"/>
      <c r="F1146" s="81"/>
      <c r="G1146" s="82"/>
      <c r="H1146" s="82"/>
      <c r="I1146" s="82"/>
      <c r="J1146" s="82"/>
      <c r="K1146" s="82"/>
      <c r="L1146" s="82"/>
      <c r="M1146" s="82"/>
      <c r="N1146" s="82"/>
      <c r="O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</row>
    <row r="1147" spans="1:26">
      <c r="A1147" s="81"/>
      <c r="F1147" s="81"/>
      <c r="G1147" s="82"/>
      <c r="H1147" s="82"/>
      <c r="I1147" s="82"/>
      <c r="J1147" s="82"/>
      <c r="K1147" s="82"/>
      <c r="L1147" s="82"/>
      <c r="M1147" s="82"/>
      <c r="N1147" s="82"/>
      <c r="O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</row>
    <row r="1148" spans="1:26">
      <c r="A1148" s="81"/>
      <c r="F1148" s="81"/>
      <c r="G1148" s="82"/>
      <c r="H1148" s="82"/>
      <c r="I1148" s="82"/>
      <c r="J1148" s="82"/>
      <c r="K1148" s="82"/>
      <c r="L1148" s="82"/>
      <c r="M1148" s="82"/>
      <c r="N1148" s="82"/>
      <c r="O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</row>
    <row r="1149" spans="1:26">
      <c r="A1149" s="81"/>
      <c r="F1149" s="81"/>
      <c r="G1149" s="82"/>
      <c r="H1149" s="82"/>
      <c r="I1149" s="82"/>
      <c r="J1149" s="82"/>
      <c r="K1149" s="82"/>
      <c r="L1149" s="82"/>
      <c r="M1149" s="82"/>
      <c r="N1149" s="82"/>
      <c r="O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</row>
    <row r="1150" spans="1:26">
      <c r="A1150" s="81"/>
      <c r="F1150" s="81"/>
      <c r="G1150" s="82"/>
      <c r="H1150" s="82"/>
      <c r="I1150" s="82"/>
      <c r="J1150" s="82"/>
      <c r="K1150" s="82"/>
      <c r="L1150" s="82"/>
      <c r="M1150" s="82"/>
      <c r="N1150" s="82"/>
      <c r="O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</row>
    <row r="1151" spans="1:26">
      <c r="A1151" s="81"/>
      <c r="F1151" s="81"/>
      <c r="G1151" s="82"/>
      <c r="H1151" s="82"/>
      <c r="I1151" s="82"/>
      <c r="J1151" s="82"/>
      <c r="K1151" s="82"/>
      <c r="L1151" s="82"/>
      <c r="M1151" s="82"/>
      <c r="N1151" s="82"/>
      <c r="O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</row>
    <row r="1152" spans="1:26">
      <c r="A1152" s="81"/>
      <c r="F1152" s="81"/>
      <c r="G1152" s="82"/>
      <c r="H1152" s="82"/>
      <c r="I1152" s="82"/>
      <c r="J1152" s="82"/>
      <c r="K1152" s="82"/>
      <c r="L1152" s="82"/>
      <c r="M1152" s="82"/>
      <c r="N1152" s="82"/>
      <c r="O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</row>
    <row r="1153" spans="1:26">
      <c r="A1153" s="81"/>
      <c r="F1153" s="81"/>
      <c r="G1153" s="82"/>
      <c r="H1153" s="82"/>
      <c r="I1153" s="82"/>
      <c r="J1153" s="82"/>
      <c r="K1153" s="82"/>
      <c r="L1153" s="82"/>
      <c r="M1153" s="82"/>
      <c r="N1153" s="82"/>
      <c r="O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</row>
    <row r="1154" spans="1:26">
      <c r="A1154" s="81"/>
      <c r="F1154" s="81"/>
      <c r="G1154" s="82"/>
      <c r="H1154" s="82"/>
      <c r="I1154" s="82"/>
      <c r="J1154" s="82"/>
      <c r="K1154" s="82"/>
      <c r="L1154" s="82"/>
      <c r="M1154" s="82"/>
      <c r="N1154" s="82"/>
      <c r="O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</row>
    <row r="1155" spans="1:26">
      <c r="A1155" s="81"/>
      <c r="F1155" s="81"/>
      <c r="G1155" s="82"/>
      <c r="H1155" s="82"/>
      <c r="I1155" s="82"/>
      <c r="J1155" s="82"/>
      <c r="K1155" s="82"/>
      <c r="L1155" s="82"/>
      <c r="M1155" s="82"/>
      <c r="N1155" s="82"/>
      <c r="O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</row>
    <row r="1156" spans="1:26">
      <c r="A1156" s="81"/>
      <c r="F1156" s="81"/>
      <c r="G1156" s="82"/>
      <c r="H1156" s="82"/>
      <c r="I1156" s="82"/>
      <c r="J1156" s="82"/>
      <c r="K1156" s="82"/>
      <c r="L1156" s="82"/>
      <c r="M1156" s="82"/>
      <c r="N1156" s="82"/>
      <c r="O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</row>
    <row r="1157" spans="1:26">
      <c r="A1157" s="81"/>
      <c r="F1157" s="81"/>
      <c r="G1157" s="82"/>
      <c r="H1157" s="82"/>
      <c r="I1157" s="82"/>
      <c r="J1157" s="82"/>
      <c r="K1157" s="82"/>
      <c r="L1157" s="82"/>
      <c r="M1157" s="82"/>
      <c r="N1157" s="82"/>
      <c r="O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</row>
    <row r="1158" spans="1:26">
      <c r="A1158" s="81"/>
      <c r="F1158" s="81"/>
      <c r="G1158" s="82"/>
      <c r="H1158" s="82"/>
      <c r="I1158" s="82"/>
      <c r="J1158" s="82"/>
      <c r="K1158" s="82"/>
      <c r="L1158" s="82"/>
      <c r="M1158" s="82"/>
      <c r="N1158" s="82"/>
      <c r="O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</row>
    <row r="1159" spans="1:26">
      <c r="A1159" s="81"/>
      <c r="F1159" s="81"/>
      <c r="G1159" s="82"/>
      <c r="H1159" s="82"/>
      <c r="I1159" s="82"/>
      <c r="J1159" s="82"/>
      <c r="K1159" s="82"/>
      <c r="L1159" s="82"/>
      <c r="M1159" s="82"/>
      <c r="N1159" s="82"/>
      <c r="O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</row>
    <row r="1160" spans="1:26">
      <c r="A1160" s="81"/>
      <c r="F1160" s="81"/>
      <c r="G1160" s="82"/>
      <c r="H1160" s="82"/>
      <c r="I1160" s="82"/>
      <c r="J1160" s="82"/>
      <c r="K1160" s="82"/>
      <c r="L1160" s="82"/>
      <c r="M1160" s="82"/>
      <c r="N1160" s="82"/>
      <c r="O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</row>
    <row r="1161" spans="1:26">
      <c r="A1161" s="81"/>
      <c r="F1161" s="81"/>
      <c r="G1161" s="82"/>
      <c r="H1161" s="82"/>
      <c r="I1161" s="82"/>
      <c r="J1161" s="82"/>
      <c r="K1161" s="82"/>
      <c r="L1161" s="82"/>
      <c r="M1161" s="82"/>
      <c r="N1161" s="82"/>
      <c r="O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</row>
    <row r="1162" spans="1:26">
      <c r="A1162" s="81"/>
      <c r="F1162" s="81"/>
      <c r="G1162" s="82"/>
      <c r="H1162" s="82"/>
      <c r="I1162" s="82"/>
      <c r="J1162" s="82"/>
      <c r="K1162" s="82"/>
      <c r="L1162" s="82"/>
      <c r="M1162" s="82"/>
      <c r="N1162" s="82"/>
      <c r="O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</row>
    <row r="1163" spans="1:26">
      <c r="A1163" s="81"/>
      <c r="F1163" s="81"/>
      <c r="G1163" s="82"/>
      <c r="H1163" s="82"/>
      <c r="I1163" s="82"/>
      <c r="J1163" s="82"/>
      <c r="K1163" s="82"/>
      <c r="L1163" s="82"/>
      <c r="M1163" s="82"/>
      <c r="N1163" s="82"/>
      <c r="O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</row>
    <row r="1164" spans="1:26">
      <c r="A1164" s="81"/>
      <c r="F1164" s="81"/>
      <c r="G1164" s="82"/>
      <c r="H1164" s="82"/>
      <c r="I1164" s="82"/>
      <c r="J1164" s="82"/>
      <c r="K1164" s="82"/>
      <c r="L1164" s="82"/>
      <c r="M1164" s="82"/>
      <c r="N1164" s="82"/>
      <c r="O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</row>
    <row r="1165" spans="1:26">
      <c r="A1165" s="81"/>
      <c r="F1165" s="81"/>
      <c r="G1165" s="82"/>
      <c r="H1165" s="82"/>
      <c r="I1165" s="82"/>
      <c r="J1165" s="82"/>
      <c r="K1165" s="82"/>
      <c r="L1165" s="82"/>
      <c r="M1165" s="82"/>
      <c r="N1165" s="82"/>
      <c r="O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</row>
    <row r="1166" spans="1:26">
      <c r="A1166" s="81"/>
      <c r="F1166" s="81"/>
      <c r="G1166" s="82"/>
      <c r="H1166" s="82"/>
      <c r="I1166" s="82"/>
      <c r="J1166" s="82"/>
      <c r="K1166" s="82"/>
      <c r="L1166" s="82"/>
      <c r="M1166" s="82"/>
      <c r="N1166" s="82"/>
      <c r="O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</row>
    <row r="1167" spans="1:26">
      <c r="A1167" s="81"/>
      <c r="F1167" s="81"/>
      <c r="G1167" s="82"/>
      <c r="H1167" s="82"/>
      <c r="I1167" s="82"/>
      <c r="J1167" s="82"/>
      <c r="K1167" s="82"/>
      <c r="L1167" s="82"/>
      <c r="M1167" s="82"/>
      <c r="N1167" s="82"/>
      <c r="O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</row>
    <row r="1168" spans="1:26">
      <c r="A1168" s="81"/>
      <c r="F1168" s="81"/>
      <c r="G1168" s="82"/>
      <c r="H1168" s="82"/>
      <c r="I1168" s="82"/>
      <c r="J1168" s="82"/>
      <c r="K1168" s="82"/>
      <c r="L1168" s="82"/>
      <c r="M1168" s="82"/>
      <c r="N1168" s="82"/>
      <c r="O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</row>
    <row r="1169" spans="1:26">
      <c r="A1169" s="81"/>
      <c r="F1169" s="81"/>
      <c r="G1169" s="82"/>
      <c r="H1169" s="82"/>
      <c r="I1169" s="82"/>
      <c r="J1169" s="82"/>
      <c r="K1169" s="82"/>
      <c r="L1169" s="82"/>
      <c r="M1169" s="82"/>
      <c r="N1169" s="82"/>
      <c r="O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</row>
    <row r="1170" spans="1:26">
      <c r="A1170" s="81"/>
      <c r="F1170" s="81"/>
      <c r="G1170" s="82"/>
      <c r="H1170" s="82"/>
      <c r="I1170" s="82"/>
      <c r="J1170" s="82"/>
      <c r="K1170" s="82"/>
      <c r="L1170" s="82"/>
      <c r="M1170" s="82"/>
      <c r="N1170" s="82"/>
      <c r="O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</row>
    <row r="1171" spans="1:26">
      <c r="A1171" s="81"/>
      <c r="F1171" s="81"/>
      <c r="G1171" s="82"/>
      <c r="H1171" s="82"/>
      <c r="I1171" s="82"/>
      <c r="J1171" s="82"/>
      <c r="K1171" s="82"/>
      <c r="L1171" s="82"/>
      <c r="M1171" s="82"/>
      <c r="N1171" s="82"/>
      <c r="O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</row>
    <row r="1172" spans="1:26">
      <c r="A1172" s="81"/>
      <c r="F1172" s="81"/>
      <c r="G1172" s="82"/>
      <c r="H1172" s="82"/>
      <c r="I1172" s="82"/>
      <c r="J1172" s="82"/>
      <c r="K1172" s="82"/>
      <c r="L1172" s="82"/>
      <c r="M1172" s="82"/>
      <c r="N1172" s="82"/>
      <c r="O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</row>
    <row r="1173" spans="1:26">
      <c r="A1173" s="81"/>
      <c r="F1173" s="81"/>
      <c r="G1173" s="82"/>
      <c r="H1173" s="82"/>
      <c r="I1173" s="82"/>
      <c r="J1173" s="82"/>
      <c r="K1173" s="82"/>
      <c r="L1173" s="82"/>
      <c r="M1173" s="82"/>
      <c r="N1173" s="82"/>
      <c r="O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</row>
    <row r="1174" spans="1:26">
      <c r="A1174" s="81"/>
      <c r="F1174" s="81"/>
      <c r="G1174" s="82"/>
      <c r="H1174" s="82"/>
      <c r="I1174" s="82"/>
      <c r="J1174" s="82"/>
      <c r="K1174" s="82"/>
      <c r="L1174" s="82"/>
      <c r="M1174" s="82"/>
      <c r="N1174" s="82"/>
      <c r="O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</row>
    <row r="1175" spans="1:26">
      <c r="A1175" s="81"/>
      <c r="F1175" s="81"/>
      <c r="G1175" s="82"/>
      <c r="H1175" s="82"/>
      <c r="I1175" s="82"/>
      <c r="J1175" s="82"/>
      <c r="K1175" s="82"/>
      <c r="L1175" s="82"/>
      <c r="M1175" s="82"/>
      <c r="N1175" s="82"/>
      <c r="O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</row>
    <row r="1176" spans="1:26">
      <c r="A1176" s="81"/>
      <c r="F1176" s="81"/>
      <c r="G1176" s="82"/>
      <c r="H1176" s="82"/>
      <c r="I1176" s="82"/>
      <c r="J1176" s="82"/>
      <c r="K1176" s="82"/>
      <c r="L1176" s="82"/>
      <c r="M1176" s="82"/>
      <c r="N1176" s="82"/>
      <c r="O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</row>
    <row r="1177" spans="1:26">
      <c r="A1177" s="81"/>
      <c r="F1177" s="81"/>
      <c r="G1177" s="82"/>
      <c r="H1177" s="82"/>
      <c r="I1177" s="82"/>
      <c r="J1177" s="82"/>
      <c r="K1177" s="82"/>
      <c r="L1177" s="82"/>
      <c r="M1177" s="82"/>
      <c r="N1177" s="82"/>
      <c r="O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</row>
    <row r="1178" spans="1:26">
      <c r="A1178" s="81"/>
      <c r="F1178" s="81"/>
      <c r="G1178" s="82"/>
      <c r="H1178" s="82"/>
      <c r="I1178" s="82"/>
      <c r="J1178" s="82"/>
      <c r="K1178" s="82"/>
      <c r="L1178" s="82"/>
      <c r="M1178" s="82"/>
      <c r="N1178" s="82"/>
      <c r="O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</row>
    <row r="1179" spans="1:26">
      <c r="A1179" s="81"/>
      <c r="F1179" s="81"/>
      <c r="G1179" s="82"/>
      <c r="H1179" s="82"/>
      <c r="I1179" s="82"/>
      <c r="J1179" s="82"/>
      <c r="K1179" s="82"/>
      <c r="L1179" s="82"/>
      <c r="M1179" s="82"/>
      <c r="N1179" s="82"/>
      <c r="O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</row>
    <row r="1180" spans="1:26">
      <c r="A1180" s="81"/>
      <c r="F1180" s="81"/>
      <c r="G1180" s="82"/>
      <c r="H1180" s="82"/>
      <c r="I1180" s="82"/>
      <c r="J1180" s="82"/>
      <c r="K1180" s="82"/>
      <c r="L1180" s="82"/>
      <c r="M1180" s="82"/>
      <c r="N1180" s="82"/>
      <c r="O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</row>
    <row r="1181" spans="1:26">
      <c r="A1181" s="81"/>
      <c r="F1181" s="81"/>
      <c r="G1181" s="82"/>
      <c r="H1181" s="82"/>
      <c r="I1181" s="82"/>
      <c r="J1181" s="82"/>
      <c r="K1181" s="82"/>
      <c r="L1181" s="82"/>
      <c r="M1181" s="82"/>
      <c r="N1181" s="82"/>
      <c r="O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</row>
    <row r="1182" spans="1:26">
      <c r="A1182" s="81"/>
      <c r="F1182" s="81"/>
      <c r="G1182" s="82"/>
      <c r="H1182" s="82"/>
      <c r="I1182" s="82"/>
      <c r="J1182" s="82"/>
      <c r="K1182" s="82"/>
      <c r="L1182" s="82"/>
      <c r="M1182" s="82"/>
      <c r="N1182" s="82"/>
      <c r="O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</row>
    <row r="1183" spans="1:26">
      <c r="A1183" s="81"/>
      <c r="F1183" s="81"/>
      <c r="G1183" s="82"/>
      <c r="H1183" s="82"/>
      <c r="I1183" s="82"/>
      <c r="J1183" s="82"/>
      <c r="K1183" s="82"/>
      <c r="L1183" s="82"/>
      <c r="M1183" s="82"/>
      <c r="N1183" s="82"/>
      <c r="O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</row>
    <row r="1184" spans="1:26">
      <c r="A1184" s="81"/>
      <c r="F1184" s="81"/>
      <c r="G1184" s="82"/>
      <c r="H1184" s="82"/>
      <c r="I1184" s="82"/>
      <c r="J1184" s="82"/>
      <c r="K1184" s="82"/>
      <c r="L1184" s="82"/>
      <c r="M1184" s="82"/>
      <c r="N1184" s="82"/>
      <c r="O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</row>
    <row r="1185" spans="1:26">
      <c r="A1185" s="81"/>
      <c r="F1185" s="81"/>
      <c r="G1185" s="82"/>
      <c r="H1185" s="82"/>
      <c r="I1185" s="82"/>
      <c r="J1185" s="82"/>
      <c r="K1185" s="82"/>
      <c r="L1185" s="82"/>
      <c r="M1185" s="82"/>
      <c r="N1185" s="82"/>
      <c r="O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</row>
    <row r="1186" spans="1:26">
      <c r="A1186" s="81"/>
      <c r="F1186" s="81"/>
      <c r="G1186" s="82"/>
      <c r="H1186" s="82"/>
      <c r="I1186" s="82"/>
      <c r="J1186" s="82"/>
      <c r="K1186" s="82"/>
      <c r="L1186" s="82"/>
      <c r="M1186" s="82"/>
      <c r="N1186" s="82"/>
      <c r="O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</row>
    <row r="1187" spans="1:26">
      <c r="A1187" s="81"/>
      <c r="F1187" s="81"/>
      <c r="G1187" s="82"/>
      <c r="H1187" s="82"/>
      <c r="I1187" s="82"/>
      <c r="J1187" s="82"/>
      <c r="K1187" s="82"/>
      <c r="L1187" s="82"/>
      <c r="M1187" s="82"/>
      <c r="N1187" s="82"/>
      <c r="O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</row>
    <row r="1188" spans="1:26">
      <c r="A1188" s="81"/>
      <c r="F1188" s="81"/>
      <c r="G1188" s="82"/>
      <c r="H1188" s="82"/>
      <c r="I1188" s="82"/>
      <c r="J1188" s="82"/>
      <c r="K1188" s="82"/>
      <c r="L1188" s="82"/>
      <c r="M1188" s="82"/>
      <c r="N1188" s="82"/>
      <c r="O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</row>
    <row r="1189" spans="1:26">
      <c r="A1189" s="81"/>
      <c r="F1189" s="81"/>
      <c r="G1189" s="82"/>
      <c r="H1189" s="82"/>
      <c r="I1189" s="82"/>
      <c r="J1189" s="82"/>
      <c r="K1189" s="82"/>
      <c r="L1189" s="82"/>
      <c r="M1189" s="82"/>
      <c r="N1189" s="82"/>
      <c r="O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</row>
    <row r="1190" spans="1:26">
      <c r="A1190" s="81"/>
      <c r="F1190" s="81"/>
      <c r="G1190" s="82"/>
      <c r="H1190" s="82"/>
      <c r="I1190" s="82"/>
      <c r="J1190" s="82"/>
      <c r="K1190" s="82"/>
      <c r="L1190" s="82"/>
      <c r="M1190" s="82"/>
      <c r="N1190" s="82"/>
      <c r="O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</row>
    <row r="1191" spans="1:26">
      <c r="A1191" s="81"/>
      <c r="F1191" s="81"/>
      <c r="G1191" s="82"/>
      <c r="H1191" s="82"/>
      <c r="I1191" s="82"/>
      <c r="J1191" s="82"/>
      <c r="K1191" s="82"/>
      <c r="L1191" s="82"/>
      <c r="M1191" s="82"/>
      <c r="N1191" s="82"/>
      <c r="O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</row>
    <row r="1192" spans="1:26">
      <c r="A1192" s="81"/>
      <c r="F1192" s="81"/>
      <c r="G1192" s="82"/>
      <c r="H1192" s="82"/>
      <c r="I1192" s="82"/>
      <c r="J1192" s="82"/>
      <c r="K1192" s="82"/>
      <c r="L1192" s="82"/>
      <c r="M1192" s="82"/>
      <c r="N1192" s="82"/>
      <c r="O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</row>
    <row r="1193" spans="1:26">
      <c r="A1193" s="81"/>
      <c r="F1193" s="81"/>
      <c r="G1193" s="82"/>
      <c r="H1193" s="82"/>
      <c r="I1193" s="82"/>
      <c r="J1193" s="82"/>
      <c r="K1193" s="82"/>
      <c r="L1193" s="82"/>
      <c r="M1193" s="82"/>
      <c r="N1193" s="82"/>
      <c r="O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</row>
    <row r="1194" spans="1:26">
      <c r="A1194" s="81"/>
      <c r="F1194" s="81"/>
      <c r="G1194" s="82"/>
      <c r="H1194" s="82"/>
      <c r="I1194" s="82"/>
      <c r="J1194" s="82"/>
      <c r="K1194" s="82"/>
      <c r="L1194" s="82"/>
      <c r="M1194" s="82"/>
      <c r="N1194" s="82"/>
      <c r="O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</row>
    <row r="1195" spans="1:26">
      <c r="A1195" s="81"/>
      <c r="F1195" s="81"/>
      <c r="G1195" s="82"/>
      <c r="H1195" s="82"/>
      <c r="I1195" s="82"/>
      <c r="J1195" s="82"/>
      <c r="K1195" s="82"/>
      <c r="L1195" s="82"/>
      <c r="M1195" s="82"/>
      <c r="N1195" s="82"/>
      <c r="O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</row>
    <row r="1196" spans="1:26">
      <c r="A1196" s="81"/>
      <c r="F1196" s="81"/>
      <c r="G1196" s="82"/>
      <c r="H1196" s="82"/>
      <c r="I1196" s="82"/>
      <c r="J1196" s="82"/>
      <c r="K1196" s="82"/>
      <c r="L1196" s="82"/>
      <c r="M1196" s="82"/>
      <c r="N1196" s="82"/>
      <c r="O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</row>
    <row r="1197" spans="1:26">
      <c r="A1197" s="81"/>
      <c r="F1197" s="81"/>
      <c r="G1197" s="82"/>
      <c r="H1197" s="82"/>
      <c r="I1197" s="82"/>
      <c r="J1197" s="82"/>
      <c r="K1197" s="82"/>
      <c r="L1197" s="82"/>
      <c r="M1197" s="82"/>
      <c r="N1197" s="82"/>
      <c r="O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</row>
    <row r="1198" spans="1:26">
      <c r="A1198" s="81"/>
      <c r="F1198" s="81"/>
      <c r="G1198" s="82"/>
      <c r="H1198" s="82"/>
      <c r="I1198" s="82"/>
      <c r="J1198" s="82"/>
      <c r="K1198" s="82"/>
      <c r="L1198" s="82"/>
      <c r="M1198" s="82"/>
      <c r="N1198" s="82"/>
      <c r="O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</row>
    <row r="1199" spans="1:26">
      <c r="A1199" s="81"/>
      <c r="F1199" s="81"/>
      <c r="G1199" s="82"/>
      <c r="H1199" s="82"/>
      <c r="I1199" s="82"/>
      <c r="J1199" s="82"/>
      <c r="K1199" s="82"/>
      <c r="L1199" s="82"/>
      <c r="M1199" s="82"/>
      <c r="N1199" s="82"/>
      <c r="O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</row>
    <row r="1200" spans="1:26">
      <c r="A1200" s="81"/>
      <c r="F1200" s="81"/>
      <c r="G1200" s="82"/>
      <c r="H1200" s="82"/>
      <c r="I1200" s="82"/>
      <c r="J1200" s="82"/>
      <c r="K1200" s="82"/>
      <c r="L1200" s="82"/>
      <c r="M1200" s="82"/>
      <c r="N1200" s="82"/>
      <c r="O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</row>
    <row r="1201" spans="1:26">
      <c r="A1201" s="81"/>
      <c r="F1201" s="81"/>
      <c r="G1201" s="82"/>
      <c r="H1201" s="82"/>
      <c r="I1201" s="82"/>
      <c r="J1201" s="82"/>
      <c r="K1201" s="82"/>
      <c r="L1201" s="82"/>
      <c r="M1201" s="82"/>
      <c r="N1201" s="82"/>
      <c r="O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</row>
    <row r="1202" spans="1:26">
      <c r="A1202" s="81"/>
      <c r="F1202" s="81"/>
      <c r="G1202" s="82"/>
      <c r="H1202" s="82"/>
      <c r="I1202" s="82"/>
      <c r="J1202" s="82"/>
      <c r="K1202" s="82"/>
      <c r="L1202" s="82"/>
      <c r="M1202" s="82"/>
      <c r="N1202" s="82"/>
      <c r="O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</row>
    <row r="1203" spans="1:26">
      <c r="A1203" s="81"/>
      <c r="F1203" s="81"/>
      <c r="G1203" s="82"/>
      <c r="H1203" s="82"/>
      <c r="I1203" s="82"/>
      <c r="J1203" s="82"/>
      <c r="K1203" s="82"/>
      <c r="L1203" s="82"/>
      <c r="M1203" s="82"/>
      <c r="N1203" s="82"/>
      <c r="O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</row>
    <row r="1204" spans="1:26">
      <c r="A1204" s="81"/>
      <c r="F1204" s="81"/>
      <c r="G1204" s="82"/>
      <c r="H1204" s="82"/>
      <c r="I1204" s="82"/>
      <c r="J1204" s="82"/>
      <c r="K1204" s="82"/>
      <c r="L1204" s="82"/>
      <c r="M1204" s="82"/>
      <c r="N1204" s="82"/>
      <c r="O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</row>
    <row r="1205" spans="1:26">
      <c r="A1205" s="81"/>
      <c r="F1205" s="81"/>
      <c r="G1205" s="82"/>
      <c r="H1205" s="82"/>
      <c r="I1205" s="82"/>
      <c r="J1205" s="82"/>
      <c r="K1205" s="82"/>
      <c r="L1205" s="82"/>
      <c r="M1205" s="82"/>
      <c r="N1205" s="82"/>
      <c r="O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</row>
    <row r="1206" spans="1:26">
      <c r="A1206" s="81"/>
      <c r="F1206" s="81"/>
      <c r="G1206" s="82"/>
      <c r="H1206" s="82"/>
      <c r="I1206" s="82"/>
      <c r="J1206" s="82"/>
      <c r="K1206" s="82"/>
      <c r="L1206" s="82"/>
      <c r="M1206" s="82"/>
      <c r="N1206" s="82"/>
      <c r="O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</row>
    <row r="1207" spans="1:26">
      <c r="A1207" s="81"/>
      <c r="F1207" s="81"/>
      <c r="G1207" s="82"/>
      <c r="H1207" s="82"/>
      <c r="I1207" s="82"/>
      <c r="J1207" s="82"/>
      <c r="K1207" s="82"/>
      <c r="L1207" s="82"/>
      <c r="M1207" s="82"/>
      <c r="N1207" s="82"/>
      <c r="O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</row>
    <row r="1208" spans="1:26">
      <c r="A1208" s="81"/>
      <c r="F1208" s="81"/>
      <c r="G1208" s="82"/>
      <c r="H1208" s="82"/>
      <c r="I1208" s="82"/>
      <c r="J1208" s="82"/>
      <c r="K1208" s="82"/>
      <c r="L1208" s="82"/>
      <c r="M1208" s="82"/>
      <c r="N1208" s="82"/>
      <c r="O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</row>
    <row r="1209" spans="1:26">
      <c r="A1209" s="81"/>
      <c r="F1209" s="81"/>
      <c r="G1209" s="82"/>
      <c r="H1209" s="82"/>
      <c r="I1209" s="82"/>
      <c r="J1209" s="82"/>
      <c r="K1209" s="82"/>
      <c r="L1209" s="82"/>
      <c r="M1209" s="82"/>
      <c r="N1209" s="82"/>
      <c r="O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</row>
    <row r="1210" spans="1:26">
      <c r="A1210" s="81"/>
      <c r="F1210" s="81"/>
      <c r="G1210" s="82"/>
      <c r="H1210" s="82"/>
      <c r="I1210" s="82"/>
      <c r="J1210" s="82"/>
      <c r="K1210" s="82"/>
      <c r="L1210" s="82"/>
      <c r="M1210" s="82"/>
      <c r="N1210" s="82"/>
      <c r="O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</row>
    <row r="1211" spans="1:26">
      <c r="A1211" s="81"/>
      <c r="F1211" s="81"/>
      <c r="G1211" s="82"/>
      <c r="H1211" s="82"/>
      <c r="I1211" s="82"/>
      <c r="J1211" s="82"/>
      <c r="K1211" s="82"/>
      <c r="L1211" s="82"/>
      <c r="M1211" s="82"/>
      <c r="N1211" s="82"/>
      <c r="O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</row>
    <row r="1212" spans="1:26">
      <c r="A1212" s="81"/>
      <c r="F1212" s="81"/>
      <c r="G1212" s="82"/>
      <c r="H1212" s="82"/>
      <c r="I1212" s="82"/>
      <c r="J1212" s="82"/>
      <c r="K1212" s="82"/>
      <c r="L1212" s="82"/>
      <c r="M1212" s="82"/>
      <c r="N1212" s="82"/>
      <c r="O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</row>
    <row r="1213" spans="1:26">
      <c r="A1213" s="81"/>
      <c r="F1213" s="81"/>
      <c r="G1213" s="82"/>
      <c r="H1213" s="82"/>
      <c r="I1213" s="82"/>
      <c r="J1213" s="82"/>
      <c r="K1213" s="82"/>
      <c r="L1213" s="82"/>
      <c r="M1213" s="82"/>
      <c r="N1213" s="82"/>
      <c r="O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</row>
    <row r="1214" spans="1:26">
      <c r="A1214" s="81"/>
      <c r="F1214" s="81"/>
      <c r="G1214" s="82"/>
      <c r="H1214" s="82"/>
      <c r="I1214" s="82"/>
      <c r="J1214" s="82"/>
      <c r="K1214" s="82"/>
      <c r="L1214" s="82"/>
      <c r="M1214" s="82"/>
      <c r="N1214" s="82"/>
      <c r="O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</row>
    <row r="1215" spans="1:26">
      <c r="A1215" s="81"/>
      <c r="F1215" s="81"/>
      <c r="G1215" s="82"/>
      <c r="H1215" s="82"/>
      <c r="I1215" s="82"/>
      <c r="J1215" s="82"/>
      <c r="K1215" s="82"/>
      <c r="L1215" s="82"/>
      <c r="M1215" s="82"/>
      <c r="N1215" s="82"/>
      <c r="O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</row>
    <row r="1216" spans="1:26">
      <c r="A1216" s="81"/>
      <c r="F1216" s="81"/>
      <c r="G1216" s="82"/>
      <c r="H1216" s="82"/>
      <c r="I1216" s="82"/>
      <c r="J1216" s="82"/>
      <c r="K1216" s="82"/>
      <c r="L1216" s="82"/>
      <c r="M1216" s="82"/>
      <c r="N1216" s="82"/>
      <c r="O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</row>
    <row r="1217" spans="1:26">
      <c r="A1217" s="81"/>
      <c r="F1217" s="81"/>
      <c r="G1217" s="82"/>
      <c r="H1217" s="82"/>
      <c r="I1217" s="82"/>
      <c r="J1217" s="82"/>
      <c r="K1217" s="82"/>
      <c r="L1217" s="82"/>
      <c r="M1217" s="82"/>
      <c r="N1217" s="82"/>
      <c r="O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</row>
    <row r="1218" spans="1:26">
      <c r="A1218" s="81"/>
      <c r="F1218" s="81"/>
      <c r="G1218" s="82"/>
      <c r="H1218" s="82"/>
      <c r="I1218" s="82"/>
      <c r="J1218" s="82"/>
      <c r="K1218" s="82"/>
      <c r="L1218" s="82"/>
      <c r="M1218" s="82"/>
      <c r="N1218" s="82"/>
      <c r="O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</row>
    <row r="1219" spans="1:26">
      <c r="A1219" s="81"/>
      <c r="F1219" s="81"/>
      <c r="G1219" s="82"/>
      <c r="H1219" s="82"/>
      <c r="I1219" s="82"/>
      <c r="J1219" s="82"/>
      <c r="K1219" s="82"/>
      <c r="L1219" s="82"/>
      <c r="M1219" s="82"/>
      <c r="N1219" s="82"/>
      <c r="O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</row>
    <row r="1220" spans="1:26">
      <c r="A1220" s="81"/>
      <c r="F1220" s="81"/>
      <c r="G1220" s="82"/>
      <c r="H1220" s="82"/>
      <c r="I1220" s="82"/>
      <c r="J1220" s="82"/>
      <c r="K1220" s="82"/>
      <c r="L1220" s="82"/>
      <c r="M1220" s="82"/>
      <c r="N1220" s="82"/>
      <c r="O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</row>
    <row r="1221" spans="1:26">
      <c r="A1221" s="81"/>
      <c r="F1221" s="81"/>
      <c r="G1221" s="82"/>
      <c r="H1221" s="82"/>
      <c r="I1221" s="82"/>
      <c r="J1221" s="82"/>
      <c r="K1221" s="82"/>
      <c r="L1221" s="82"/>
      <c r="M1221" s="82"/>
      <c r="N1221" s="82"/>
      <c r="O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</row>
    <row r="1222" spans="1:26">
      <c r="A1222" s="81"/>
      <c r="F1222" s="81"/>
      <c r="G1222" s="82"/>
      <c r="H1222" s="82"/>
      <c r="I1222" s="82"/>
      <c r="J1222" s="82"/>
      <c r="K1222" s="82"/>
      <c r="L1222" s="82"/>
      <c r="M1222" s="82"/>
      <c r="N1222" s="82"/>
      <c r="O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</row>
    <row r="1223" spans="1:26">
      <c r="A1223" s="81"/>
      <c r="F1223" s="81"/>
      <c r="G1223" s="82"/>
      <c r="H1223" s="82"/>
      <c r="I1223" s="82"/>
      <c r="J1223" s="82"/>
      <c r="K1223" s="82"/>
      <c r="L1223" s="82"/>
      <c r="M1223" s="82"/>
      <c r="N1223" s="82"/>
      <c r="O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</row>
    <row r="1224" spans="1:26">
      <c r="A1224" s="81"/>
      <c r="D1224" s="140"/>
      <c r="F1224" s="81"/>
      <c r="G1224" s="82"/>
      <c r="H1224" s="82"/>
      <c r="I1224" s="82"/>
      <c r="J1224" s="82"/>
      <c r="K1224" s="82"/>
      <c r="L1224" s="82"/>
      <c r="M1224" s="82"/>
      <c r="N1224" s="82"/>
      <c r="O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</row>
    <row r="1225" spans="1:26">
      <c r="A1225" s="81"/>
      <c r="F1225" s="81"/>
      <c r="G1225" s="82"/>
      <c r="H1225" s="82"/>
      <c r="I1225" s="82"/>
      <c r="J1225" s="82"/>
      <c r="K1225" s="82"/>
      <c r="L1225" s="82"/>
      <c r="M1225" s="82"/>
      <c r="N1225" s="82"/>
      <c r="O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</row>
    <row r="1226" spans="1:26">
      <c r="A1226" s="81"/>
      <c r="F1226" s="81"/>
      <c r="G1226" s="82"/>
      <c r="H1226" s="82"/>
      <c r="I1226" s="82"/>
      <c r="J1226" s="82"/>
      <c r="K1226" s="82"/>
      <c r="L1226" s="82"/>
      <c r="M1226" s="82"/>
      <c r="N1226" s="82"/>
      <c r="O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</row>
    <row r="1227" spans="1:26">
      <c r="A1227" s="81"/>
      <c r="F1227" s="81"/>
      <c r="G1227" s="82"/>
      <c r="H1227" s="82"/>
      <c r="I1227" s="82"/>
      <c r="J1227" s="82"/>
      <c r="K1227" s="82"/>
      <c r="L1227" s="82"/>
      <c r="M1227" s="82"/>
      <c r="N1227" s="82"/>
      <c r="O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</row>
    <row r="1228" spans="1:26">
      <c r="A1228" s="81"/>
      <c r="F1228" s="81"/>
      <c r="G1228" s="82"/>
      <c r="H1228" s="82"/>
      <c r="I1228" s="82"/>
      <c r="J1228" s="82"/>
      <c r="K1228" s="82"/>
      <c r="L1228" s="82"/>
      <c r="M1228" s="82"/>
      <c r="N1228" s="82"/>
      <c r="O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</row>
    <row r="1229" spans="1:26">
      <c r="A1229" s="81"/>
      <c r="F1229" s="81"/>
      <c r="G1229" s="82"/>
      <c r="H1229" s="82"/>
      <c r="I1229" s="82"/>
      <c r="J1229" s="82"/>
      <c r="K1229" s="82"/>
      <c r="L1229" s="82"/>
      <c r="M1229" s="82"/>
      <c r="N1229" s="82"/>
      <c r="O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</row>
    <row r="1230" spans="1:26">
      <c r="A1230" s="81"/>
      <c r="F1230" s="81"/>
      <c r="G1230" s="82"/>
      <c r="H1230" s="82"/>
      <c r="I1230" s="82"/>
      <c r="J1230" s="82"/>
      <c r="K1230" s="82"/>
      <c r="L1230" s="82"/>
      <c r="M1230" s="82"/>
      <c r="N1230" s="82"/>
      <c r="O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</row>
    <row r="1231" spans="1:26">
      <c r="A1231" s="81"/>
      <c r="F1231" s="81"/>
      <c r="G1231" s="82"/>
      <c r="H1231" s="82"/>
      <c r="I1231" s="82"/>
      <c r="J1231" s="82"/>
      <c r="K1231" s="82"/>
      <c r="L1231" s="82"/>
      <c r="M1231" s="82"/>
      <c r="N1231" s="82"/>
      <c r="O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</row>
    <row r="1232" spans="1:26">
      <c r="A1232" s="81"/>
      <c r="F1232" s="81"/>
      <c r="G1232" s="82"/>
      <c r="H1232" s="82"/>
      <c r="I1232" s="82"/>
      <c r="J1232" s="82"/>
      <c r="K1232" s="82"/>
      <c r="L1232" s="82"/>
      <c r="M1232" s="82"/>
      <c r="N1232" s="82"/>
      <c r="O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</row>
    <row r="1233" spans="1:26">
      <c r="A1233" s="81"/>
      <c r="F1233" s="81"/>
      <c r="G1233" s="82"/>
      <c r="H1233" s="82"/>
      <c r="I1233" s="82"/>
      <c r="J1233" s="82"/>
      <c r="K1233" s="82"/>
      <c r="L1233" s="82"/>
      <c r="M1233" s="82"/>
      <c r="N1233" s="82"/>
      <c r="O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</row>
    <row r="1234" spans="1:26">
      <c r="A1234" s="81"/>
      <c r="F1234" s="81"/>
      <c r="G1234" s="82"/>
      <c r="H1234" s="82"/>
      <c r="I1234" s="82"/>
      <c r="J1234" s="82"/>
      <c r="K1234" s="82"/>
      <c r="L1234" s="82"/>
      <c r="M1234" s="82"/>
      <c r="N1234" s="82"/>
      <c r="O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</row>
    <row r="1235" spans="1:26">
      <c r="A1235" s="81"/>
      <c r="F1235" s="81"/>
      <c r="G1235" s="82"/>
      <c r="H1235" s="82"/>
      <c r="I1235" s="82"/>
      <c r="J1235" s="82"/>
      <c r="K1235" s="82"/>
      <c r="L1235" s="82"/>
      <c r="M1235" s="82"/>
      <c r="N1235" s="82"/>
      <c r="O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</row>
    <row r="1236" spans="1:26">
      <c r="A1236" s="81"/>
      <c r="F1236" s="81"/>
      <c r="G1236" s="82"/>
      <c r="H1236" s="82"/>
      <c r="I1236" s="82"/>
      <c r="J1236" s="82"/>
      <c r="K1236" s="82"/>
      <c r="L1236" s="82"/>
      <c r="M1236" s="82"/>
      <c r="N1236" s="82"/>
      <c r="O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</row>
    <row r="1237" spans="1:26">
      <c r="A1237" s="81"/>
      <c r="F1237" s="81"/>
      <c r="G1237" s="82"/>
      <c r="H1237" s="82"/>
      <c r="I1237" s="82"/>
      <c r="J1237" s="82"/>
      <c r="K1237" s="82"/>
      <c r="L1237" s="82"/>
      <c r="M1237" s="82"/>
      <c r="N1237" s="82"/>
      <c r="O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</row>
    <row r="1238" spans="1:26">
      <c r="A1238" s="81"/>
      <c r="F1238" s="81"/>
      <c r="G1238" s="82"/>
      <c r="H1238" s="82"/>
      <c r="I1238" s="82"/>
      <c r="J1238" s="82"/>
      <c r="K1238" s="82"/>
      <c r="L1238" s="82"/>
      <c r="M1238" s="82"/>
      <c r="N1238" s="82"/>
      <c r="O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</row>
    <row r="1239" spans="1:26">
      <c r="A1239" s="81"/>
      <c r="F1239" s="81"/>
      <c r="G1239" s="82"/>
      <c r="H1239" s="82"/>
      <c r="I1239" s="82"/>
      <c r="J1239" s="82"/>
      <c r="K1239" s="82"/>
      <c r="L1239" s="82"/>
      <c r="M1239" s="82"/>
      <c r="N1239" s="82"/>
      <c r="O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</row>
    <row r="1240" spans="1:26">
      <c r="A1240" s="81"/>
      <c r="F1240" s="81"/>
      <c r="G1240" s="82"/>
      <c r="H1240" s="82"/>
      <c r="I1240" s="82"/>
      <c r="J1240" s="82"/>
      <c r="K1240" s="82"/>
      <c r="L1240" s="82"/>
      <c r="M1240" s="82"/>
      <c r="N1240" s="82"/>
      <c r="O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</row>
    <row r="1241" spans="1:26">
      <c r="A1241" s="81"/>
      <c r="F1241" s="81"/>
      <c r="G1241" s="82"/>
      <c r="H1241" s="82"/>
      <c r="I1241" s="82"/>
      <c r="J1241" s="82"/>
      <c r="K1241" s="82"/>
      <c r="L1241" s="82"/>
      <c r="M1241" s="82"/>
      <c r="N1241" s="82"/>
      <c r="O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</row>
    <row r="1242" spans="1:26">
      <c r="A1242" s="81"/>
      <c r="F1242" s="81"/>
      <c r="G1242" s="82"/>
      <c r="H1242" s="82"/>
      <c r="I1242" s="82"/>
      <c r="J1242" s="82"/>
      <c r="K1242" s="82"/>
      <c r="L1242" s="82"/>
      <c r="M1242" s="82"/>
      <c r="N1242" s="82"/>
      <c r="O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</row>
    <row r="1243" spans="1:26">
      <c r="A1243" s="81"/>
      <c r="F1243" s="81"/>
      <c r="G1243" s="82"/>
      <c r="H1243" s="82"/>
      <c r="I1243" s="82"/>
      <c r="J1243" s="82"/>
      <c r="K1243" s="82"/>
      <c r="L1243" s="82"/>
      <c r="M1243" s="82"/>
      <c r="N1243" s="82"/>
      <c r="O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</row>
    <row r="1244" spans="1:26">
      <c r="A1244" s="81"/>
      <c r="F1244" s="81"/>
      <c r="G1244" s="82"/>
      <c r="H1244" s="82"/>
      <c r="I1244" s="82"/>
      <c r="J1244" s="82"/>
      <c r="K1244" s="82"/>
      <c r="L1244" s="82"/>
      <c r="M1244" s="82"/>
      <c r="N1244" s="82"/>
      <c r="O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</row>
    <row r="1245" spans="1:26">
      <c r="A1245" s="81"/>
      <c r="F1245" s="81"/>
      <c r="G1245" s="82"/>
      <c r="H1245" s="82"/>
      <c r="I1245" s="82"/>
      <c r="J1245" s="82"/>
      <c r="K1245" s="82"/>
      <c r="L1245" s="82"/>
      <c r="M1245" s="82"/>
      <c r="N1245" s="82"/>
      <c r="O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</row>
    <row r="1246" spans="1:26">
      <c r="A1246" s="81"/>
      <c r="F1246" s="81"/>
      <c r="G1246" s="82"/>
      <c r="H1246" s="82"/>
      <c r="I1246" s="82"/>
      <c r="J1246" s="82"/>
      <c r="K1246" s="82"/>
      <c r="L1246" s="82"/>
      <c r="M1246" s="82"/>
      <c r="N1246" s="82"/>
      <c r="O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</row>
    <row r="1247" spans="1:26">
      <c r="A1247" s="81"/>
      <c r="F1247" s="81"/>
      <c r="G1247" s="82"/>
      <c r="H1247" s="82"/>
      <c r="I1247" s="82"/>
      <c r="J1247" s="82"/>
      <c r="K1247" s="82"/>
      <c r="L1247" s="82"/>
      <c r="M1247" s="82"/>
      <c r="N1247" s="82"/>
      <c r="O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</row>
    <row r="1248" spans="1:26">
      <c r="A1248" s="81"/>
      <c r="F1248" s="81"/>
      <c r="G1248" s="82"/>
      <c r="H1248" s="82"/>
      <c r="I1248" s="82"/>
      <c r="J1248" s="82"/>
      <c r="K1248" s="82"/>
      <c r="L1248" s="82"/>
      <c r="M1248" s="82"/>
      <c r="N1248" s="82"/>
      <c r="O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</row>
    <row r="1249" spans="1:26">
      <c r="A1249" s="81"/>
      <c r="F1249" s="81"/>
      <c r="G1249" s="82"/>
      <c r="H1249" s="82"/>
      <c r="I1249" s="82"/>
      <c r="J1249" s="82"/>
      <c r="K1249" s="82"/>
      <c r="L1249" s="82"/>
      <c r="M1249" s="82"/>
      <c r="N1249" s="82"/>
      <c r="O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</row>
    <row r="1250" spans="1:26">
      <c r="A1250" s="81"/>
      <c r="F1250" s="81"/>
      <c r="G1250" s="82"/>
      <c r="H1250" s="82"/>
      <c r="I1250" s="82"/>
      <c r="J1250" s="82"/>
      <c r="K1250" s="82"/>
      <c r="L1250" s="82"/>
      <c r="M1250" s="82"/>
      <c r="N1250" s="82"/>
      <c r="O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</row>
    <row r="1251" spans="1:26">
      <c r="A1251" s="81"/>
      <c r="F1251" s="81"/>
      <c r="G1251" s="82"/>
      <c r="H1251" s="82"/>
      <c r="I1251" s="82"/>
      <c r="J1251" s="82"/>
      <c r="K1251" s="82"/>
      <c r="L1251" s="82"/>
      <c r="M1251" s="82"/>
      <c r="N1251" s="82"/>
      <c r="O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</row>
    <row r="1252" spans="1:26">
      <c r="A1252" s="81"/>
      <c r="F1252" s="81"/>
      <c r="G1252" s="82"/>
      <c r="H1252" s="82"/>
      <c r="I1252" s="82"/>
      <c r="J1252" s="82"/>
      <c r="K1252" s="82"/>
      <c r="L1252" s="82"/>
      <c r="M1252" s="82"/>
      <c r="N1252" s="82"/>
      <c r="O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</row>
    <row r="1253" spans="1:26">
      <c r="A1253" s="81"/>
      <c r="F1253" s="81"/>
      <c r="G1253" s="82"/>
      <c r="H1253" s="82"/>
      <c r="I1253" s="82"/>
      <c r="J1253" s="82"/>
      <c r="K1253" s="82"/>
      <c r="L1253" s="82"/>
      <c r="M1253" s="82"/>
      <c r="N1253" s="82"/>
      <c r="O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</row>
    <row r="1254" spans="1:26">
      <c r="A1254" s="81"/>
      <c r="F1254" s="81"/>
      <c r="G1254" s="82"/>
      <c r="H1254" s="82"/>
      <c r="I1254" s="82"/>
      <c r="J1254" s="82"/>
      <c r="K1254" s="82"/>
      <c r="L1254" s="82"/>
      <c r="M1254" s="82"/>
      <c r="N1254" s="82"/>
      <c r="O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</row>
    <row r="1255" spans="1:26">
      <c r="A1255" s="81"/>
      <c r="F1255" s="81"/>
      <c r="G1255" s="82"/>
      <c r="H1255" s="82"/>
      <c r="I1255" s="82"/>
      <c r="J1255" s="82"/>
      <c r="K1255" s="82"/>
      <c r="L1255" s="82"/>
      <c r="M1255" s="82"/>
      <c r="N1255" s="82"/>
      <c r="O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</row>
    <row r="1256" spans="1:26">
      <c r="A1256" s="81"/>
      <c r="F1256" s="81"/>
      <c r="G1256" s="82"/>
      <c r="H1256" s="82"/>
      <c r="I1256" s="82"/>
      <c r="J1256" s="82"/>
      <c r="K1256" s="82"/>
      <c r="L1256" s="82"/>
      <c r="M1256" s="82"/>
      <c r="N1256" s="82"/>
      <c r="O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</row>
    <row r="1257" spans="1:26">
      <c r="A1257" s="81"/>
      <c r="F1257" s="81"/>
      <c r="G1257" s="82"/>
      <c r="H1257" s="82"/>
      <c r="I1257" s="82"/>
      <c r="J1257" s="82"/>
      <c r="K1257" s="82"/>
      <c r="L1257" s="82"/>
      <c r="M1257" s="82"/>
      <c r="N1257" s="82"/>
      <c r="O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</row>
    <row r="1258" spans="1:26">
      <c r="A1258" s="81"/>
      <c r="F1258" s="81"/>
      <c r="G1258" s="82"/>
      <c r="H1258" s="82"/>
      <c r="I1258" s="82"/>
      <c r="J1258" s="82"/>
      <c r="K1258" s="82"/>
      <c r="L1258" s="82"/>
      <c r="M1258" s="82"/>
      <c r="N1258" s="82"/>
      <c r="O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</row>
    <row r="1259" spans="1:26">
      <c r="A1259" s="81"/>
      <c r="F1259" s="81"/>
      <c r="G1259" s="82"/>
      <c r="H1259" s="82"/>
      <c r="I1259" s="82"/>
      <c r="J1259" s="82"/>
      <c r="K1259" s="82"/>
      <c r="L1259" s="82"/>
      <c r="M1259" s="82"/>
      <c r="N1259" s="82"/>
      <c r="O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</row>
    <row r="1260" spans="1:26">
      <c r="A1260" s="81"/>
      <c r="F1260" s="81"/>
      <c r="G1260" s="82"/>
      <c r="H1260" s="82"/>
      <c r="I1260" s="82"/>
      <c r="J1260" s="82"/>
      <c r="K1260" s="82"/>
      <c r="L1260" s="82"/>
      <c r="M1260" s="82"/>
      <c r="N1260" s="82"/>
      <c r="O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</row>
    <row r="1261" spans="1:26">
      <c r="A1261" s="81"/>
      <c r="F1261" s="81"/>
      <c r="G1261" s="82"/>
      <c r="H1261" s="82"/>
      <c r="I1261" s="82"/>
      <c r="J1261" s="82"/>
      <c r="K1261" s="82"/>
      <c r="L1261" s="82"/>
      <c r="M1261" s="82"/>
      <c r="N1261" s="82"/>
      <c r="O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</row>
    <row r="1262" spans="1:26">
      <c r="A1262" s="81"/>
      <c r="F1262" s="81"/>
      <c r="G1262" s="82"/>
      <c r="H1262" s="82"/>
      <c r="I1262" s="82"/>
      <c r="J1262" s="82"/>
      <c r="K1262" s="82"/>
      <c r="L1262" s="82"/>
      <c r="M1262" s="82"/>
      <c r="N1262" s="82"/>
      <c r="O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</row>
    <row r="1263" spans="1:26">
      <c r="A1263" s="81"/>
      <c r="F1263" s="81"/>
      <c r="G1263" s="82"/>
      <c r="H1263" s="82"/>
      <c r="I1263" s="82"/>
      <c r="J1263" s="82"/>
      <c r="K1263" s="82"/>
      <c r="L1263" s="82"/>
      <c r="M1263" s="82"/>
      <c r="N1263" s="82"/>
      <c r="O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</row>
    <row r="1264" spans="1:26">
      <c r="A1264" s="81"/>
      <c r="F1264" s="81"/>
      <c r="G1264" s="82"/>
      <c r="H1264" s="82"/>
      <c r="I1264" s="82"/>
      <c r="J1264" s="82"/>
      <c r="K1264" s="82"/>
      <c r="L1264" s="82"/>
      <c r="M1264" s="82"/>
      <c r="N1264" s="82"/>
      <c r="O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</row>
    <row r="1265" spans="1:26">
      <c r="A1265" s="81"/>
      <c r="F1265" s="81"/>
      <c r="G1265" s="82"/>
      <c r="H1265" s="82"/>
      <c r="I1265" s="82"/>
      <c r="J1265" s="82"/>
      <c r="K1265" s="82"/>
      <c r="L1265" s="82"/>
      <c r="M1265" s="82"/>
      <c r="N1265" s="82"/>
      <c r="O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</row>
    <row r="1266" spans="1:26">
      <c r="A1266" s="81"/>
      <c r="F1266" s="81"/>
      <c r="G1266" s="82"/>
      <c r="H1266" s="82"/>
      <c r="I1266" s="82"/>
      <c r="J1266" s="82"/>
      <c r="K1266" s="82"/>
      <c r="L1266" s="82"/>
      <c r="M1266" s="82"/>
      <c r="N1266" s="82"/>
      <c r="O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</row>
    <row r="1267" spans="1:26">
      <c r="A1267" s="81"/>
      <c r="F1267" s="81"/>
      <c r="G1267" s="82"/>
      <c r="H1267" s="82"/>
      <c r="I1267" s="82"/>
      <c r="J1267" s="82"/>
      <c r="K1267" s="82"/>
      <c r="L1267" s="82"/>
      <c r="M1267" s="82"/>
      <c r="N1267" s="82"/>
      <c r="O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</row>
    <row r="1268" spans="1:26">
      <c r="A1268" s="81"/>
      <c r="F1268" s="81"/>
      <c r="G1268" s="82"/>
      <c r="H1268" s="82"/>
      <c r="I1268" s="82"/>
      <c r="J1268" s="82"/>
      <c r="K1268" s="82"/>
      <c r="L1268" s="82"/>
      <c r="M1268" s="82"/>
      <c r="N1268" s="82"/>
      <c r="O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</row>
    <row r="1269" spans="1:26">
      <c r="A1269" s="81"/>
      <c r="F1269" s="81"/>
      <c r="G1269" s="82"/>
      <c r="H1269" s="82"/>
      <c r="I1269" s="82"/>
      <c r="J1269" s="82"/>
      <c r="K1269" s="82"/>
      <c r="L1269" s="82"/>
      <c r="M1269" s="82"/>
      <c r="N1269" s="82"/>
      <c r="O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</row>
    <row r="1270" spans="1:26">
      <c r="A1270" s="81"/>
      <c r="F1270" s="81"/>
      <c r="G1270" s="82"/>
      <c r="H1270" s="82"/>
      <c r="I1270" s="82"/>
      <c r="J1270" s="82"/>
      <c r="K1270" s="82"/>
      <c r="L1270" s="82"/>
      <c r="M1270" s="82"/>
      <c r="N1270" s="82"/>
      <c r="O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</row>
    <row r="1271" spans="1:26">
      <c r="A1271" s="81"/>
      <c r="F1271" s="81"/>
      <c r="G1271" s="82"/>
      <c r="H1271" s="82"/>
      <c r="I1271" s="82"/>
      <c r="J1271" s="82"/>
      <c r="K1271" s="82"/>
      <c r="L1271" s="82"/>
      <c r="M1271" s="82"/>
      <c r="N1271" s="82"/>
      <c r="O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</row>
    <row r="1272" spans="1:26">
      <c r="A1272" s="81"/>
      <c r="F1272" s="81"/>
      <c r="G1272" s="82"/>
      <c r="H1272" s="82"/>
      <c r="I1272" s="82"/>
      <c r="J1272" s="82"/>
      <c r="K1272" s="82"/>
      <c r="L1272" s="82"/>
      <c r="M1272" s="82"/>
      <c r="N1272" s="82"/>
      <c r="O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</row>
    <row r="1273" spans="1:26">
      <c r="A1273" s="81"/>
      <c r="F1273" s="81"/>
      <c r="G1273" s="82"/>
      <c r="H1273" s="82"/>
      <c r="I1273" s="82"/>
      <c r="J1273" s="82"/>
      <c r="K1273" s="82"/>
      <c r="L1273" s="82"/>
      <c r="M1273" s="82"/>
      <c r="N1273" s="82"/>
      <c r="O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</row>
    <row r="1274" spans="1:26">
      <c r="A1274" s="81"/>
      <c r="F1274" s="81"/>
      <c r="G1274" s="82"/>
      <c r="H1274" s="82"/>
      <c r="I1274" s="82"/>
      <c r="J1274" s="82"/>
      <c r="K1274" s="82"/>
      <c r="L1274" s="82"/>
      <c r="M1274" s="82"/>
      <c r="N1274" s="82"/>
      <c r="O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</row>
    <row r="1275" spans="1:26">
      <c r="A1275" s="81"/>
      <c r="F1275" s="81"/>
      <c r="G1275" s="82"/>
      <c r="H1275" s="82"/>
      <c r="I1275" s="82"/>
      <c r="J1275" s="82"/>
      <c r="K1275" s="82"/>
      <c r="L1275" s="82"/>
      <c r="M1275" s="82"/>
      <c r="N1275" s="82"/>
      <c r="O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</row>
    <row r="1276" spans="1:26">
      <c r="A1276" s="81"/>
      <c r="F1276" s="81"/>
      <c r="G1276" s="82"/>
      <c r="H1276" s="82"/>
      <c r="I1276" s="82"/>
      <c r="J1276" s="82"/>
      <c r="K1276" s="82"/>
      <c r="L1276" s="82"/>
      <c r="M1276" s="82"/>
      <c r="N1276" s="82"/>
      <c r="O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</row>
    <row r="1277" spans="1:26">
      <c r="A1277" s="81"/>
      <c r="F1277" s="81"/>
      <c r="G1277" s="82"/>
      <c r="H1277" s="82"/>
      <c r="I1277" s="82"/>
      <c r="J1277" s="82"/>
      <c r="K1277" s="82"/>
      <c r="L1277" s="82"/>
      <c r="M1277" s="82"/>
      <c r="N1277" s="82"/>
      <c r="O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</row>
    <row r="1278" spans="1:26">
      <c r="A1278" s="81"/>
      <c r="F1278" s="81"/>
      <c r="G1278" s="82"/>
      <c r="H1278" s="82"/>
      <c r="I1278" s="82"/>
      <c r="J1278" s="82"/>
      <c r="K1278" s="82"/>
      <c r="L1278" s="82"/>
      <c r="M1278" s="82"/>
      <c r="N1278" s="82"/>
      <c r="O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</row>
    <row r="1279" spans="1:26">
      <c r="A1279" s="81"/>
      <c r="F1279" s="81"/>
      <c r="G1279" s="82"/>
      <c r="H1279" s="82"/>
      <c r="I1279" s="82"/>
      <c r="J1279" s="82"/>
      <c r="K1279" s="82"/>
      <c r="L1279" s="82"/>
      <c r="M1279" s="82"/>
      <c r="N1279" s="82"/>
      <c r="O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</row>
    <row r="1280" spans="1:26">
      <c r="A1280" s="81"/>
      <c r="F1280" s="81"/>
      <c r="G1280" s="82"/>
      <c r="H1280" s="82"/>
      <c r="I1280" s="82"/>
      <c r="J1280" s="82"/>
      <c r="K1280" s="82"/>
      <c r="L1280" s="82"/>
      <c r="M1280" s="82"/>
      <c r="N1280" s="82"/>
      <c r="O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</row>
    <row r="1281" spans="1:26">
      <c r="A1281" s="81"/>
      <c r="F1281" s="81"/>
      <c r="G1281" s="82"/>
      <c r="H1281" s="82"/>
      <c r="I1281" s="82"/>
      <c r="J1281" s="82"/>
      <c r="K1281" s="82"/>
      <c r="L1281" s="82"/>
      <c r="M1281" s="82"/>
      <c r="N1281" s="82"/>
      <c r="O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</row>
    <row r="1282" spans="1:26">
      <c r="A1282" s="81"/>
      <c r="F1282" s="81"/>
      <c r="G1282" s="82"/>
      <c r="H1282" s="82"/>
      <c r="I1282" s="82"/>
      <c r="J1282" s="82"/>
      <c r="K1282" s="82"/>
      <c r="L1282" s="82"/>
      <c r="M1282" s="82"/>
      <c r="N1282" s="82"/>
      <c r="O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</row>
    <row r="1283" spans="1:26">
      <c r="A1283" s="81"/>
      <c r="F1283" s="81"/>
      <c r="G1283" s="82"/>
      <c r="H1283" s="82"/>
      <c r="I1283" s="82"/>
      <c r="J1283" s="82"/>
      <c r="K1283" s="82"/>
      <c r="L1283" s="82"/>
      <c r="M1283" s="82"/>
      <c r="N1283" s="82"/>
      <c r="O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</row>
    <row r="1284" spans="1:26">
      <c r="A1284" s="81"/>
      <c r="F1284" s="81"/>
      <c r="G1284" s="82"/>
      <c r="H1284" s="82"/>
      <c r="I1284" s="82"/>
      <c r="J1284" s="82"/>
      <c r="K1284" s="82"/>
      <c r="L1284" s="82"/>
      <c r="M1284" s="82"/>
      <c r="N1284" s="82"/>
      <c r="O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</row>
    <row r="1285" spans="1:26">
      <c r="A1285" s="81"/>
      <c r="F1285" s="81"/>
      <c r="G1285" s="82"/>
      <c r="H1285" s="82"/>
      <c r="I1285" s="82"/>
      <c r="J1285" s="82"/>
      <c r="K1285" s="82"/>
      <c r="L1285" s="82"/>
      <c r="M1285" s="82"/>
      <c r="N1285" s="82"/>
      <c r="O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</row>
    <row r="1286" spans="1:26">
      <c r="A1286" s="81"/>
      <c r="F1286" s="81"/>
      <c r="G1286" s="82"/>
      <c r="H1286" s="82"/>
      <c r="I1286" s="82"/>
      <c r="J1286" s="82"/>
      <c r="K1286" s="82"/>
      <c r="L1286" s="82"/>
      <c r="M1286" s="82"/>
      <c r="N1286" s="82"/>
      <c r="O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</row>
    <row r="1287" spans="1:26">
      <c r="A1287" s="81"/>
      <c r="F1287" s="81"/>
      <c r="G1287" s="82"/>
      <c r="H1287" s="82"/>
      <c r="I1287" s="82"/>
      <c r="J1287" s="82"/>
      <c r="K1287" s="82"/>
      <c r="L1287" s="82"/>
      <c r="M1287" s="82"/>
      <c r="N1287" s="82"/>
      <c r="O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</row>
    <row r="1288" spans="1:26">
      <c r="A1288" s="81"/>
      <c r="F1288" s="81"/>
      <c r="G1288" s="82"/>
      <c r="H1288" s="82"/>
      <c r="I1288" s="82"/>
      <c r="J1288" s="82"/>
      <c r="K1288" s="82"/>
      <c r="L1288" s="82"/>
      <c r="M1288" s="82"/>
      <c r="N1288" s="82"/>
      <c r="O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</row>
    <row r="1289" spans="1:26">
      <c r="A1289" s="81"/>
      <c r="F1289" s="81"/>
      <c r="G1289" s="82"/>
      <c r="H1289" s="82"/>
      <c r="I1289" s="82"/>
      <c r="J1289" s="82"/>
      <c r="K1289" s="82"/>
      <c r="L1289" s="82"/>
      <c r="M1289" s="82"/>
      <c r="N1289" s="82"/>
      <c r="O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</row>
    <row r="1290" spans="1:26">
      <c r="A1290" s="81"/>
      <c r="F1290" s="81"/>
      <c r="G1290" s="82"/>
      <c r="H1290" s="82"/>
      <c r="I1290" s="82"/>
      <c r="J1290" s="82"/>
      <c r="K1290" s="82"/>
      <c r="L1290" s="82"/>
      <c r="M1290" s="82"/>
      <c r="N1290" s="82"/>
      <c r="O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</row>
    <row r="1291" spans="1:26">
      <c r="A1291" s="81"/>
      <c r="F1291" s="81"/>
      <c r="G1291" s="82"/>
      <c r="H1291" s="82"/>
      <c r="I1291" s="82"/>
      <c r="J1291" s="82"/>
      <c r="K1291" s="82"/>
      <c r="L1291" s="82"/>
      <c r="M1291" s="82"/>
      <c r="N1291" s="82"/>
      <c r="O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</row>
    <row r="1292" spans="1:26">
      <c r="A1292" s="81"/>
      <c r="F1292" s="81"/>
      <c r="G1292" s="82"/>
      <c r="H1292" s="82"/>
      <c r="I1292" s="82"/>
      <c r="J1292" s="82"/>
      <c r="K1292" s="82"/>
      <c r="L1292" s="82"/>
      <c r="M1292" s="82"/>
      <c r="N1292" s="82"/>
      <c r="O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</row>
    <row r="1293" spans="1:26">
      <c r="A1293" s="81"/>
      <c r="F1293" s="81"/>
      <c r="G1293" s="82"/>
      <c r="H1293" s="82"/>
      <c r="I1293" s="82"/>
      <c r="J1293" s="82"/>
      <c r="K1293" s="82"/>
      <c r="L1293" s="82"/>
      <c r="M1293" s="82"/>
      <c r="N1293" s="82"/>
      <c r="O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</row>
    <row r="1294" spans="1:26">
      <c r="A1294" s="81"/>
      <c r="F1294" s="81"/>
      <c r="G1294" s="82"/>
      <c r="H1294" s="82"/>
      <c r="I1294" s="82"/>
      <c r="J1294" s="82"/>
      <c r="K1294" s="82"/>
      <c r="L1294" s="82"/>
      <c r="M1294" s="82"/>
      <c r="N1294" s="82"/>
      <c r="O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</row>
    <row r="1295" spans="1:26">
      <c r="A1295" s="81"/>
      <c r="F1295" s="81"/>
      <c r="G1295" s="82"/>
      <c r="H1295" s="82"/>
      <c r="I1295" s="82"/>
      <c r="J1295" s="82"/>
      <c r="K1295" s="82"/>
      <c r="L1295" s="82"/>
      <c r="M1295" s="82"/>
      <c r="N1295" s="82"/>
      <c r="O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</row>
    <row r="1296" spans="1:26">
      <c r="A1296" s="81"/>
      <c r="F1296" s="81"/>
      <c r="G1296" s="82"/>
      <c r="H1296" s="82"/>
      <c r="I1296" s="82"/>
      <c r="J1296" s="82"/>
      <c r="K1296" s="82"/>
      <c r="L1296" s="82"/>
      <c r="M1296" s="82"/>
      <c r="N1296" s="82"/>
      <c r="O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</row>
    <row r="1297" spans="1:26">
      <c r="A1297" s="81"/>
      <c r="F1297" s="81"/>
      <c r="G1297" s="82"/>
      <c r="H1297" s="82"/>
      <c r="I1297" s="82"/>
      <c r="J1297" s="82"/>
      <c r="K1297" s="82"/>
      <c r="L1297" s="82"/>
      <c r="M1297" s="82"/>
      <c r="N1297" s="82"/>
      <c r="O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</row>
    <row r="1298" spans="1:26">
      <c r="A1298" s="81"/>
      <c r="F1298" s="81"/>
      <c r="G1298" s="82"/>
      <c r="H1298" s="82"/>
      <c r="I1298" s="82"/>
      <c r="J1298" s="82"/>
      <c r="K1298" s="82"/>
      <c r="L1298" s="82"/>
      <c r="M1298" s="82"/>
      <c r="N1298" s="82"/>
      <c r="O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</row>
    <row r="1299" spans="1:26">
      <c r="A1299" s="81"/>
      <c r="F1299" s="81"/>
      <c r="G1299" s="82"/>
      <c r="H1299" s="82"/>
      <c r="I1299" s="82"/>
      <c r="J1299" s="82"/>
      <c r="K1299" s="82"/>
      <c r="L1299" s="82"/>
      <c r="M1299" s="82"/>
      <c r="N1299" s="82"/>
      <c r="O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</row>
    <row r="1300" spans="1:26">
      <c r="A1300" s="81"/>
      <c r="F1300" s="81"/>
      <c r="G1300" s="82"/>
      <c r="H1300" s="82"/>
      <c r="I1300" s="82"/>
      <c r="J1300" s="82"/>
      <c r="K1300" s="82"/>
      <c r="L1300" s="82"/>
      <c r="M1300" s="82"/>
      <c r="N1300" s="82"/>
      <c r="O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</row>
    <row r="1301" spans="1:26">
      <c r="A1301" s="81"/>
      <c r="F1301" s="81"/>
      <c r="G1301" s="82"/>
      <c r="H1301" s="82"/>
      <c r="I1301" s="82"/>
      <c r="J1301" s="82"/>
      <c r="K1301" s="82"/>
      <c r="L1301" s="82"/>
      <c r="M1301" s="82"/>
      <c r="N1301" s="82"/>
      <c r="O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</row>
    <row r="1302" spans="1:26">
      <c r="A1302" s="81"/>
      <c r="F1302" s="81"/>
      <c r="G1302" s="82"/>
      <c r="H1302" s="82"/>
      <c r="I1302" s="82"/>
      <c r="J1302" s="82"/>
      <c r="K1302" s="82"/>
      <c r="L1302" s="82"/>
      <c r="M1302" s="82"/>
      <c r="N1302" s="82"/>
      <c r="O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</row>
    <row r="1303" spans="1:26">
      <c r="A1303" s="81"/>
      <c r="F1303" s="81"/>
      <c r="G1303" s="82"/>
      <c r="H1303" s="82"/>
      <c r="I1303" s="82"/>
      <c r="J1303" s="82"/>
      <c r="K1303" s="82"/>
      <c r="L1303" s="82"/>
      <c r="M1303" s="82"/>
      <c r="N1303" s="82"/>
      <c r="O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</row>
    <row r="1304" spans="1:26">
      <c r="A1304" s="81"/>
      <c r="F1304" s="81"/>
      <c r="G1304" s="82"/>
      <c r="H1304" s="82"/>
      <c r="I1304" s="82"/>
      <c r="J1304" s="82"/>
      <c r="K1304" s="82"/>
      <c r="L1304" s="82"/>
      <c r="M1304" s="82"/>
      <c r="N1304" s="82"/>
      <c r="O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</row>
    <row r="1305" spans="1:26">
      <c r="A1305" s="81"/>
      <c r="F1305" s="81"/>
      <c r="G1305" s="82"/>
      <c r="H1305" s="82"/>
      <c r="I1305" s="82"/>
      <c r="J1305" s="82"/>
      <c r="K1305" s="82"/>
      <c r="L1305" s="82"/>
      <c r="M1305" s="82"/>
      <c r="N1305" s="82"/>
      <c r="O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</row>
    <row r="1306" spans="1:26">
      <c r="A1306" s="81"/>
      <c r="F1306" s="81"/>
      <c r="G1306" s="82"/>
      <c r="H1306" s="82"/>
      <c r="I1306" s="82"/>
      <c r="J1306" s="82"/>
      <c r="K1306" s="82"/>
      <c r="L1306" s="82"/>
      <c r="M1306" s="82"/>
      <c r="N1306" s="82"/>
      <c r="O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</row>
    <row r="1307" spans="1:26">
      <c r="A1307" s="81"/>
      <c r="F1307" s="81"/>
      <c r="G1307" s="82"/>
      <c r="H1307" s="82"/>
      <c r="I1307" s="82"/>
      <c r="J1307" s="82"/>
      <c r="K1307" s="82"/>
      <c r="L1307" s="82"/>
      <c r="M1307" s="82"/>
      <c r="N1307" s="82"/>
      <c r="O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</row>
    <row r="1308" spans="1:26">
      <c r="A1308" s="81"/>
      <c r="F1308" s="81"/>
      <c r="G1308" s="82"/>
      <c r="H1308" s="82"/>
      <c r="I1308" s="82"/>
      <c r="J1308" s="82"/>
      <c r="K1308" s="82"/>
      <c r="L1308" s="82"/>
      <c r="M1308" s="82"/>
      <c r="N1308" s="82"/>
      <c r="O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</row>
    <row r="1309" spans="1:26">
      <c r="A1309" s="81"/>
      <c r="F1309" s="81"/>
      <c r="G1309" s="82"/>
      <c r="H1309" s="82"/>
      <c r="I1309" s="82"/>
      <c r="J1309" s="82"/>
      <c r="K1309" s="82"/>
      <c r="L1309" s="82"/>
      <c r="M1309" s="82"/>
      <c r="N1309" s="82"/>
      <c r="O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</row>
    <row r="1310" spans="1:26">
      <c r="A1310" s="81"/>
      <c r="F1310" s="81"/>
      <c r="G1310" s="82"/>
      <c r="H1310" s="82"/>
      <c r="I1310" s="82"/>
      <c r="J1310" s="82"/>
      <c r="K1310" s="82"/>
      <c r="L1310" s="82"/>
      <c r="M1310" s="82"/>
      <c r="N1310" s="82"/>
      <c r="O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</row>
    <row r="1311" spans="1:26">
      <c r="A1311" s="81"/>
      <c r="F1311" s="81"/>
      <c r="G1311" s="82"/>
      <c r="H1311" s="82"/>
      <c r="I1311" s="82"/>
      <c r="J1311" s="82"/>
      <c r="K1311" s="82"/>
      <c r="L1311" s="82"/>
      <c r="M1311" s="82"/>
      <c r="N1311" s="82"/>
      <c r="O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</row>
    <row r="1312" spans="1:26">
      <c r="A1312" s="81"/>
      <c r="F1312" s="81"/>
      <c r="G1312" s="82"/>
      <c r="H1312" s="82"/>
      <c r="I1312" s="82"/>
      <c r="J1312" s="82"/>
      <c r="K1312" s="82"/>
      <c r="L1312" s="82"/>
      <c r="M1312" s="82"/>
      <c r="N1312" s="82"/>
      <c r="O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</row>
    <row r="1313" spans="1:26">
      <c r="A1313" s="81"/>
      <c r="F1313" s="81"/>
      <c r="G1313" s="82"/>
      <c r="H1313" s="82"/>
      <c r="I1313" s="82"/>
      <c r="J1313" s="82"/>
      <c r="K1313" s="82"/>
      <c r="L1313" s="82"/>
      <c r="M1313" s="82"/>
      <c r="N1313" s="82"/>
      <c r="O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</row>
    <row r="1314" spans="1:26">
      <c r="A1314" s="81"/>
      <c r="F1314" s="81"/>
      <c r="G1314" s="82"/>
      <c r="H1314" s="82"/>
      <c r="I1314" s="82"/>
      <c r="J1314" s="82"/>
      <c r="K1314" s="82"/>
      <c r="L1314" s="82"/>
      <c r="M1314" s="82"/>
      <c r="N1314" s="82"/>
      <c r="O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</row>
    <row r="1315" spans="1:26">
      <c r="A1315" s="81"/>
      <c r="F1315" s="81"/>
      <c r="G1315" s="82"/>
      <c r="H1315" s="82"/>
      <c r="I1315" s="82"/>
      <c r="J1315" s="82"/>
      <c r="K1315" s="82"/>
      <c r="L1315" s="82"/>
      <c r="M1315" s="82"/>
      <c r="N1315" s="82"/>
      <c r="O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</row>
    <row r="1316" spans="1:26">
      <c r="A1316" s="81"/>
      <c r="F1316" s="81"/>
      <c r="G1316" s="82"/>
      <c r="H1316" s="82"/>
      <c r="I1316" s="82"/>
      <c r="J1316" s="82"/>
      <c r="K1316" s="82"/>
      <c r="L1316" s="82"/>
      <c r="M1316" s="82"/>
      <c r="N1316" s="82"/>
      <c r="O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</row>
    <row r="1317" spans="1:26">
      <c r="A1317" s="81"/>
      <c r="F1317" s="81"/>
      <c r="G1317" s="82"/>
      <c r="H1317" s="82"/>
      <c r="I1317" s="82"/>
      <c r="J1317" s="82"/>
      <c r="K1317" s="82"/>
      <c r="L1317" s="82"/>
      <c r="M1317" s="82"/>
      <c r="N1317" s="82"/>
      <c r="O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</row>
    <row r="1318" spans="1:26">
      <c r="A1318" s="81"/>
      <c r="F1318" s="81"/>
      <c r="G1318" s="82"/>
      <c r="H1318" s="82"/>
      <c r="I1318" s="82"/>
      <c r="J1318" s="82"/>
      <c r="K1318" s="82"/>
      <c r="L1318" s="82"/>
      <c r="M1318" s="82"/>
      <c r="N1318" s="82"/>
      <c r="O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</row>
    <row r="1319" spans="1:26">
      <c r="A1319" s="81"/>
      <c r="F1319" s="81"/>
      <c r="G1319" s="82"/>
      <c r="H1319" s="82"/>
      <c r="I1319" s="82"/>
      <c r="J1319" s="82"/>
      <c r="K1319" s="82"/>
      <c r="L1319" s="82"/>
      <c r="M1319" s="82"/>
      <c r="N1319" s="82"/>
      <c r="O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</row>
    <row r="1320" spans="1:26">
      <c r="A1320" s="81"/>
      <c r="F1320" s="81"/>
      <c r="G1320" s="82"/>
      <c r="H1320" s="82"/>
      <c r="I1320" s="82"/>
      <c r="J1320" s="82"/>
      <c r="K1320" s="82"/>
      <c r="L1320" s="82"/>
      <c r="M1320" s="82"/>
      <c r="N1320" s="82"/>
      <c r="O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</row>
    <row r="1321" spans="1:26">
      <c r="A1321" s="81"/>
      <c r="F1321" s="81"/>
      <c r="G1321" s="82"/>
      <c r="H1321" s="82"/>
      <c r="I1321" s="82"/>
      <c r="J1321" s="82"/>
      <c r="K1321" s="82"/>
      <c r="L1321" s="82"/>
      <c r="M1321" s="82"/>
      <c r="N1321" s="82"/>
      <c r="O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</row>
    <row r="1322" spans="1:26">
      <c r="A1322" s="81"/>
      <c r="F1322" s="81"/>
      <c r="G1322" s="82"/>
      <c r="H1322" s="82"/>
      <c r="I1322" s="82"/>
      <c r="J1322" s="82"/>
      <c r="K1322" s="82"/>
      <c r="L1322" s="82"/>
      <c r="M1322" s="82"/>
      <c r="N1322" s="82"/>
      <c r="O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</row>
    <row r="1323" spans="1:26">
      <c r="A1323" s="81"/>
      <c r="F1323" s="81"/>
      <c r="G1323" s="82"/>
      <c r="H1323" s="82"/>
      <c r="I1323" s="82"/>
      <c r="J1323" s="82"/>
      <c r="K1323" s="82"/>
      <c r="L1323" s="82"/>
      <c r="M1323" s="82"/>
      <c r="N1323" s="82"/>
      <c r="O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</row>
    <row r="1324" spans="1:26">
      <c r="A1324" s="81"/>
      <c r="F1324" s="81"/>
      <c r="G1324" s="82"/>
      <c r="H1324" s="82"/>
      <c r="I1324" s="82"/>
      <c r="J1324" s="82"/>
      <c r="K1324" s="82"/>
      <c r="L1324" s="82"/>
      <c r="M1324" s="82"/>
      <c r="N1324" s="82"/>
      <c r="O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</row>
    <row r="1325" spans="1:26">
      <c r="A1325" s="81"/>
      <c r="F1325" s="81"/>
      <c r="G1325" s="82"/>
      <c r="H1325" s="82"/>
      <c r="I1325" s="82"/>
      <c r="J1325" s="82"/>
      <c r="K1325" s="82"/>
      <c r="L1325" s="82"/>
      <c r="M1325" s="82"/>
      <c r="N1325" s="82"/>
      <c r="O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</row>
    <row r="1326" spans="1:26">
      <c r="A1326" s="81"/>
      <c r="F1326" s="81"/>
      <c r="G1326" s="82"/>
      <c r="H1326" s="82"/>
      <c r="I1326" s="82"/>
      <c r="J1326" s="82"/>
      <c r="K1326" s="82"/>
      <c r="L1326" s="82"/>
      <c r="M1326" s="82"/>
      <c r="N1326" s="82"/>
      <c r="O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</row>
    <row r="1327" spans="1:26">
      <c r="A1327" s="81"/>
      <c r="F1327" s="81"/>
      <c r="G1327" s="82"/>
      <c r="H1327" s="82"/>
      <c r="I1327" s="82"/>
      <c r="J1327" s="82"/>
      <c r="K1327" s="82"/>
      <c r="L1327" s="82"/>
      <c r="M1327" s="82"/>
      <c r="N1327" s="82"/>
      <c r="O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</row>
    <row r="1328" spans="1:26">
      <c r="A1328" s="81"/>
      <c r="F1328" s="81"/>
      <c r="G1328" s="82"/>
      <c r="H1328" s="82"/>
      <c r="I1328" s="82"/>
      <c r="J1328" s="82"/>
      <c r="K1328" s="82"/>
      <c r="L1328" s="82"/>
      <c r="M1328" s="82"/>
      <c r="N1328" s="82"/>
      <c r="O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</row>
    <row r="1329" spans="1:26">
      <c r="A1329" s="81"/>
      <c r="F1329" s="81"/>
      <c r="G1329" s="82"/>
      <c r="H1329" s="82"/>
      <c r="I1329" s="82"/>
      <c r="J1329" s="82"/>
      <c r="K1329" s="82"/>
      <c r="L1329" s="82"/>
      <c r="M1329" s="82"/>
      <c r="N1329" s="82"/>
      <c r="O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</row>
    <row r="1330" spans="1:26">
      <c r="A1330" s="81"/>
      <c r="F1330" s="81"/>
      <c r="G1330" s="82"/>
      <c r="H1330" s="82"/>
      <c r="I1330" s="82"/>
      <c r="J1330" s="82"/>
      <c r="K1330" s="82"/>
      <c r="L1330" s="82"/>
      <c r="M1330" s="82"/>
      <c r="N1330" s="82"/>
      <c r="O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</row>
    <row r="1331" spans="1:26">
      <c r="A1331" s="81"/>
      <c r="F1331" s="81"/>
      <c r="G1331" s="82"/>
      <c r="H1331" s="82"/>
      <c r="I1331" s="82"/>
      <c r="J1331" s="82"/>
      <c r="K1331" s="82"/>
      <c r="L1331" s="82"/>
      <c r="M1331" s="82"/>
      <c r="N1331" s="82"/>
      <c r="O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</row>
    <row r="1332" spans="1:26">
      <c r="A1332" s="81"/>
      <c r="F1332" s="81"/>
      <c r="G1332" s="82"/>
      <c r="H1332" s="82"/>
      <c r="I1332" s="82"/>
      <c r="J1332" s="82"/>
      <c r="K1332" s="82"/>
      <c r="L1332" s="82"/>
      <c r="M1332" s="82"/>
      <c r="N1332" s="82"/>
      <c r="O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</row>
    <row r="1333" spans="1:26">
      <c r="A1333" s="81"/>
      <c r="F1333" s="81"/>
      <c r="G1333" s="82"/>
      <c r="H1333" s="82"/>
      <c r="I1333" s="82"/>
      <c r="J1333" s="82"/>
      <c r="K1333" s="82"/>
      <c r="L1333" s="82"/>
      <c r="M1333" s="82"/>
      <c r="N1333" s="82"/>
      <c r="O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</row>
    <row r="1334" spans="1:26">
      <c r="A1334" s="81"/>
      <c r="F1334" s="81"/>
      <c r="G1334" s="82"/>
      <c r="H1334" s="82"/>
      <c r="I1334" s="82"/>
      <c r="J1334" s="82"/>
      <c r="K1334" s="82"/>
      <c r="L1334" s="82"/>
      <c r="M1334" s="82"/>
      <c r="N1334" s="82"/>
      <c r="O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</row>
    <row r="1335" spans="1:26">
      <c r="A1335" s="81"/>
      <c r="F1335" s="81"/>
      <c r="G1335" s="82"/>
      <c r="H1335" s="82"/>
      <c r="I1335" s="82"/>
      <c r="J1335" s="82"/>
      <c r="K1335" s="82"/>
      <c r="L1335" s="82"/>
      <c r="M1335" s="82"/>
      <c r="N1335" s="82"/>
      <c r="O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</row>
    <row r="1336" spans="1:26">
      <c r="A1336" s="81"/>
      <c r="F1336" s="81"/>
      <c r="G1336" s="82"/>
      <c r="H1336" s="82"/>
      <c r="I1336" s="82"/>
      <c r="J1336" s="82"/>
      <c r="K1336" s="82"/>
      <c r="L1336" s="82"/>
      <c r="M1336" s="82"/>
      <c r="N1336" s="82"/>
      <c r="O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</row>
    <row r="1337" spans="1:26">
      <c r="A1337" s="81"/>
      <c r="F1337" s="81"/>
      <c r="G1337" s="82"/>
      <c r="H1337" s="82"/>
      <c r="I1337" s="82"/>
      <c r="J1337" s="82"/>
      <c r="K1337" s="82"/>
      <c r="L1337" s="82"/>
      <c r="M1337" s="82"/>
      <c r="N1337" s="82"/>
      <c r="O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</row>
    <row r="1338" spans="1:26">
      <c r="A1338" s="81"/>
      <c r="F1338" s="81"/>
      <c r="G1338" s="82"/>
      <c r="H1338" s="82"/>
      <c r="I1338" s="82"/>
      <c r="J1338" s="82"/>
      <c r="K1338" s="82"/>
      <c r="L1338" s="82"/>
      <c r="M1338" s="82"/>
      <c r="N1338" s="82"/>
      <c r="O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</row>
    <row r="1339" spans="1:26">
      <c r="A1339" s="81"/>
      <c r="F1339" s="81"/>
      <c r="G1339" s="82"/>
      <c r="H1339" s="82"/>
      <c r="I1339" s="82"/>
      <c r="J1339" s="82"/>
      <c r="K1339" s="82"/>
      <c r="L1339" s="82"/>
      <c r="M1339" s="82"/>
      <c r="N1339" s="82"/>
      <c r="O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</row>
    <row r="1340" spans="1:26">
      <c r="A1340" s="81"/>
      <c r="F1340" s="81"/>
      <c r="G1340" s="82"/>
      <c r="H1340" s="82"/>
      <c r="I1340" s="82"/>
      <c r="J1340" s="82"/>
      <c r="K1340" s="82"/>
      <c r="L1340" s="82"/>
      <c r="M1340" s="82"/>
      <c r="N1340" s="82"/>
      <c r="O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</row>
    <row r="1341" spans="1:26">
      <c r="A1341" s="81"/>
      <c r="F1341" s="81"/>
      <c r="G1341" s="82"/>
      <c r="H1341" s="82"/>
      <c r="I1341" s="82"/>
      <c r="J1341" s="82"/>
      <c r="K1341" s="82"/>
      <c r="L1341" s="82"/>
      <c r="M1341" s="82"/>
      <c r="N1341" s="82"/>
      <c r="O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</row>
    <row r="1342" spans="1:26">
      <c r="A1342" s="81"/>
      <c r="F1342" s="81"/>
      <c r="G1342" s="82"/>
      <c r="H1342" s="82"/>
      <c r="I1342" s="82"/>
      <c r="J1342" s="82"/>
      <c r="K1342" s="82"/>
      <c r="L1342" s="82"/>
      <c r="M1342" s="82"/>
      <c r="N1342" s="82"/>
      <c r="O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</row>
    <row r="1343" spans="1:26">
      <c r="A1343" s="81"/>
      <c r="F1343" s="81"/>
      <c r="G1343" s="82"/>
      <c r="H1343" s="82"/>
      <c r="I1343" s="82"/>
      <c r="J1343" s="82"/>
      <c r="K1343" s="82"/>
      <c r="L1343" s="82"/>
      <c r="M1343" s="82"/>
      <c r="N1343" s="82"/>
      <c r="O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</row>
    <row r="1344" spans="1:26">
      <c r="A1344" s="81"/>
      <c r="F1344" s="81"/>
      <c r="G1344" s="82"/>
      <c r="H1344" s="82"/>
      <c r="I1344" s="82"/>
      <c r="J1344" s="82"/>
      <c r="K1344" s="82"/>
      <c r="L1344" s="82"/>
      <c r="M1344" s="82"/>
      <c r="N1344" s="82"/>
      <c r="O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</row>
    <row r="1345" spans="1:26">
      <c r="A1345" s="81"/>
      <c r="F1345" s="81"/>
      <c r="G1345" s="82"/>
      <c r="H1345" s="82"/>
      <c r="I1345" s="82"/>
      <c r="J1345" s="82"/>
      <c r="K1345" s="82"/>
      <c r="L1345" s="82"/>
      <c r="M1345" s="82"/>
      <c r="N1345" s="82"/>
      <c r="O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</row>
    <row r="1346" spans="1:26">
      <c r="A1346" s="81"/>
      <c r="F1346" s="81"/>
      <c r="G1346" s="82"/>
      <c r="H1346" s="82"/>
      <c r="I1346" s="82"/>
      <c r="J1346" s="82"/>
      <c r="K1346" s="82"/>
      <c r="L1346" s="82"/>
      <c r="M1346" s="82"/>
      <c r="N1346" s="82"/>
      <c r="O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</row>
    <row r="1347" spans="1:26">
      <c r="A1347" s="81"/>
      <c r="F1347" s="81"/>
      <c r="G1347" s="82"/>
      <c r="H1347" s="82"/>
      <c r="I1347" s="82"/>
      <c r="J1347" s="82"/>
      <c r="K1347" s="82"/>
      <c r="L1347" s="82"/>
      <c r="M1347" s="82"/>
      <c r="N1347" s="82"/>
      <c r="O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</row>
    <row r="1348" spans="1:26">
      <c r="A1348" s="81"/>
      <c r="F1348" s="81"/>
      <c r="G1348" s="82"/>
      <c r="H1348" s="82"/>
      <c r="I1348" s="82"/>
      <c r="J1348" s="82"/>
      <c r="K1348" s="82"/>
      <c r="L1348" s="82"/>
      <c r="M1348" s="82"/>
      <c r="N1348" s="82"/>
      <c r="O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</row>
    <row r="1349" spans="1:26">
      <c r="A1349" s="81"/>
      <c r="F1349" s="81"/>
      <c r="G1349" s="82"/>
      <c r="H1349" s="82"/>
      <c r="I1349" s="82"/>
      <c r="J1349" s="82"/>
      <c r="K1349" s="82"/>
      <c r="L1349" s="82"/>
      <c r="M1349" s="82"/>
      <c r="N1349" s="82"/>
      <c r="O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</row>
    <row r="1350" spans="1:26">
      <c r="A1350" s="81"/>
      <c r="F1350" s="81"/>
      <c r="G1350" s="82"/>
      <c r="H1350" s="82"/>
      <c r="I1350" s="82"/>
      <c r="J1350" s="82"/>
      <c r="K1350" s="82"/>
      <c r="L1350" s="82"/>
      <c r="M1350" s="82"/>
      <c r="N1350" s="82"/>
      <c r="O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</row>
    <row r="1351" spans="1:26">
      <c r="A1351" s="81"/>
      <c r="F1351" s="81"/>
      <c r="G1351" s="82"/>
      <c r="H1351" s="82"/>
      <c r="I1351" s="82"/>
      <c r="J1351" s="82"/>
      <c r="K1351" s="82"/>
      <c r="L1351" s="82"/>
      <c r="M1351" s="82"/>
      <c r="N1351" s="82"/>
      <c r="O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</row>
    <row r="1352" spans="1:26">
      <c r="A1352" s="81"/>
      <c r="F1352" s="81"/>
      <c r="G1352" s="82"/>
      <c r="H1352" s="82"/>
      <c r="I1352" s="82"/>
      <c r="J1352" s="82"/>
      <c r="K1352" s="82"/>
      <c r="L1352" s="82"/>
      <c r="M1352" s="82"/>
      <c r="N1352" s="82"/>
      <c r="O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</row>
    <row r="1353" spans="1:26">
      <c r="A1353" s="81"/>
      <c r="F1353" s="81"/>
      <c r="G1353" s="82"/>
      <c r="H1353" s="82"/>
      <c r="I1353" s="82"/>
      <c r="J1353" s="82"/>
      <c r="K1353" s="82"/>
      <c r="L1353" s="82"/>
      <c r="M1353" s="82"/>
      <c r="N1353" s="82"/>
      <c r="O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</row>
    <row r="1354" spans="1:26">
      <c r="A1354" s="81"/>
      <c r="F1354" s="81"/>
      <c r="G1354" s="82"/>
      <c r="H1354" s="82"/>
      <c r="I1354" s="82"/>
      <c r="J1354" s="82"/>
      <c r="K1354" s="82"/>
      <c r="L1354" s="82"/>
      <c r="M1354" s="82"/>
      <c r="N1354" s="82"/>
      <c r="O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</row>
    <row r="1355" spans="1:26">
      <c r="A1355" s="81"/>
      <c r="F1355" s="81"/>
      <c r="G1355" s="82"/>
      <c r="H1355" s="82"/>
      <c r="I1355" s="82"/>
      <c r="J1355" s="82"/>
      <c r="K1355" s="82"/>
      <c r="L1355" s="82"/>
      <c r="M1355" s="82"/>
      <c r="N1355" s="82"/>
      <c r="O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</row>
    <row r="1356" spans="1:26">
      <c r="A1356" s="81"/>
      <c r="F1356" s="81"/>
      <c r="G1356" s="82"/>
      <c r="H1356" s="82"/>
      <c r="I1356" s="82"/>
      <c r="J1356" s="82"/>
      <c r="K1356" s="82"/>
      <c r="L1356" s="82"/>
      <c r="M1356" s="82"/>
      <c r="N1356" s="82"/>
      <c r="O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</row>
    <row r="1357" spans="1:26">
      <c r="A1357" s="81"/>
      <c r="F1357" s="81"/>
      <c r="G1357" s="82"/>
      <c r="H1357" s="82"/>
      <c r="I1357" s="82"/>
      <c r="J1357" s="82"/>
      <c r="K1357" s="82"/>
      <c r="L1357" s="82"/>
      <c r="M1357" s="82"/>
      <c r="N1357" s="82"/>
      <c r="O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</row>
    <row r="1358" spans="1:26">
      <c r="A1358" s="81"/>
      <c r="F1358" s="81"/>
      <c r="G1358" s="82"/>
      <c r="H1358" s="82"/>
      <c r="I1358" s="82"/>
      <c r="J1358" s="82"/>
      <c r="K1358" s="82"/>
      <c r="L1358" s="82"/>
      <c r="M1358" s="82"/>
      <c r="N1358" s="82"/>
      <c r="O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</row>
    <row r="1359" spans="1:26">
      <c r="A1359" s="81"/>
      <c r="F1359" s="81"/>
      <c r="G1359" s="82"/>
      <c r="H1359" s="82"/>
      <c r="I1359" s="82"/>
      <c r="J1359" s="82"/>
      <c r="K1359" s="82"/>
      <c r="L1359" s="82"/>
      <c r="M1359" s="82"/>
      <c r="N1359" s="82"/>
      <c r="O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</row>
    <row r="1360" spans="1:26">
      <c r="A1360" s="81"/>
      <c r="F1360" s="81"/>
      <c r="G1360" s="82"/>
      <c r="H1360" s="82"/>
      <c r="I1360" s="82"/>
      <c r="J1360" s="82"/>
      <c r="K1360" s="82"/>
      <c r="L1360" s="82"/>
      <c r="M1360" s="82"/>
      <c r="N1360" s="82"/>
      <c r="O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</row>
    <row r="1361" spans="1:26">
      <c r="A1361" s="81"/>
      <c r="F1361" s="81"/>
      <c r="G1361" s="82"/>
      <c r="H1361" s="82"/>
      <c r="I1361" s="82"/>
      <c r="J1361" s="82"/>
      <c r="K1361" s="82"/>
      <c r="L1361" s="82"/>
      <c r="M1361" s="82"/>
      <c r="N1361" s="82"/>
      <c r="O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</row>
    <row r="1362" spans="1:26">
      <c r="A1362" s="81"/>
      <c r="F1362" s="81"/>
      <c r="G1362" s="82"/>
      <c r="H1362" s="82"/>
      <c r="I1362" s="82"/>
      <c r="J1362" s="82"/>
      <c r="K1362" s="82"/>
      <c r="L1362" s="82"/>
      <c r="M1362" s="82"/>
      <c r="N1362" s="82"/>
      <c r="O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</row>
    <row r="1363" spans="1:26">
      <c r="A1363" s="81"/>
      <c r="F1363" s="81"/>
      <c r="G1363" s="82"/>
      <c r="H1363" s="82"/>
      <c r="I1363" s="82"/>
      <c r="J1363" s="82"/>
      <c r="K1363" s="82"/>
      <c r="L1363" s="82"/>
      <c r="M1363" s="82"/>
      <c r="N1363" s="82"/>
      <c r="O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</row>
    <row r="1364" spans="1:26">
      <c r="A1364" s="81"/>
      <c r="F1364" s="81"/>
      <c r="G1364" s="82"/>
      <c r="H1364" s="82"/>
      <c r="I1364" s="82"/>
      <c r="J1364" s="82"/>
      <c r="K1364" s="82"/>
      <c r="L1364" s="82"/>
      <c r="M1364" s="82"/>
      <c r="N1364" s="82"/>
      <c r="O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</row>
    <row r="1365" spans="1:26">
      <c r="A1365" s="81"/>
      <c r="F1365" s="81"/>
      <c r="G1365" s="82"/>
      <c r="H1365" s="82"/>
      <c r="I1365" s="82"/>
      <c r="J1365" s="82"/>
      <c r="K1365" s="82"/>
      <c r="L1365" s="82"/>
      <c r="M1365" s="82"/>
      <c r="N1365" s="82"/>
      <c r="O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</row>
    <row r="1366" spans="1:26">
      <c r="A1366" s="81"/>
      <c r="F1366" s="81"/>
      <c r="G1366" s="82"/>
      <c r="H1366" s="82"/>
      <c r="I1366" s="82"/>
      <c r="J1366" s="82"/>
      <c r="K1366" s="82"/>
      <c r="L1366" s="82"/>
      <c r="M1366" s="82"/>
      <c r="N1366" s="82"/>
      <c r="O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</row>
    <row r="1367" spans="1:26">
      <c r="A1367" s="81"/>
      <c r="F1367" s="81"/>
      <c r="G1367" s="82"/>
      <c r="H1367" s="82"/>
      <c r="I1367" s="82"/>
      <c r="J1367" s="82"/>
      <c r="K1367" s="82"/>
      <c r="L1367" s="82"/>
      <c r="M1367" s="82"/>
      <c r="N1367" s="82"/>
      <c r="O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</row>
    <row r="1368" spans="1:26">
      <c r="A1368" s="81"/>
      <c r="F1368" s="81"/>
      <c r="G1368" s="82"/>
      <c r="H1368" s="82"/>
      <c r="I1368" s="82"/>
      <c r="J1368" s="82"/>
      <c r="K1368" s="82"/>
      <c r="L1368" s="82"/>
      <c r="M1368" s="82"/>
      <c r="N1368" s="82"/>
      <c r="O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</row>
    <row r="1369" spans="1:26">
      <c r="A1369" s="81"/>
      <c r="F1369" s="81"/>
      <c r="G1369" s="82"/>
      <c r="H1369" s="82"/>
      <c r="I1369" s="82"/>
      <c r="J1369" s="82"/>
      <c r="K1369" s="82"/>
      <c r="L1369" s="82"/>
      <c r="M1369" s="82"/>
      <c r="N1369" s="82"/>
      <c r="O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</row>
    <row r="1370" spans="1:26">
      <c r="A1370" s="81"/>
      <c r="F1370" s="81"/>
      <c r="G1370" s="82"/>
      <c r="H1370" s="82"/>
      <c r="I1370" s="82"/>
      <c r="J1370" s="82"/>
      <c r="K1370" s="82"/>
      <c r="L1370" s="82"/>
      <c r="M1370" s="82"/>
      <c r="N1370" s="82"/>
      <c r="O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</row>
    <row r="1371" spans="1:26">
      <c r="A1371" s="81"/>
      <c r="F1371" s="81"/>
      <c r="G1371" s="82"/>
      <c r="H1371" s="82"/>
      <c r="I1371" s="82"/>
      <c r="J1371" s="82"/>
      <c r="K1371" s="82"/>
      <c r="L1371" s="82"/>
      <c r="M1371" s="82"/>
      <c r="N1371" s="82"/>
      <c r="O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</row>
    <row r="1372" spans="1:26">
      <c r="A1372" s="81"/>
      <c r="F1372" s="81"/>
      <c r="G1372" s="82"/>
      <c r="H1372" s="82"/>
      <c r="I1372" s="82"/>
      <c r="J1372" s="82"/>
      <c r="K1372" s="82"/>
      <c r="L1372" s="82"/>
      <c r="M1372" s="82"/>
      <c r="N1372" s="82"/>
      <c r="O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</row>
    <row r="1373" spans="1:26">
      <c r="A1373" s="81"/>
      <c r="F1373" s="81"/>
      <c r="G1373" s="82"/>
      <c r="H1373" s="82"/>
      <c r="I1373" s="82"/>
      <c r="J1373" s="82"/>
      <c r="K1373" s="82"/>
      <c r="L1373" s="82"/>
      <c r="M1373" s="82"/>
      <c r="N1373" s="82"/>
      <c r="O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</row>
    <row r="1374" spans="1:26">
      <c r="A1374" s="81"/>
      <c r="F1374" s="81"/>
      <c r="G1374" s="82"/>
      <c r="H1374" s="82"/>
      <c r="I1374" s="82"/>
      <c r="J1374" s="82"/>
      <c r="K1374" s="82"/>
      <c r="L1374" s="82"/>
      <c r="M1374" s="82"/>
      <c r="N1374" s="82"/>
      <c r="O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</row>
    <row r="1375" spans="1:26">
      <c r="A1375" s="81"/>
      <c r="F1375" s="81"/>
      <c r="G1375" s="82"/>
      <c r="H1375" s="82"/>
      <c r="I1375" s="82"/>
      <c r="J1375" s="82"/>
      <c r="K1375" s="82"/>
      <c r="L1375" s="82"/>
      <c r="M1375" s="82"/>
      <c r="N1375" s="82"/>
      <c r="O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</row>
    <row r="1376" spans="1:26">
      <c r="A1376" s="81"/>
      <c r="F1376" s="81"/>
      <c r="G1376" s="82"/>
      <c r="H1376" s="82"/>
      <c r="I1376" s="82"/>
      <c r="J1376" s="82"/>
      <c r="K1376" s="82"/>
      <c r="L1376" s="82"/>
      <c r="M1376" s="82"/>
      <c r="N1376" s="82"/>
      <c r="O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</row>
    <row r="1377" spans="1:26">
      <c r="A1377" s="81"/>
      <c r="F1377" s="81"/>
      <c r="G1377" s="82"/>
      <c r="H1377" s="82"/>
      <c r="I1377" s="82"/>
      <c r="J1377" s="82"/>
      <c r="K1377" s="82"/>
      <c r="L1377" s="82"/>
      <c r="M1377" s="82"/>
      <c r="N1377" s="82"/>
      <c r="O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</row>
    <row r="1378" spans="1:26">
      <c r="A1378" s="81"/>
      <c r="F1378" s="81"/>
      <c r="G1378" s="82"/>
      <c r="H1378" s="82"/>
      <c r="I1378" s="82"/>
      <c r="J1378" s="82"/>
      <c r="K1378" s="82"/>
      <c r="L1378" s="82"/>
      <c r="M1378" s="82"/>
      <c r="N1378" s="82"/>
      <c r="O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</row>
    <row r="1379" spans="1:26">
      <c r="A1379" s="81"/>
      <c r="F1379" s="81"/>
      <c r="G1379" s="82"/>
      <c r="H1379" s="82"/>
      <c r="I1379" s="82"/>
      <c r="J1379" s="82"/>
      <c r="K1379" s="82"/>
      <c r="L1379" s="82"/>
      <c r="M1379" s="82"/>
      <c r="N1379" s="82"/>
      <c r="O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</row>
    <row r="1380" spans="1:26">
      <c r="A1380" s="81"/>
      <c r="F1380" s="81"/>
      <c r="G1380" s="82"/>
      <c r="H1380" s="82"/>
      <c r="I1380" s="82"/>
      <c r="J1380" s="82"/>
      <c r="K1380" s="82"/>
      <c r="L1380" s="82"/>
      <c r="M1380" s="82"/>
      <c r="N1380" s="82"/>
      <c r="O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</row>
    <row r="1381" spans="1:26">
      <c r="A1381" s="81"/>
      <c r="F1381" s="81"/>
      <c r="G1381" s="82"/>
      <c r="H1381" s="82"/>
      <c r="I1381" s="82"/>
      <c r="J1381" s="82"/>
      <c r="K1381" s="82"/>
      <c r="L1381" s="82"/>
      <c r="M1381" s="82"/>
      <c r="N1381" s="82"/>
      <c r="O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</row>
    <row r="1382" spans="1:26">
      <c r="A1382" s="81"/>
      <c r="F1382" s="81"/>
      <c r="G1382" s="82"/>
      <c r="H1382" s="82"/>
      <c r="I1382" s="82"/>
      <c r="J1382" s="82"/>
      <c r="K1382" s="82"/>
      <c r="L1382" s="82"/>
      <c r="M1382" s="82"/>
      <c r="N1382" s="82"/>
      <c r="O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</row>
    <row r="1383" spans="1:26">
      <c r="A1383" s="81"/>
      <c r="F1383" s="81"/>
      <c r="G1383" s="82"/>
      <c r="H1383" s="82"/>
      <c r="I1383" s="82"/>
      <c r="J1383" s="82"/>
      <c r="K1383" s="82"/>
      <c r="L1383" s="82"/>
      <c r="M1383" s="82"/>
      <c r="N1383" s="82"/>
      <c r="O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</row>
    <row r="1384" spans="1:26">
      <c r="A1384" s="81"/>
      <c r="F1384" s="81"/>
      <c r="G1384" s="82"/>
      <c r="H1384" s="82"/>
      <c r="I1384" s="82"/>
      <c r="J1384" s="82"/>
      <c r="K1384" s="82"/>
      <c r="L1384" s="82"/>
      <c r="M1384" s="82"/>
      <c r="N1384" s="82"/>
      <c r="O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</row>
    <row r="1385" spans="1:26">
      <c r="A1385" s="81"/>
      <c r="F1385" s="81"/>
      <c r="G1385" s="82"/>
      <c r="H1385" s="82"/>
      <c r="I1385" s="82"/>
      <c r="J1385" s="82"/>
      <c r="K1385" s="82"/>
      <c r="L1385" s="82"/>
      <c r="M1385" s="82"/>
      <c r="N1385" s="82"/>
      <c r="O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</row>
    <row r="1386" spans="1:26">
      <c r="A1386" s="81"/>
      <c r="F1386" s="81"/>
      <c r="G1386" s="82"/>
      <c r="H1386" s="82"/>
      <c r="I1386" s="82"/>
      <c r="J1386" s="82"/>
      <c r="K1386" s="82"/>
      <c r="L1386" s="82"/>
      <c r="M1386" s="82"/>
      <c r="N1386" s="82"/>
      <c r="O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</row>
    <row r="1387" spans="1:26">
      <c r="A1387" s="81"/>
      <c r="F1387" s="81"/>
      <c r="G1387" s="82"/>
      <c r="H1387" s="82"/>
      <c r="I1387" s="82"/>
      <c r="J1387" s="82"/>
      <c r="K1387" s="82"/>
      <c r="L1387" s="82"/>
      <c r="M1387" s="82"/>
      <c r="N1387" s="82"/>
      <c r="O1387" s="82"/>
      <c r="P1387" s="82"/>
      <c r="Q1387" s="82"/>
      <c r="R1387" s="82"/>
      <c r="S1387" s="82"/>
      <c r="T1387" s="82"/>
      <c r="U1387" s="82"/>
      <c r="V1387" s="82"/>
      <c r="W1387" s="82"/>
      <c r="X1387" s="82"/>
      <c r="Y1387" s="82"/>
      <c r="Z1387" s="82"/>
    </row>
    <row r="1388" spans="1:26">
      <c r="A1388" s="81"/>
      <c r="F1388" s="81"/>
      <c r="G1388" s="82"/>
      <c r="H1388" s="82"/>
      <c r="I1388" s="82"/>
      <c r="J1388" s="82"/>
      <c r="K1388" s="82"/>
      <c r="L1388" s="82"/>
      <c r="M1388" s="82"/>
      <c r="N1388" s="82"/>
      <c r="O1388" s="82"/>
      <c r="P1388" s="82"/>
      <c r="Q1388" s="82"/>
      <c r="R1388" s="82"/>
      <c r="S1388" s="82"/>
      <c r="T1388" s="82"/>
      <c r="U1388" s="82"/>
      <c r="V1388" s="82"/>
      <c r="W1388" s="82"/>
      <c r="X1388" s="82"/>
      <c r="Y1388" s="82"/>
      <c r="Z1388" s="82"/>
    </row>
    <row r="1389" spans="1:26">
      <c r="A1389" s="81"/>
      <c r="F1389" s="81"/>
      <c r="G1389" s="82"/>
      <c r="H1389" s="82"/>
      <c r="I1389" s="82"/>
      <c r="J1389" s="82"/>
      <c r="K1389" s="82"/>
      <c r="L1389" s="82"/>
      <c r="M1389" s="82"/>
      <c r="N1389" s="82"/>
      <c r="O1389" s="82"/>
      <c r="P1389" s="82"/>
      <c r="Q1389" s="82"/>
      <c r="R1389" s="82"/>
      <c r="S1389" s="82"/>
      <c r="T1389" s="82"/>
      <c r="U1389" s="82"/>
      <c r="V1389" s="82"/>
      <c r="W1389" s="82"/>
      <c r="X1389" s="82"/>
      <c r="Y1389" s="82"/>
      <c r="Z1389" s="82"/>
    </row>
    <row r="1390" spans="1:26">
      <c r="A1390" s="81"/>
      <c r="F1390" s="81"/>
      <c r="G1390" s="82"/>
      <c r="H1390" s="82"/>
      <c r="I1390" s="82"/>
      <c r="J1390" s="82"/>
      <c r="K1390" s="82"/>
      <c r="L1390" s="82"/>
      <c r="M1390" s="82"/>
      <c r="N1390" s="82"/>
      <c r="O1390" s="82"/>
      <c r="P1390" s="82"/>
      <c r="Q1390" s="82"/>
      <c r="R1390" s="82"/>
      <c r="S1390" s="82"/>
      <c r="T1390" s="82"/>
      <c r="U1390" s="82"/>
      <c r="V1390" s="82"/>
      <c r="W1390" s="82"/>
      <c r="X1390" s="82"/>
      <c r="Y1390" s="82"/>
      <c r="Z1390" s="82"/>
    </row>
    <row r="1391" spans="1:26">
      <c r="A1391" s="81"/>
      <c r="F1391" s="81"/>
      <c r="G1391" s="82"/>
      <c r="H1391" s="82"/>
      <c r="I1391" s="82"/>
      <c r="J1391" s="82"/>
      <c r="K1391" s="82"/>
      <c r="L1391" s="82"/>
      <c r="M1391" s="82"/>
      <c r="N1391" s="82"/>
      <c r="O1391" s="82"/>
      <c r="P1391" s="82"/>
      <c r="Q1391" s="82"/>
      <c r="R1391" s="82"/>
      <c r="S1391" s="82"/>
      <c r="T1391" s="82"/>
      <c r="U1391" s="82"/>
      <c r="V1391" s="82"/>
      <c r="W1391" s="82"/>
      <c r="X1391" s="82"/>
      <c r="Y1391" s="82"/>
      <c r="Z1391" s="82"/>
    </row>
    <row r="1392" spans="1:26">
      <c r="A1392" s="81"/>
      <c r="F1392" s="81"/>
      <c r="G1392" s="82"/>
      <c r="H1392" s="82"/>
      <c r="I1392" s="82"/>
      <c r="J1392" s="82"/>
      <c r="K1392" s="82"/>
      <c r="L1392" s="82"/>
      <c r="M1392" s="82"/>
      <c r="N1392" s="82"/>
      <c r="O1392" s="82"/>
      <c r="P1392" s="82"/>
      <c r="Q1392" s="82"/>
      <c r="R1392" s="82"/>
      <c r="S1392" s="82"/>
      <c r="T1392" s="82"/>
      <c r="U1392" s="82"/>
      <c r="V1392" s="82"/>
      <c r="W1392" s="82"/>
      <c r="X1392" s="82"/>
      <c r="Y1392" s="82"/>
      <c r="Z1392" s="82"/>
    </row>
    <row r="1393" spans="1:26">
      <c r="A1393" s="81"/>
      <c r="F1393" s="81"/>
      <c r="G1393" s="82"/>
      <c r="H1393" s="82"/>
      <c r="I1393" s="82"/>
      <c r="J1393" s="82"/>
      <c r="K1393" s="82"/>
      <c r="L1393" s="82"/>
      <c r="M1393" s="82"/>
      <c r="N1393" s="82"/>
      <c r="O1393" s="82"/>
      <c r="P1393" s="82"/>
      <c r="Q1393" s="82"/>
      <c r="R1393" s="82"/>
      <c r="S1393" s="82"/>
      <c r="T1393" s="82"/>
      <c r="U1393" s="82"/>
      <c r="V1393" s="82"/>
      <c r="W1393" s="82"/>
      <c r="X1393" s="82"/>
      <c r="Y1393" s="82"/>
      <c r="Z1393" s="82"/>
    </row>
    <row r="1394" spans="1:26">
      <c r="A1394" s="81"/>
      <c r="F1394" s="81"/>
      <c r="G1394" s="82"/>
      <c r="H1394" s="82"/>
      <c r="I1394" s="82"/>
      <c r="J1394" s="82"/>
      <c r="K1394" s="82"/>
      <c r="L1394" s="82"/>
      <c r="M1394" s="82"/>
      <c r="N1394" s="82"/>
      <c r="O1394" s="82"/>
      <c r="P1394" s="82"/>
      <c r="Q1394" s="82"/>
      <c r="R1394" s="82"/>
      <c r="S1394" s="82"/>
      <c r="T1394" s="82"/>
      <c r="U1394" s="82"/>
      <c r="V1394" s="82"/>
      <c r="W1394" s="82"/>
      <c r="X1394" s="82"/>
      <c r="Y1394" s="82"/>
      <c r="Z1394" s="82"/>
    </row>
    <row r="1395" spans="1:26">
      <c r="A1395" s="81"/>
      <c r="F1395" s="81"/>
      <c r="G1395" s="82"/>
      <c r="H1395" s="82"/>
      <c r="I1395" s="82"/>
      <c r="J1395" s="82"/>
      <c r="K1395" s="82"/>
      <c r="L1395" s="82"/>
      <c r="M1395" s="82"/>
      <c r="N1395" s="82"/>
      <c r="O1395" s="82"/>
      <c r="P1395" s="82"/>
      <c r="Q1395" s="82"/>
      <c r="R1395" s="82"/>
      <c r="S1395" s="82"/>
      <c r="T1395" s="82"/>
      <c r="U1395" s="82"/>
      <c r="V1395" s="82"/>
      <c r="W1395" s="82"/>
      <c r="X1395" s="82"/>
      <c r="Y1395" s="82"/>
      <c r="Z1395" s="82"/>
    </row>
    <row r="1396" spans="1:26">
      <c r="A1396" s="81"/>
      <c r="F1396" s="81"/>
      <c r="G1396" s="82"/>
      <c r="H1396" s="82"/>
      <c r="I1396" s="82"/>
      <c r="J1396" s="82"/>
      <c r="K1396" s="82"/>
      <c r="L1396" s="82"/>
      <c r="M1396" s="82"/>
      <c r="N1396" s="82"/>
      <c r="O1396" s="82"/>
      <c r="P1396" s="82"/>
      <c r="Q1396" s="82"/>
      <c r="R1396" s="82"/>
      <c r="S1396" s="82"/>
      <c r="T1396" s="82"/>
      <c r="U1396" s="82"/>
      <c r="V1396" s="82"/>
      <c r="W1396" s="82"/>
      <c r="X1396" s="82"/>
      <c r="Y1396" s="82"/>
      <c r="Z1396" s="82"/>
    </row>
    <row r="1397" spans="1:26">
      <c r="A1397" s="81"/>
      <c r="F1397" s="81"/>
      <c r="G1397" s="82"/>
      <c r="H1397" s="82"/>
      <c r="I1397" s="82"/>
      <c r="J1397" s="82"/>
      <c r="K1397" s="82"/>
      <c r="L1397" s="82"/>
      <c r="M1397" s="82"/>
      <c r="N1397" s="82"/>
      <c r="O1397" s="82"/>
      <c r="P1397" s="82"/>
      <c r="Q1397" s="82"/>
      <c r="R1397" s="82"/>
      <c r="S1397" s="82"/>
      <c r="T1397" s="82"/>
      <c r="U1397" s="82"/>
      <c r="V1397" s="82"/>
      <c r="W1397" s="82"/>
      <c r="X1397" s="82"/>
      <c r="Y1397" s="82"/>
      <c r="Z1397" s="82"/>
    </row>
    <row r="1398" spans="1:26">
      <c r="A1398" s="81"/>
      <c r="F1398" s="81"/>
      <c r="G1398" s="82"/>
      <c r="H1398" s="82"/>
      <c r="I1398" s="82"/>
      <c r="J1398" s="82"/>
      <c r="K1398" s="82"/>
      <c r="L1398" s="82"/>
      <c r="M1398" s="82"/>
      <c r="N1398" s="82"/>
      <c r="O1398" s="82"/>
      <c r="P1398" s="82"/>
      <c r="Q1398" s="82"/>
      <c r="R1398" s="82"/>
      <c r="S1398" s="82"/>
      <c r="T1398" s="82"/>
      <c r="U1398" s="82"/>
      <c r="V1398" s="82"/>
      <c r="W1398" s="82"/>
      <c r="X1398" s="82"/>
      <c r="Y1398" s="82"/>
      <c r="Z1398" s="82"/>
    </row>
    <row r="1399" spans="1:26">
      <c r="A1399" s="81"/>
      <c r="F1399" s="81"/>
      <c r="G1399" s="82"/>
      <c r="H1399" s="82"/>
      <c r="I1399" s="82"/>
      <c r="J1399" s="82"/>
      <c r="K1399" s="82"/>
      <c r="L1399" s="82"/>
      <c r="M1399" s="82"/>
      <c r="N1399" s="82"/>
      <c r="O1399" s="82"/>
      <c r="P1399" s="82"/>
      <c r="Q1399" s="82"/>
      <c r="R1399" s="82"/>
      <c r="S1399" s="82"/>
      <c r="T1399" s="82"/>
      <c r="U1399" s="82"/>
      <c r="V1399" s="82"/>
      <c r="W1399" s="82"/>
      <c r="X1399" s="82"/>
      <c r="Y1399" s="82"/>
      <c r="Z1399" s="82"/>
    </row>
    <row r="1400" spans="1:26">
      <c r="A1400" s="81"/>
      <c r="F1400" s="81"/>
      <c r="G1400" s="82"/>
      <c r="H1400" s="82"/>
      <c r="I1400" s="82"/>
      <c r="J1400" s="82"/>
      <c r="K1400" s="82"/>
      <c r="L1400" s="82"/>
      <c r="M1400" s="82"/>
      <c r="N1400" s="82"/>
      <c r="O1400" s="82"/>
      <c r="P1400" s="82"/>
      <c r="Q1400" s="82"/>
      <c r="R1400" s="82"/>
      <c r="S1400" s="82"/>
      <c r="T1400" s="82"/>
      <c r="U1400" s="82"/>
      <c r="V1400" s="82"/>
      <c r="W1400" s="82"/>
      <c r="X1400" s="82"/>
      <c r="Y1400" s="82"/>
      <c r="Z1400" s="82"/>
    </row>
    <row r="1401" spans="1:26">
      <c r="A1401" s="81"/>
      <c r="F1401" s="81"/>
      <c r="G1401" s="82"/>
      <c r="H1401" s="82"/>
      <c r="I1401" s="82"/>
      <c r="J1401" s="82"/>
      <c r="K1401" s="82"/>
      <c r="L1401" s="82"/>
      <c r="M1401" s="82"/>
      <c r="N1401" s="82"/>
      <c r="O1401" s="82"/>
      <c r="P1401" s="82"/>
      <c r="Q1401" s="82"/>
      <c r="R1401" s="82"/>
      <c r="S1401" s="82"/>
      <c r="T1401" s="82"/>
      <c r="U1401" s="82"/>
      <c r="V1401" s="82"/>
      <c r="W1401" s="82"/>
      <c r="X1401" s="82"/>
      <c r="Y1401" s="82"/>
      <c r="Z1401" s="82"/>
    </row>
    <row r="1402" spans="1:26">
      <c r="A1402" s="81"/>
      <c r="F1402" s="81"/>
      <c r="G1402" s="82"/>
      <c r="H1402" s="82"/>
      <c r="I1402" s="82"/>
      <c r="J1402" s="82"/>
      <c r="K1402" s="82"/>
      <c r="L1402" s="82"/>
      <c r="M1402" s="82"/>
      <c r="N1402" s="82"/>
      <c r="O1402" s="82"/>
      <c r="P1402" s="82"/>
      <c r="Q1402" s="82"/>
      <c r="R1402" s="82"/>
      <c r="S1402" s="82"/>
      <c r="T1402" s="82"/>
      <c r="U1402" s="82"/>
      <c r="V1402" s="82"/>
      <c r="W1402" s="82"/>
      <c r="X1402" s="82"/>
      <c r="Y1402" s="82"/>
      <c r="Z1402" s="82"/>
    </row>
    <row r="1403" spans="1:26">
      <c r="A1403" s="81"/>
      <c r="F1403" s="81"/>
      <c r="G1403" s="82"/>
      <c r="H1403" s="82"/>
      <c r="I1403" s="82"/>
      <c r="J1403" s="82"/>
      <c r="K1403" s="82"/>
      <c r="L1403" s="82"/>
      <c r="M1403" s="82"/>
      <c r="N1403" s="82"/>
      <c r="O1403" s="82"/>
      <c r="P1403" s="82"/>
      <c r="Q1403" s="82"/>
      <c r="R1403" s="82"/>
      <c r="S1403" s="82"/>
      <c r="T1403" s="82"/>
      <c r="U1403" s="82"/>
      <c r="V1403" s="82"/>
      <c r="W1403" s="82"/>
      <c r="X1403" s="82"/>
      <c r="Y1403" s="82"/>
      <c r="Z1403" s="82"/>
    </row>
    <row r="1404" spans="1:26">
      <c r="A1404" s="81"/>
      <c r="F1404" s="81"/>
      <c r="G1404" s="82"/>
      <c r="H1404" s="82"/>
      <c r="I1404" s="82"/>
      <c r="J1404" s="82"/>
      <c r="K1404" s="82"/>
      <c r="L1404" s="82"/>
      <c r="M1404" s="82"/>
      <c r="N1404" s="82"/>
      <c r="O1404" s="82"/>
      <c r="P1404" s="82"/>
      <c r="Q1404" s="82"/>
      <c r="R1404" s="82"/>
      <c r="S1404" s="82"/>
      <c r="T1404" s="82"/>
      <c r="U1404" s="82"/>
      <c r="V1404" s="82"/>
      <c r="W1404" s="82"/>
      <c r="X1404" s="82"/>
      <c r="Y1404" s="82"/>
      <c r="Z1404" s="82"/>
    </row>
    <row r="1405" spans="1:26">
      <c r="A1405" s="81"/>
      <c r="F1405" s="81"/>
      <c r="G1405" s="82"/>
      <c r="H1405" s="82"/>
      <c r="I1405" s="82"/>
      <c r="J1405" s="82"/>
      <c r="K1405" s="82"/>
      <c r="L1405" s="82"/>
      <c r="M1405" s="82"/>
      <c r="N1405" s="82"/>
      <c r="O1405" s="82"/>
      <c r="P1405" s="82"/>
      <c r="Q1405" s="82"/>
      <c r="R1405" s="82"/>
      <c r="S1405" s="82"/>
      <c r="T1405" s="82"/>
      <c r="U1405" s="82"/>
      <c r="V1405" s="82"/>
      <c r="W1405" s="82"/>
      <c r="X1405" s="82"/>
      <c r="Y1405" s="82"/>
      <c r="Z1405" s="82"/>
    </row>
    <row r="1406" spans="1:26">
      <c r="A1406" s="81"/>
      <c r="F1406" s="81"/>
      <c r="G1406" s="82"/>
      <c r="H1406" s="82"/>
      <c r="I1406" s="82"/>
      <c r="J1406" s="82"/>
      <c r="K1406" s="82"/>
      <c r="L1406" s="82"/>
      <c r="M1406" s="82"/>
      <c r="N1406" s="82"/>
      <c r="O1406" s="82"/>
      <c r="P1406" s="82"/>
      <c r="Q1406" s="82"/>
      <c r="R1406" s="82"/>
      <c r="S1406" s="82"/>
      <c r="T1406" s="82"/>
      <c r="U1406" s="82"/>
      <c r="V1406" s="82"/>
      <c r="W1406" s="82"/>
      <c r="X1406" s="82"/>
      <c r="Y1406" s="82"/>
      <c r="Z1406" s="82"/>
    </row>
    <row r="1407" spans="1:26">
      <c r="A1407" s="81"/>
      <c r="F1407" s="81"/>
      <c r="G1407" s="82"/>
      <c r="H1407" s="82"/>
      <c r="I1407" s="82"/>
      <c r="J1407" s="82"/>
      <c r="K1407" s="82"/>
      <c r="L1407" s="82"/>
      <c r="M1407" s="82"/>
      <c r="N1407" s="82"/>
      <c r="O1407" s="82"/>
      <c r="P1407" s="82"/>
      <c r="Q1407" s="82"/>
      <c r="R1407" s="82"/>
      <c r="S1407" s="82"/>
      <c r="T1407" s="82"/>
      <c r="U1407" s="82"/>
      <c r="V1407" s="82"/>
      <c r="W1407" s="82"/>
      <c r="X1407" s="82"/>
      <c r="Y1407" s="82"/>
      <c r="Z1407" s="82"/>
    </row>
    <row r="1408" spans="1:26">
      <c r="A1408" s="81"/>
      <c r="F1408" s="81"/>
      <c r="G1408" s="82"/>
      <c r="H1408" s="82"/>
      <c r="I1408" s="82"/>
      <c r="J1408" s="82"/>
      <c r="K1408" s="82"/>
      <c r="L1408" s="82"/>
      <c r="M1408" s="82"/>
      <c r="N1408" s="82"/>
      <c r="O1408" s="82"/>
      <c r="P1408" s="82"/>
      <c r="Q1408" s="82"/>
      <c r="R1408" s="82"/>
      <c r="S1408" s="82"/>
      <c r="T1408" s="82"/>
      <c r="U1408" s="82"/>
      <c r="V1408" s="82"/>
      <c r="W1408" s="82"/>
      <c r="X1408" s="82"/>
      <c r="Y1408" s="82"/>
      <c r="Z1408" s="82"/>
    </row>
    <row r="1409" spans="1:26">
      <c r="A1409" s="81"/>
      <c r="F1409" s="81"/>
      <c r="G1409" s="82"/>
      <c r="H1409" s="82"/>
      <c r="I1409" s="82"/>
      <c r="J1409" s="82"/>
      <c r="K1409" s="82"/>
      <c r="L1409" s="82"/>
      <c r="M1409" s="82"/>
      <c r="N1409" s="82"/>
      <c r="O1409" s="82"/>
      <c r="P1409" s="82"/>
      <c r="Q1409" s="82"/>
      <c r="R1409" s="82"/>
      <c r="S1409" s="82"/>
      <c r="T1409" s="82"/>
      <c r="U1409" s="82"/>
      <c r="V1409" s="82"/>
      <c r="W1409" s="82"/>
      <c r="X1409" s="82"/>
      <c r="Y1409" s="82"/>
      <c r="Z1409" s="82"/>
    </row>
    <row r="1410" spans="1:26">
      <c r="A1410" s="81"/>
      <c r="F1410" s="81"/>
      <c r="G1410" s="82"/>
      <c r="H1410" s="82"/>
      <c r="I1410" s="82"/>
      <c r="J1410" s="82"/>
      <c r="K1410" s="82"/>
      <c r="L1410" s="82"/>
      <c r="M1410" s="82"/>
      <c r="N1410" s="82"/>
      <c r="O1410" s="82"/>
      <c r="P1410" s="82"/>
      <c r="Q1410" s="82"/>
      <c r="R1410" s="82"/>
      <c r="S1410" s="82"/>
      <c r="T1410" s="82"/>
      <c r="U1410" s="82"/>
      <c r="V1410" s="82"/>
      <c r="W1410" s="82"/>
      <c r="X1410" s="82"/>
      <c r="Y1410" s="82"/>
      <c r="Z1410" s="82"/>
    </row>
    <row r="1411" spans="1:26">
      <c r="A1411" s="81"/>
      <c r="F1411" s="81"/>
      <c r="G1411" s="82"/>
      <c r="H1411" s="82"/>
      <c r="I1411" s="82"/>
      <c r="J1411" s="82"/>
      <c r="K1411" s="82"/>
      <c r="L1411" s="82"/>
      <c r="M1411" s="82"/>
      <c r="N1411" s="82"/>
      <c r="O1411" s="82"/>
      <c r="P1411" s="82"/>
      <c r="Q1411" s="82"/>
      <c r="R1411" s="82"/>
      <c r="S1411" s="82"/>
      <c r="T1411" s="82"/>
      <c r="U1411" s="82"/>
      <c r="V1411" s="82"/>
      <c r="W1411" s="82"/>
      <c r="X1411" s="82"/>
      <c r="Y1411" s="82"/>
      <c r="Z1411" s="82"/>
    </row>
    <row r="1412" spans="1:26">
      <c r="A1412" s="81"/>
      <c r="F1412" s="81"/>
      <c r="G1412" s="82"/>
      <c r="H1412" s="82"/>
      <c r="I1412" s="82"/>
      <c r="J1412" s="82"/>
      <c r="K1412" s="82"/>
      <c r="L1412" s="82"/>
      <c r="M1412" s="82"/>
      <c r="N1412" s="82"/>
      <c r="O1412" s="82"/>
      <c r="P1412" s="82"/>
      <c r="Q1412" s="82"/>
      <c r="R1412" s="82"/>
      <c r="S1412" s="82"/>
      <c r="T1412" s="82"/>
      <c r="U1412" s="82"/>
      <c r="V1412" s="82"/>
      <c r="W1412" s="82"/>
      <c r="X1412" s="82"/>
      <c r="Y1412" s="82"/>
      <c r="Z1412" s="82"/>
    </row>
    <row r="1413" spans="1:26">
      <c r="A1413" s="81"/>
      <c r="F1413" s="81"/>
      <c r="G1413" s="82"/>
      <c r="H1413" s="82"/>
      <c r="I1413" s="82"/>
      <c r="J1413" s="82"/>
      <c r="K1413" s="82"/>
      <c r="L1413" s="82"/>
      <c r="M1413" s="82"/>
      <c r="N1413" s="82"/>
      <c r="O1413" s="82"/>
      <c r="P1413" s="82"/>
      <c r="Q1413" s="82"/>
      <c r="R1413" s="82"/>
      <c r="S1413" s="82"/>
      <c r="T1413" s="82"/>
      <c r="U1413" s="82"/>
      <c r="V1413" s="82"/>
      <c r="W1413" s="82"/>
      <c r="X1413" s="82"/>
      <c r="Y1413" s="82"/>
      <c r="Z1413" s="82"/>
    </row>
    <row r="1414" spans="1:26">
      <c r="A1414" s="81"/>
      <c r="F1414" s="81"/>
      <c r="G1414" s="82"/>
      <c r="H1414" s="82"/>
      <c r="I1414" s="82"/>
      <c r="J1414" s="82"/>
      <c r="K1414" s="82"/>
      <c r="L1414" s="82"/>
      <c r="M1414" s="82"/>
      <c r="N1414" s="82"/>
      <c r="O1414" s="82"/>
      <c r="P1414" s="82"/>
      <c r="Q1414" s="82"/>
      <c r="R1414" s="82"/>
      <c r="S1414" s="82"/>
      <c r="T1414" s="82"/>
      <c r="U1414" s="82"/>
      <c r="V1414" s="82"/>
      <c r="W1414" s="82"/>
      <c r="X1414" s="82"/>
      <c r="Y1414" s="82"/>
      <c r="Z1414" s="82"/>
    </row>
    <row r="1415" spans="1:26">
      <c r="A1415" s="81"/>
      <c r="F1415" s="81"/>
      <c r="G1415" s="82"/>
      <c r="H1415" s="82"/>
      <c r="I1415" s="82"/>
      <c r="J1415" s="82"/>
      <c r="K1415" s="82"/>
      <c r="L1415" s="82"/>
      <c r="M1415" s="82"/>
      <c r="N1415" s="82"/>
      <c r="O1415" s="82"/>
      <c r="P1415" s="82"/>
      <c r="Q1415" s="82"/>
      <c r="R1415" s="82"/>
      <c r="S1415" s="82"/>
      <c r="T1415" s="82"/>
      <c r="U1415" s="82"/>
      <c r="V1415" s="82"/>
      <c r="W1415" s="82"/>
      <c r="X1415" s="82"/>
      <c r="Y1415" s="82"/>
      <c r="Z1415" s="82"/>
    </row>
    <row r="1416" spans="1:26">
      <c r="A1416" s="81"/>
      <c r="F1416" s="81"/>
      <c r="G1416" s="82"/>
      <c r="H1416" s="82"/>
      <c r="I1416" s="82"/>
      <c r="J1416" s="82"/>
      <c r="K1416" s="82"/>
      <c r="L1416" s="82"/>
      <c r="M1416" s="82"/>
      <c r="N1416" s="82"/>
      <c r="O1416" s="82"/>
      <c r="P1416" s="82"/>
      <c r="Q1416" s="82"/>
      <c r="R1416" s="82"/>
      <c r="S1416" s="82"/>
      <c r="T1416" s="82"/>
      <c r="U1416" s="82"/>
      <c r="V1416" s="82"/>
      <c r="W1416" s="82"/>
      <c r="X1416" s="82"/>
      <c r="Y1416" s="82"/>
      <c r="Z1416" s="82"/>
    </row>
    <row r="1417" spans="1:26">
      <c r="A1417" s="81"/>
      <c r="F1417" s="81"/>
      <c r="G1417" s="82"/>
      <c r="H1417" s="82"/>
      <c r="I1417" s="82"/>
      <c r="J1417" s="82"/>
      <c r="K1417" s="82"/>
      <c r="L1417" s="82"/>
      <c r="M1417" s="82"/>
      <c r="N1417" s="82"/>
      <c r="O1417" s="82"/>
      <c r="P1417" s="82"/>
      <c r="Q1417" s="82"/>
      <c r="R1417" s="82"/>
      <c r="S1417" s="82"/>
      <c r="T1417" s="82"/>
      <c r="U1417" s="82"/>
      <c r="V1417" s="82"/>
      <c r="W1417" s="82"/>
      <c r="X1417" s="82"/>
      <c r="Y1417" s="82"/>
      <c r="Z1417" s="82"/>
    </row>
    <row r="1418" spans="1:26">
      <c r="A1418" s="81"/>
      <c r="F1418" s="81"/>
      <c r="G1418" s="82"/>
      <c r="H1418" s="82"/>
      <c r="I1418" s="82"/>
      <c r="J1418" s="82"/>
      <c r="K1418" s="82"/>
      <c r="L1418" s="82"/>
      <c r="M1418" s="82"/>
      <c r="N1418" s="82"/>
      <c r="O1418" s="82"/>
      <c r="P1418" s="82"/>
      <c r="Q1418" s="82"/>
      <c r="R1418" s="82"/>
      <c r="S1418" s="82"/>
      <c r="T1418" s="82"/>
      <c r="U1418" s="82"/>
      <c r="V1418" s="82"/>
      <c r="W1418" s="82"/>
      <c r="X1418" s="82"/>
      <c r="Y1418" s="82"/>
      <c r="Z1418" s="82"/>
    </row>
    <row r="1419" spans="1:26">
      <c r="A1419" s="81"/>
      <c r="F1419" s="81"/>
      <c r="G1419" s="82"/>
      <c r="H1419" s="82"/>
      <c r="I1419" s="82"/>
      <c r="J1419" s="82"/>
      <c r="K1419" s="82"/>
      <c r="L1419" s="82"/>
      <c r="M1419" s="82"/>
      <c r="N1419" s="82"/>
      <c r="O1419" s="82"/>
      <c r="P1419" s="82"/>
      <c r="Q1419" s="82"/>
      <c r="R1419" s="82"/>
      <c r="S1419" s="82"/>
      <c r="T1419" s="82"/>
      <c r="U1419" s="82"/>
      <c r="V1419" s="82"/>
      <c r="W1419" s="82"/>
      <c r="X1419" s="82"/>
      <c r="Y1419" s="82"/>
      <c r="Z1419" s="82"/>
    </row>
    <row r="1420" spans="1:26">
      <c r="A1420" s="81"/>
      <c r="F1420" s="81"/>
      <c r="G1420" s="82"/>
      <c r="H1420" s="82"/>
      <c r="I1420" s="82"/>
      <c r="J1420" s="82"/>
      <c r="K1420" s="82"/>
      <c r="L1420" s="82"/>
      <c r="M1420" s="82"/>
      <c r="N1420" s="82"/>
      <c r="O1420" s="82"/>
      <c r="P1420" s="82"/>
      <c r="Q1420" s="82"/>
      <c r="R1420" s="82"/>
      <c r="S1420" s="82"/>
      <c r="T1420" s="82"/>
      <c r="U1420" s="82"/>
      <c r="V1420" s="82"/>
      <c r="W1420" s="82"/>
      <c r="X1420" s="82"/>
      <c r="Y1420" s="82"/>
      <c r="Z1420" s="82"/>
    </row>
    <row r="1421" spans="1:26">
      <c r="A1421" s="81"/>
      <c r="F1421" s="81"/>
      <c r="G1421" s="82"/>
      <c r="H1421" s="82"/>
      <c r="I1421" s="82"/>
      <c r="J1421" s="82"/>
      <c r="K1421" s="82"/>
      <c r="L1421" s="82"/>
      <c r="M1421" s="82"/>
      <c r="N1421" s="82"/>
      <c r="O1421" s="82"/>
      <c r="P1421" s="82"/>
      <c r="Q1421" s="82"/>
      <c r="R1421" s="82"/>
      <c r="S1421" s="82"/>
      <c r="T1421" s="82"/>
      <c r="U1421" s="82"/>
      <c r="V1421" s="82"/>
      <c r="W1421" s="82"/>
      <c r="X1421" s="82"/>
      <c r="Y1421" s="82"/>
      <c r="Z1421" s="82"/>
    </row>
    <row r="1422" spans="1:26">
      <c r="A1422" s="81"/>
      <c r="F1422" s="81"/>
      <c r="G1422" s="82"/>
      <c r="H1422" s="82"/>
      <c r="I1422" s="82"/>
      <c r="J1422" s="82"/>
      <c r="K1422" s="82"/>
      <c r="L1422" s="82"/>
      <c r="M1422" s="82"/>
      <c r="N1422" s="82"/>
      <c r="O1422" s="82"/>
      <c r="P1422" s="82"/>
      <c r="Q1422" s="82"/>
      <c r="R1422" s="82"/>
      <c r="S1422" s="82"/>
      <c r="T1422" s="82"/>
      <c r="U1422" s="82"/>
      <c r="V1422" s="82"/>
      <c r="W1422" s="82"/>
      <c r="X1422" s="82"/>
      <c r="Y1422" s="82"/>
      <c r="Z1422" s="82"/>
    </row>
    <row r="1423" spans="1:26">
      <c r="A1423" s="81"/>
      <c r="F1423" s="81"/>
      <c r="G1423" s="82"/>
      <c r="H1423" s="82"/>
      <c r="I1423" s="82"/>
      <c r="J1423" s="82"/>
      <c r="K1423" s="82"/>
      <c r="L1423" s="82"/>
      <c r="M1423" s="82"/>
      <c r="N1423" s="82"/>
      <c r="O1423" s="82"/>
      <c r="P1423" s="82"/>
      <c r="Q1423" s="82"/>
      <c r="R1423" s="82"/>
      <c r="S1423" s="82"/>
      <c r="T1423" s="82"/>
      <c r="U1423" s="82"/>
      <c r="V1423" s="82"/>
      <c r="W1423" s="82"/>
      <c r="X1423" s="82"/>
      <c r="Y1423" s="82"/>
      <c r="Z1423" s="82"/>
    </row>
    <row r="1424" spans="1:26">
      <c r="A1424" s="81"/>
      <c r="F1424" s="81"/>
      <c r="G1424" s="82"/>
      <c r="H1424" s="82"/>
      <c r="I1424" s="82"/>
      <c r="J1424" s="82"/>
      <c r="K1424" s="82"/>
      <c r="L1424" s="82"/>
      <c r="M1424" s="82"/>
      <c r="N1424" s="82"/>
      <c r="O1424" s="82"/>
      <c r="P1424" s="82"/>
      <c r="Q1424" s="82"/>
      <c r="R1424" s="82"/>
      <c r="S1424" s="82"/>
      <c r="T1424" s="82"/>
      <c r="U1424" s="82"/>
      <c r="V1424" s="82"/>
      <c r="W1424" s="82"/>
      <c r="X1424" s="82"/>
      <c r="Y1424" s="82"/>
      <c r="Z1424" s="82"/>
    </row>
    <row r="1425" spans="1:26">
      <c r="A1425" s="81"/>
      <c r="F1425" s="81"/>
      <c r="G1425" s="82"/>
      <c r="H1425" s="82"/>
      <c r="I1425" s="82"/>
      <c r="J1425" s="82"/>
      <c r="K1425" s="82"/>
      <c r="L1425" s="82"/>
      <c r="M1425" s="82"/>
      <c r="N1425" s="82"/>
      <c r="O1425" s="82"/>
      <c r="P1425" s="82"/>
      <c r="Q1425" s="82"/>
      <c r="R1425" s="82"/>
      <c r="S1425" s="82"/>
      <c r="T1425" s="82"/>
      <c r="U1425" s="82"/>
      <c r="V1425" s="82"/>
      <c r="W1425" s="82"/>
      <c r="X1425" s="82"/>
      <c r="Y1425" s="82"/>
      <c r="Z1425" s="82"/>
    </row>
    <row r="1426" spans="1:26">
      <c r="A1426" s="81"/>
      <c r="F1426" s="81"/>
      <c r="G1426" s="82"/>
      <c r="H1426" s="82"/>
      <c r="I1426" s="82"/>
      <c r="J1426" s="82"/>
      <c r="K1426" s="82"/>
      <c r="L1426" s="82"/>
      <c r="M1426" s="82"/>
      <c r="N1426" s="82"/>
      <c r="O1426" s="82"/>
      <c r="P1426" s="82"/>
      <c r="Q1426" s="82"/>
      <c r="R1426" s="82"/>
      <c r="S1426" s="82"/>
      <c r="T1426" s="82"/>
      <c r="U1426" s="82"/>
      <c r="V1426" s="82"/>
      <c r="W1426" s="82"/>
      <c r="X1426" s="82"/>
      <c r="Y1426" s="82"/>
      <c r="Z1426" s="82"/>
    </row>
    <row r="1427" spans="1:26">
      <c r="A1427" s="81"/>
      <c r="F1427" s="81"/>
      <c r="G1427" s="82"/>
      <c r="H1427" s="82"/>
      <c r="I1427" s="82"/>
      <c r="J1427" s="82"/>
      <c r="K1427" s="82"/>
      <c r="L1427" s="82"/>
      <c r="M1427" s="82"/>
      <c r="N1427" s="82"/>
      <c r="O1427" s="82"/>
      <c r="P1427" s="82"/>
      <c r="Q1427" s="82"/>
      <c r="R1427" s="82"/>
      <c r="S1427" s="82"/>
      <c r="T1427" s="82"/>
      <c r="U1427" s="82"/>
      <c r="V1427" s="82"/>
      <c r="W1427" s="82"/>
      <c r="X1427" s="82"/>
      <c r="Y1427" s="82"/>
      <c r="Z1427" s="82"/>
    </row>
    <row r="1428" spans="1:26">
      <c r="A1428" s="81"/>
      <c r="F1428" s="81"/>
      <c r="G1428" s="82"/>
      <c r="H1428" s="82"/>
      <c r="I1428" s="82"/>
      <c r="J1428" s="82"/>
      <c r="K1428" s="82"/>
      <c r="L1428" s="82"/>
      <c r="M1428" s="82"/>
      <c r="N1428" s="82"/>
      <c r="O1428" s="82"/>
      <c r="P1428" s="82"/>
      <c r="Q1428" s="82"/>
      <c r="R1428" s="82"/>
      <c r="S1428" s="82"/>
      <c r="T1428" s="82"/>
      <c r="U1428" s="82"/>
      <c r="V1428" s="82"/>
      <c r="W1428" s="82"/>
      <c r="X1428" s="82"/>
      <c r="Y1428" s="82"/>
      <c r="Z1428" s="82"/>
    </row>
    <row r="1429" spans="1:26">
      <c r="A1429" s="81"/>
      <c r="F1429" s="81"/>
      <c r="G1429" s="82"/>
      <c r="H1429" s="82"/>
      <c r="I1429" s="82"/>
      <c r="J1429" s="82"/>
      <c r="K1429" s="82"/>
      <c r="L1429" s="82"/>
      <c r="M1429" s="82"/>
      <c r="N1429" s="82"/>
      <c r="O1429" s="82"/>
      <c r="P1429" s="82"/>
      <c r="Q1429" s="82"/>
      <c r="R1429" s="82"/>
      <c r="S1429" s="82"/>
      <c r="T1429" s="82"/>
      <c r="U1429" s="82"/>
      <c r="V1429" s="82"/>
      <c r="W1429" s="82"/>
      <c r="X1429" s="82"/>
      <c r="Y1429" s="82"/>
      <c r="Z1429" s="82"/>
    </row>
    <row r="1430" spans="1:26">
      <c r="A1430" s="81"/>
      <c r="F1430" s="81"/>
      <c r="G1430" s="82"/>
      <c r="H1430" s="82"/>
      <c r="I1430" s="82"/>
      <c r="J1430" s="82"/>
      <c r="K1430" s="82"/>
      <c r="L1430" s="82"/>
      <c r="M1430" s="82"/>
      <c r="N1430" s="82"/>
      <c r="O1430" s="82"/>
      <c r="P1430" s="82"/>
      <c r="Q1430" s="82"/>
      <c r="R1430" s="82"/>
      <c r="S1430" s="82"/>
      <c r="T1430" s="82"/>
      <c r="U1430" s="82"/>
      <c r="V1430" s="82"/>
      <c r="W1430" s="82"/>
      <c r="X1430" s="82"/>
      <c r="Y1430" s="82"/>
      <c r="Z1430" s="82"/>
    </row>
    <row r="1431" spans="1:26">
      <c r="A1431" s="81"/>
      <c r="F1431" s="81"/>
      <c r="G1431" s="82"/>
      <c r="H1431" s="82"/>
      <c r="I1431" s="82"/>
      <c r="J1431" s="82"/>
      <c r="K1431" s="82"/>
      <c r="L1431" s="82"/>
      <c r="M1431" s="82"/>
      <c r="N1431" s="82"/>
      <c r="O1431" s="82"/>
      <c r="P1431" s="82"/>
      <c r="Q1431" s="82"/>
      <c r="R1431" s="82"/>
      <c r="S1431" s="82"/>
      <c r="T1431" s="82"/>
      <c r="U1431" s="82"/>
      <c r="V1431" s="82"/>
      <c r="W1431" s="82"/>
      <c r="X1431" s="82"/>
      <c r="Y1431" s="82"/>
      <c r="Z1431" s="82"/>
    </row>
    <row r="1432" spans="1:26">
      <c r="A1432" s="81"/>
      <c r="F1432" s="81"/>
      <c r="G1432" s="82"/>
      <c r="H1432" s="82"/>
      <c r="I1432" s="82"/>
      <c r="J1432" s="82"/>
      <c r="K1432" s="82"/>
      <c r="L1432" s="82"/>
      <c r="M1432" s="82"/>
      <c r="N1432" s="82"/>
      <c r="O1432" s="82"/>
      <c r="P1432" s="82"/>
      <c r="Q1432" s="82"/>
      <c r="R1432" s="82"/>
      <c r="S1432" s="82"/>
      <c r="T1432" s="82"/>
      <c r="U1432" s="82"/>
      <c r="V1432" s="82"/>
      <c r="W1432" s="82"/>
      <c r="X1432" s="82"/>
      <c r="Y1432" s="82"/>
      <c r="Z1432" s="82"/>
    </row>
    <row r="1433" spans="1:26">
      <c r="A1433" s="81"/>
      <c r="F1433" s="81"/>
      <c r="G1433" s="82"/>
      <c r="H1433" s="82"/>
      <c r="I1433" s="82"/>
      <c r="J1433" s="82"/>
      <c r="K1433" s="82"/>
      <c r="L1433" s="82"/>
      <c r="M1433" s="82"/>
      <c r="N1433" s="82"/>
      <c r="O1433" s="82"/>
      <c r="P1433" s="82"/>
      <c r="Q1433" s="82"/>
      <c r="R1433" s="82"/>
      <c r="S1433" s="82"/>
      <c r="T1433" s="82"/>
      <c r="U1433" s="82"/>
      <c r="V1433" s="82"/>
      <c r="W1433" s="82"/>
      <c r="X1433" s="82"/>
      <c r="Y1433" s="82"/>
      <c r="Z1433" s="82"/>
    </row>
    <row r="1434" spans="1:26">
      <c r="A1434" s="81"/>
      <c r="F1434" s="81"/>
      <c r="G1434" s="82"/>
      <c r="H1434" s="82"/>
      <c r="I1434" s="82"/>
      <c r="J1434" s="82"/>
      <c r="K1434" s="82"/>
      <c r="L1434" s="82"/>
      <c r="M1434" s="82"/>
      <c r="N1434" s="82"/>
      <c r="O1434" s="82"/>
      <c r="P1434" s="82"/>
      <c r="Q1434" s="82"/>
      <c r="R1434" s="82"/>
      <c r="S1434" s="82"/>
      <c r="T1434" s="82"/>
      <c r="U1434" s="82"/>
      <c r="V1434" s="82"/>
      <c r="W1434" s="82"/>
      <c r="X1434" s="82"/>
      <c r="Y1434" s="82"/>
      <c r="Z1434" s="82"/>
    </row>
    <row r="1435" spans="1:26">
      <c r="A1435" s="81"/>
      <c r="F1435" s="81"/>
      <c r="G1435" s="82"/>
      <c r="H1435" s="82"/>
      <c r="I1435" s="82"/>
      <c r="J1435" s="82"/>
      <c r="K1435" s="82"/>
      <c r="L1435" s="82"/>
      <c r="M1435" s="82"/>
      <c r="N1435" s="82"/>
      <c r="O1435" s="82"/>
      <c r="P1435" s="82"/>
      <c r="Q1435" s="82"/>
      <c r="R1435" s="82"/>
      <c r="S1435" s="82"/>
      <c r="T1435" s="82"/>
      <c r="U1435" s="82"/>
      <c r="V1435" s="82"/>
      <c r="W1435" s="82"/>
      <c r="X1435" s="82"/>
      <c r="Y1435" s="82"/>
      <c r="Z1435" s="82"/>
    </row>
    <row r="1436" spans="1:26">
      <c r="A1436" s="81"/>
      <c r="F1436" s="81"/>
      <c r="G1436" s="82"/>
      <c r="H1436" s="82"/>
      <c r="I1436" s="82"/>
      <c r="J1436" s="82"/>
      <c r="K1436" s="82"/>
      <c r="L1436" s="82"/>
      <c r="M1436" s="82"/>
      <c r="N1436" s="82"/>
      <c r="O1436" s="82"/>
      <c r="P1436" s="82"/>
      <c r="Q1436" s="82"/>
      <c r="R1436" s="82"/>
      <c r="S1436" s="82"/>
      <c r="T1436" s="82"/>
      <c r="U1436" s="82"/>
      <c r="V1436" s="82"/>
      <c r="W1436" s="82"/>
      <c r="X1436" s="82"/>
      <c r="Y1436" s="82"/>
      <c r="Z1436" s="82"/>
    </row>
    <row r="1437" spans="1:26">
      <c r="A1437" s="81"/>
      <c r="F1437" s="81"/>
      <c r="G1437" s="82"/>
      <c r="H1437" s="82"/>
      <c r="I1437" s="82"/>
      <c r="J1437" s="82"/>
      <c r="K1437" s="82"/>
      <c r="L1437" s="82"/>
      <c r="M1437" s="82"/>
      <c r="N1437" s="82"/>
      <c r="O1437" s="82"/>
      <c r="P1437" s="82"/>
      <c r="Q1437" s="82"/>
      <c r="R1437" s="82"/>
      <c r="S1437" s="82"/>
      <c r="T1437" s="82"/>
      <c r="U1437" s="82"/>
      <c r="V1437" s="82"/>
      <c r="W1437" s="82"/>
      <c r="X1437" s="82"/>
      <c r="Y1437" s="82"/>
      <c r="Z1437" s="82"/>
    </row>
    <row r="1438" spans="1:26">
      <c r="A1438" s="81"/>
      <c r="F1438" s="81"/>
      <c r="G1438" s="82"/>
      <c r="H1438" s="82"/>
      <c r="I1438" s="82"/>
      <c r="J1438" s="82"/>
      <c r="K1438" s="82"/>
      <c r="L1438" s="82"/>
      <c r="M1438" s="82"/>
      <c r="N1438" s="82"/>
      <c r="O1438" s="82"/>
      <c r="P1438" s="82"/>
      <c r="Q1438" s="82"/>
      <c r="R1438" s="82"/>
      <c r="S1438" s="82"/>
      <c r="T1438" s="82"/>
      <c r="U1438" s="82"/>
      <c r="V1438" s="82"/>
      <c r="W1438" s="82"/>
      <c r="X1438" s="82"/>
      <c r="Y1438" s="82"/>
      <c r="Z1438" s="82"/>
    </row>
    <row r="1439" spans="1:26">
      <c r="A1439" s="81"/>
      <c r="F1439" s="81"/>
      <c r="G1439" s="82"/>
      <c r="H1439" s="82"/>
      <c r="I1439" s="82"/>
      <c r="J1439" s="82"/>
      <c r="K1439" s="82"/>
      <c r="L1439" s="82"/>
      <c r="M1439" s="82"/>
      <c r="N1439" s="82"/>
      <c r="O1439" s="82"/>
      <c r="P1439" s="82"/>
      <c r="Q1439" s="82"/>
      <c r="R1439" s="82"/>
      <c r="S1439" s="82"/>
      <c r="T1439" s="82"/>
      <c r="U1439" s="82"/>
      <c r="V1439" s="82"/>
      <c r="W1439" s="82"/>
      <c r="X1439" s="82"/>
      <c r="Y1439" s="82"/>
      <c r="Z1439" s="82"/>
    </row>
    <row r="1440" spans="1:26">
      <c r="A1440" s="81"/>
      <c r="F1440" s="81"/>
      <c r="G1440" s="82"/>
      <c r="H1440" s="82"/>
      <c r="I1440" s="82"/>
      <c r="J1440" s="82"/>
      <c r="K1440" s="82"/>
      <c r="L1440" s="82"/>
      <c r="M1440" s="82"/>
      <c r="N1440" s="82"/>
      <c r="O1440" s="82"/>
      <c r="P1440" s="82"/>
      <c r="Q1440" s="82"/>
      <c r="R1440" s="82"/>
      <c r="S1440" s="82"/>
      <c r="T1440" s="82"/>
      <c r="U1440" s="82"/>
      <c r="V1440" s="82"/>
      <c r="W1440" s="82"/>
      <c r="X1440" s="82"/>
      <c r="Y1440" s="82"/>
      <c r="Z1440" s="82"/>
    </row>
    <row r="1441" spans="1:26">
      <c r="A1441" s="81"/>
      <c r="F1441" s="81"/>
      <c r="G1441" s="82"/>
      <c r="H1441" s="82"/>
      <c r="I1441" s="82"/>
      <c r="J1441" s="82"/>
      <c r="K1441" s="82"/>
      <c r="L1441" s="82"/>
      <c r="M1441" s="82"/>
      <c r="N1441" s="82"/>
      <c r="O1441" s="82"/>
      <c r="P1441" s="82"/>
      <c r="Q1441" s="82"/>
      <c r="R1441" s="82"/>
      <c r="S1441" s="82"/>
      <c r="T1441" s="82"/>
      <c r="U1441" s="82"/>
      <c r="V1441" s="82"/>
      <c r="W1441" s="82"/>
      <c r="X1441" s="82"/>
      <c r="Y1441" s="82"/>
      <c r="Z1441" s="82"/>
    </row>
    <row r="1442" spans="1:26">
      <c r="A1442" s="81"/>
      <c r="F1442" s="81"/>
      <c r="G1442" s="82"/>
      <c r="H1442" s="82"/>
      <c r="I1442" s="82"/>
      <c r="J1442" s="82"/>
      <c r="K1442" s="82"/>
      <c r="L1442" s="82"/>
      <c r="M1442" s="82"/>
      <c r="N1442" s="82"/>
      <c r="O1442" s="82"/>
      <c r="P1442" s="82"/>
      <c r="Q1442" s="82"/>
      <c r="R1442" s="82"/>
      <c r="S1442" s="82"/>
      <c r="T1442" s="82"/>
      <c r="U1442" s="82"/>
      <c r="V1442" s="82"/>
      <c r="W1442" s="82"/>
      <c r="X1442" s="82"/>
      <c r="Y1442" s="82"/>
      <c r="Z1442" s="82"/>
    </row>
    <row r="1443" spans="1:26">
      <c r="A1443" s="81"/>
      <c r="F1443" s="81"/>
      <c r="G1443" s="82"/>
      <c r="H1443" s="82"/>
      <c r="I1443" s="82"/>
      <c r="J1443" s="82"/>
      <c r="K1443" s="82"/>
      <c r="L1443" s="82"/>
      <c r="M1443" s="82"/>
      <c r="N1443" s="82"/>
      <c r="O1443" s="82"/>
      <c r="P1443" s="82"/>
      <c r="Q1443" s="82"/>
      <c r="R1443" s="82"/>
      <c r="S1443" s="82"/>
      <c r="T1443" s="82"/>
      <c r="U1443" s="82"/>
      <c r="V1443" s="82"/>
      <c r="W1443" s="82"/>
      <c r="X1443" s="82"/>
      <c r="Y1443" s="82"/>
      <c r="Z1443" s="82"/>
    </row>
    <row r="1444" spans="1:26">
      <c r="A1444" s="81"/>
      <c r="F1444" s="81"/>
      <c r="G1444" s="82"/>
      <c r="H1444" s="82"/>
      <c r="I1444" s="82"/>
      <c r="J1444" s="82"/>
      <c r="K1444" s="82"/>
      <c r="L1444" s="82"/>
      <c r="M1444" s="82"/>
      <c r="N1444" s="82"/>
      <c r="O1444" s="82"/>
      <c r="P1444" s="82"/>
      <c r="Q1444" s="82"/>
      <c r="R1444" s="82"/>
      <c r="S1444" s="82"/>
      <c r="T1444" s="82"/>
      <c r="U1444" s="82"/>
      <c r="V1444" s="82"/>
      <c r="W1444" s="82"/>
      <c r="X1444" s="82"/>
      <c r="Y1444" s="82"/>
      <c r="Z1444" s="82"/>
    </row>
    <row r="1445" spans="1:26">
      <c r="A1445" s="81"/>
      <c r="F1445" s="81"/>
      <c r="G1445" s="82"/>
      <c r="H1445" s="82"/>
      <c r="I1445" s="82"/>
      <c r="J1445" s="82"/>
      <c r="K1445" s="82"/>
      <c r="L1445" s="82"/>
      <c r="M1445" s="82"/>
      <c r="N1445" s="82"/>
      <c r="O1445" s="82"/>
      <c r="P1445" s="82"/>
      <c r="Q1445" s="82"/>
      <c r="R1445" s="82"/>
      <c r="S1445" s="82"/>
      <c r="T1445" s="82"/>
      <c r="U1445" s="82"/>
      <c r="V1445" s="82"/>
      <c r="W1445" s="82"/>
      <c r="X1445" s="82"/>
      <c r="Y1445" s="82"/>
      <c r="Z1445" s="82"/>
    </row>
    <row r="1446" spans="1:26">
      <c r="A1446" s="81"/>
      <c r="F1446" s="81"/>
      <c r="G1446" s="82"/>
      <c r="H1446" s="82"/>
      <c r="I1446" s="82"/>
      <c r="J1446" s="82"/>
      <c r="K1446" s="82"/>
      <c r="L1446" s="82"/>
      <c r="M1446" s="82"/>
      <c r="N1446" s="82"/>
      <c r="O1446" s="82"/>
      <c r="P1446" s="82"/>
      <c r="Q1446" s="82"/>
      <c r="R1446" s="82"/>
      <c r="S1446" s="82"/>
      <c r="T1446" s="82"/>
      <c r="U1446" s="82"/>
      <c r="V1446" s="82"/>
      <c r="W1446" s="82"/>
      <c r="X1446" s="82"/>
      <c r="Y1446" s="82"/>
      <c r="Z1446" s="82"/>
    </row>
    <row r="1447" spans="1:26">
      <c r="A1447" s="81"/>
      <c r="F1447" s="81"/>
      <c r="G1447" s="82"/>
      <c r="H1447" s="82"/>
      <c r="I1447" s="82"/>
      <c r="J1447" s="82"/>
      <c r="K1447" s="82"/>
      <c r="L1447" s="82"/>
      <c r="M1447" s="82"/>
      <c r="N1447" s="82"/>
      <c r="O1447" s="82"/>
      <c r="P1447" s="82"/>
      <c r="Q1447" s="82"/>
      <c r="R1447" s="82"/>
      <c r="S1447" s="82"/>
      <c r="T1447" s="82"/>
      <c r="U1447" s="82"/>
      <c r="V1447" s="82"/>
      <c r="W1447" s="82"/>
      <c r="X1447" s="82"/>
      <c r="Y1447" s="82"/>
      <c r="Z1447" s="82"/>
    </row>
    <row r="1448" spans="1:26">
      <c r="A1448" s="81"/>
      <c r="F1448" s="81"/>
      <c r="G1448" s="82"/>
      <c r="H1448" s="82"/>
      <c r="I1448" s="82"/>
      <c r="J1448" s="82"/>
      <c r="K1448" s="82"/>
      <c r="L1448" s="82"/>
      <c r="M1448" s="82"/>
      <c r="N1448" s="82"/>
      <c r="O1448" s="82"/>
      <c r="P1448" s="82"/>
      <c r="Q1448" s="82"/>
      <c r="R1448" s="82"/>
      <c r="S1448" s="82"/>
      <c r="T1448" s="82"/>
      <c r="U1448" s="82"/>
      <c r="V1448" s="82"/>
      <c r="W1448" s="82"/>
      <c r="X1448" s="82"/>
      <c r="Y1448" s="82"/>
      <c r="Z1448" s="82"/>
    </row>
    <row r="1449" spans="1:26">
      <c r="A1449" s="81"/>
      <c r="F1449" s="81"/>
      <c r="G1449" s="82"/>
      <c r="H1449" s="82"/>
      <c r="I1449" s="82"/>
      <c r="J1449" s="82"/>
      <c r="K1449" s="82"/>
      <c r="L1449" s="82"/>
      <c r="M1449" s="82"/>
      <c r="N1449" s="82"/>
      <c r="O1449" s="82"/>
      <c r="P1449" s="82"/>
      <c r="Q1449" s="82"/>
      <c r="R1449" s="82"/>
      <c r="S1449" s="82"/>
      <c r="T1449" s="82"/>
      <c r="U1449" s="82"/>
      <c r="V1449" s="82"/>
      <c r="W1449" s="82"/>
      <c r="X1449" s="82"/>
      <c r="Y1449" s="82"/>
      <c r="Z1449" s="82"/>
    </row>
    <row r="1450" spans="1:26">
      <c r="A1450" s="81"/>
      <c r="F1450" s="81"/>
      <c r="G1450" s="82"/>
      <c r="H1450" s="82"/>
      <c r="I1450" s="82"/>
      <c r="J1450" s="82"/>
      <c r="K1450" s="82"/>
      <c r="L1450" s="82"/>
      <c r="M1450" s="82"/>
      <c r="N1450" s="82"/>
      <c r="O1450" s="82"/>
      <c r="P1450" s="82"/>
      <c r="Q1450" s="82"/>
      <c r="R1450" s="82"/>
      <c r="S1450" s="82"/>
      <c r="T1450" s="82"/>
      <c r="U1450" s="82"/>
      <c r="V1450" s="82"/>
      <c r="W1450" s="82"/>
      <c r="X1450" s="82"/>
      <c r="Y1450" s="82"/>
      <c r="Z1450" s="82"/>
    </row>
    <row r="1451" spans="1:26">
      <c r="A1451" s="81"/>
      <c r="F1451" s="81"/>
      <c r="G1451" s="82"/>
      <c r="H1451" s="82"/>
      <c r="I1451" s="82"/>
      <c r="J1451" s="82"/>
      <c r="K1451" s="82"/>
      <c r="L1451" s="82"/>
      <c r="M1451" s="82"/>
      <c r="N1451" s="82"/>
      <c r="O1451" s="82"/>
      <c r="P1451" s="82"/>
      <c r="Q1451" s="82"/>
      <c r="R1451" s="82"/>
      <c r="S1451" s="82"/>
      <c r="T1451" s="82"/>
      <c r="U1451" s="82"/>
      <c r="V1451" s="82"/>
      <c r="W1451" s="82"/>
      <c r="X1451" s="82"/>
      <c r="Y1451" s="82"/>
      <c r="Z1451" s="82"/>
    </row>
    <row r="1452" spans="1:26">
      <c r="A1452" s="81"/>
      <c r="F1452" s="81"/>
      <c r="G1452" s="82"/>
      <c r="H1452" s="82"/>
      <c r="I1452" s="82"/>
      <c r="J1452" s="82"/>
      <c r="K1452" s="82"/>
      <c r="L1452" s="82"/>
      <c r="M1452" s="82"/>
      <c r="N1452" s="82"/>
      <c r="O1452" s="82"/>
      <c r="P1452" s="82"/>
      <c r="Q1452" s="82"/>
      <c r="R1452" s="82"/>
      <c r="S1452" s="82"/>
      <c r="T1452" s="82"/>
      <c r="U1452" s="82"/>
      <c r="V1452" s="82"/>
      <c r="W1452" s="82"/>
      <c r="X1452" s="82"/>
      <c r="Y1452" s="82"/>
      <c r="Z1452" s="82"/>
    </row>
    <row r="1453" spans="1:26">
      <c r="A1453" s="81"/>
      <c r="F1453" s="81"/>
      <c r="G1453" s="82"/>
      <c r="H1453" s="82"/>
      <c r="I1453" s="82"/>
      <c r="J1453" s="82"/>
      <c r="K1453" s="82"/>
      <c r="L1453" s="82"/>
      <c r="M1453" s="82"/>
      <c r="N1453" s="82"/>
      <c r="O1453" s="82"/>
      <c r="P1453" s="82"/>
      <c r="Q1453" s="82"/>
      <c r="R1453" s="82"/>
      <c r="S1453" s="82"/>
      <c r="T1453" s="82"/>
      <c r="U1453" s="82"/>
      <c r="V1453" s="82"/>
      <c r="W1453" s="82"/>
      <c r="X1453" s="82"/>
      <c r="Y1453" s="82"/>
      <c r="Z1453" s="82"/>
    </row>
    <row r="1454" spans="1:26">
      <c r="A1454" s="81"/>
      <c r="F1454" s="81"/>
      <c r="G1454" s="82"/>
      <c r="H1454" s="82"/>
      <c r="I1454" s="82"/>
      <c r="J1454" s="82"/>
      <c r="K1454" s="82"/>
      <c r="L1454" s="82"/>
      <c r="M1454" s="82"/>
      <c r="N1454" s="82"/>
      <c r="O1454" s="82"/>
      <c r="P1454" s="82"/>
      <c r="Q1454" s="82"/>
      <c r="R1454" s="82"/>
      <c r="S1454" s="82"/>
      <c r="T1454" s="82"/>
      <c r="U1454" s="82"/>
      <c r="V1454" s="82"/>
      <c r="W1454" s="82"/>
      <c r="X1454" s="82"/>
      <c r="Y1454" s="82"/>
      <c r="Z1454" s="82"/>
    </row>
    <row r="1455" spans="1:26">
      <c r="A1455" s="81"/>
      <c r="F1455" s="81"/>
      <c r="G1455" s="82"/>
      <c r="H1455" s="82"/>
      <c r="I1455" s="82"/>
      <c r="J1455" s="82"/>
      <c r="K1455" s="82"/>
      <c r="L1455" s="82"/>
      <c r="M1455" s="82"/>
      <c r="N1455" s="82"/>
      <c r="O1455" s="82"/>
      <c r="P1455" s="82"/>
      <c r="Q1455" s="82"/>
      <c r="R1455" s="82"/>
      <c r="S1455" s="82"/>
      <c r="T1455" s="82"/>
      <c r="U1455" s="82"/>
      <c r="V1455" s="82"/>
      <c r="W1455" s="82"/>
      <c r="X1455" s="82"/>
      <c r="Y1455" s="82"/>
      <c r="Z1455" s="82"/>
    </row>
    <row r="1456" spans="1:26">
      <c r="A1456" s="81"/>
      <c r="F1456" s="81"/>
      <c r="G1456" s="82"/>
      <c r="H1456" s="82"/>
      <c r="I1456" s="82"/>
      <c r="J1456" s="82"/>
      <c r="K1456" s="82"/>
      <c r="L1456" s="82"/>
      <c r="M1456" s="82"/>
      <c r="N1456" s="82"/>
      <c r="O1456" s="82"/>
      <c r="P1456" s="82"/>
      <c r="Q1456" s="82"/>
      <c r="R1456" s="82"/>
      <c r="S1456" s="82"/>
      <c r="T1456" s="82"/>
      <c r="U1456" s="82"/>
      <c r="V1456" s="82"/>
      <c r="W1456" s="82"/>
      <c r="X1456" s="82"/>
      <c r="Y1456" s="82"/>
      <c r="Z1456" s="82"/>
    </row>
    <row r="1457" spans="1:26">
      <c r="A1457" s="81"/>
      <c r="F1457" s="81"/>
      <c r="G1457" s="82"/>
      <c r="H1457" s="82"/>
      <c r="I1457" s="82"/>
      <c r="J1457" s="82"/>
      <c r="K1457" s="82"/>
      <c r="L1457" s="82"/>
      <c r="M1457" s="82"/>
      <c r="N1457" s="82"/>
      <c r="O1457" s="82"/>
      <c r="P1457" s="82"/>
      <c r="Q1457" s="82"/>
      <c r="R1457" s="82"/>
      <c r="S1457" s="82"/>
      <c r="T1457" s="82"/>
      <c r="U1457" s="82"/>
      <c r="V1457" s="82"/>
      <c r="W1457" s="82"/>
      <c r="X1457" s="82"/>
      <c r="Y1457" s="82"/>
      <c r="Z1457" s="82"/>
    </row>
    <row r="1458" spans="1:26">
      <c r="A1458" s="81"/>
      <c r="F1458" s="81"/>
      <c r="G1458" s="82"/>
      <c r="H1458" s="82"/>
      <c r="I1458" s="82"/>
      <c r="J1458" s="82"/>
      <c r="K1458" s="82"/>
      <c r="L1458" s="82"/>
      <c r="M1458" s="82"/>
      <c r="N1458" s="82"/>
      <c r="O1458" s="82"/>
      <c r="P1458" s="82"/>
      <c r="Q1458" s="82"/>
      <c r="R1458" s="82"/>
      <c r="S1458" s="82"/>
      <c r="T1458" s="82"/>
      <c r="U1458" s="82"/>
      <c r="V1458" s="82"/>
      <c r="W1458" s="82"/>
      <c r="X1458" s="82"/>
      <c r="Y1458" s="82"/>
      <c r="Z1458" s="82"/>
    </row>
    <row r="1459" spans="1:26">
      <c r="A1459" s="81"/>
      <c r="F1459" s="81"/>
      <c r="G1459" s="82"/>
      <c r="H1459" s="82"/>
      <c r="I1459" s="82"/>
      <c r="J1459" s="82"/>
      <c r="K1459" s="82"/>
      <c r="L1459" s="82"/>
      <c r="M1459" s="82"/>
      <c r="N1459" s="82"/>
      <c r="O1459" s="82"/>
      <c r="P1459" s="82"/>
      <c r="Q1459" s="82"/>
      <c r="R1459" s="82"/>
      <c r="S1459" s="82"/>
      <c r="T1459" s="82"/>
      <c r="U1459" s="82"/>
      <c r="V1459" s="82"/>
      <c r="W1459" s="82"/>
      <c r="X1459" s="82"/>
      <c r="Y1459" s="82"/>
      <c r="Z1459" s="82"/>
    </row>
    <row r="1460" spans="1:26">
      <c r="A1460" s="81"/>
      <c r="F1460" s="81"/>
      <c r="G1460" s="82"/>
      <c r="H1460" s="82"/>
      <c r="I1460" s="82"/>
      <c r="J1460" s="82"/>
      <c r="K1460" s="82"/>
      <c r="L1460" s="82"/>
      <c r="M1460" s="82"/>
      <c r="N1460" s="82"/>
      <c r="O1460" s="82"/>
      <c r="P1460" s="82"/>
      <c r="Q1460" s="82"/>
      <c r="R1460" s="82"/>
      <c r="S1460" s="82"/>
      <c r="T1460" s="82"/>
      <c r="U1460" s="82"/>
      <c r="V1460" s="82"/>
      <c r="W1460" s="82"/>
      <c r="X1460" s="82"/>
      <c r="Y1460" s="82"/>
      <c r="Z1460" s="82"/>
    </row>
    <row r="1461" spans="1:26">
      <c r="A1461" s="81"/>
      <c r="F1461" s="81"/>
      <c r="G1461" s="82"/>
      <c r="H1461" s="82"/>
      <c r="I1461" s="82"/>
      <c r="J1461" s="82"/>
      <c r="K1461" s="82"/>
      <c r="L1461" s="82"/>
      <c r="M1461" s="82"/>
      <c r="N1461" s="82"/>
      <c r="O1461" s="82"/>
      <c r="P1461" s="82"/>
      <c r="Q1461" s="82"/>
      <c r="R1461" s="82"/>
      <c r="S1461" s="82"/>
      <c r="T1461" s="82"/>
      <c r="U1461" s="82"/>
      <c r="V1461" s="82"/>
      <c r="W1461" s="82"/>
      <c r="X1461" s="82"/>
      <c r="Y1461" s="82"/>
      <c r="Z1461" s="82"/>
    </row>
    <row r="1462" spans="1:26">
      <c r="A1462" s="81"/>
      <c r="F1462" s="81"/>
      <c r="G1462" s="82"/>
      <c r="H1462" s="82"/>
      <c r="I1462" s="82"/>
      <c r="J1462" s="82"/>
      <c r="K1462" s="82"/>
      <c r="L1462" s="82"/>
      <c r="M1462" s="82"/>
      <c r="N1462" s="82"/>
      <c r="O1462" s="82"/>
      <c r="P1462" s="82"/>
      <c r="Q1462" s="82"/>
      <c r="R1462" s="82"/>
      <c r="S1462" s="82"/>
      <c r="T1462" s="82"/>
      <c r="U1462" s="82"/>
      <c r="V1462" s="82"/>
      <c r="W1462" s="82"/>
      <c r="X1462" s="82"/>
      <c r="Y1462" s="82"/>
      <c r="Z1462" s="82"/>
    </row>
    <row r="1463" spans="1:26">
      <c r="A1463" s="81"/>
      <c r="F1463" s="81"/>
      <c r="G1463" s="82"/>
      <c r="H1463" s="82"/>
      <c r="I1463" s="82"/>
      <c r="J1463" s="82"/>
      <c r="K1463" s="82"/>
      <c r="L1463" s="82"/>
      <c r="M1463" s="82"/>
      <c r="N1463" s="82"/>
      <c r="O1463" s="82"/>
      <c r="P1463" s="82"/>
      <c r="Q1463" s="82"/>
      <c r="R1463" s="82"/>
      <c r="S1463" s="82"/>
      <c r="T1463" s="82"/>
      <c r="U1463" s="82"/>
      <c r="V1463" s="82"/>
      <c r="W1463" s="82"/>
      <c r="X1463" s="82"/>
      <c r="Y1463" s="82"/>
      <c r="Z1463" s="82"/>
    </row>
    <row r="1464" spans="1:26">
      <c r="A1464" s="81"/>
      <c r="F1464" s="81"/>
      <c r="G1464" s="82"/>
      <c r="H1464" s="82"/>
      <c r="I1464" s="82"/>
      <c r="J1464" s="82"/>
      <c r="K1464" s="82"/>
      <c r="L1464" s="82"/>
      <c r="M1464" s="82"/>
      <c r="N1464" s="82"/>
      <c r="O1464" s="82"/>
      <c r="P1464" s="82"/>
      <c r="Q1464" s="82"/>
      <c r="R1464" s="82"/>
      <c r="S1464" s="82"/>
      <c r="T1464" s="82"/>
      <c r="U1464" s="82"/>
      <c r="V1464" s="82"/>
      <c r="W1464" s="82"/>
      <c r="X1464" s="82"/>
      <c r="Y1464" s="82"/>
      <c r="Z1464" s="82"/>
    </row>
    <row r="1465" spans="1:26">
      <c r="A1465" s="81"/>
      <c r="F1465" s="81"/>
      <c r="G1465" s="82"/>
      <c r="H1465" s="82"/>
      <c r="I1465" s="82"/>
      <c r="J1465" s="82"/>
      <c r="K1465" s="82"/>
      <c r="L1465" s="82"/>
      <c r="M1465" s="82"/>
      <c r="N1465" s="82"/>
      <c r="O1465" s="82"/>
      <c r="P1465" s="82"/>
      <c r="Q1465" s="82"/>
      <c r="R1465" s="82"/>
      <c r="S1465" s="82"/>
      <c r="T1465" s="82"/>
      <c r="U1465" s="82"/>
      <c r="V1465" s="82"/>
      <c r="W1465" s="82"/>
      <c r="X1465" s="82"/>
      <c r="Y1465" s="82"/>
      <c r="Z1465" s="82"/>
    </row>
    <row r="1466" spans="1:26">
      <c r="A1466" s="81"/>
      <c r="F1466" s="81"/>
      <c r="G1466" s="82"/>
      <c r="H1466" s="82"/>
      <c r="I1466" s="82"/>
      <c r="J1466" s="82"/>
      <c r="K1466" s="82"/>
      <c r="L1466" s="82"/>
      <c r="M1466" s="82"/>
      <c r="N1466" s="82"/>
      <c r="O1466" s="82"/>
      <c r="P1466" s="82"/>
      <c r="Q1466" s="82"/>
      <c r="R1466" s="82"/>
      <c r="S1466" s="82"/>
      <c r="T1466" s="82"/>
      <c r="U1466" s="82"/>
      <c r="V1466" s="82"/>
      <c r="W1466" s="82"/>
      <c r="X1466" s="82"/>
      <c r="Y1466" s="82"/>
      <c r="Z1466" s="82"/>
    </row>
    <row r="1467" spans="1:26">
      <c r="A1467" s="81"/>
      <c r="F1467" s="81"/>
      <c r="G1467" s="82"/>
      <c r="H1467" s="82"/>
      <c r="I1467" s="82"/>
      <c r="J1467" s="82"/>
      <c r="K1467" s="82"/>
      <c r="L1467" s="82"/>
      <c r="M1467" s="82"/>
      <c r="N1467" s="82"/>
      <c r="O1467" s="82"/>
      <c r="P1467" s="82"/>
      <c r="Q1467" s="82"/>
      <c r="R1467" s="82"/>
      <c r="S1467" s="82"/>
      <c r="T1467" s="82"/>
      <c r="U1467" s="82"/>
      <c r="V1467" s="82"/>
      <c r="W1467" s="82"/>
      <c r="X1467" s="82"/>
      <c r="Y1467" s="82"/>
      <c r="Z1467" s="82"/>
    </row>
    <row r="1468" spans="1:26">
      <c r="A1468" s="81"/>
      <c r="F1468" s="81"/>
      <c r="G1468" s="82"/>
      <c r="H1468" s="82"/>
      <c r="I1468" s="82"/>
      <c r="J1468" s="82"/>
      <c r="K1468" s="82"/>
      <c r="L1468" s="82"/>
      <c r="M1468" s="82"/>
      <c r="N1468" s="82"/>
      <c r="O1468" s="82"/>
      <c r="P1468" s="82"/>
      <c r="Q1468" s="82"/>
      <c r="R1468" s="82"/>
      <c r="S1468" s="82"/>
      <c r="T1468" s="82"/>
      <c r="U1468" s="82"/>
      <c r="V1468" s="82"/>
      <c r="W1468" s="82"/>
      <c r="X1468" s="82"/>
      <c r="Y1468" s="82"/>
      <c r="Z1468" s="82"/>
    </row>
    <row r="1469" spans="1:26">
      <c r="A1469" s="81"/>
      <c r="F1469" s="81"/>
      <c r="G1469" s="82"/>
      <c r="H1469" s="82"/>
      <c r="I1469" s="82"/>
      <c r="J1469" s="82"/>
      <c r="K1469" s="82"/>
      <c r="L1469" s="82"/>
      <c r="M1469" s="82"/>
      <c r="N1469" s="82"/>
      <c r="O1469" s="82"/>
      <c r="P1469" s="82"/>
      <c r="Q1469" s="82"/>
      <c r="R1469" s="82"/>
      <c r="S1469" s="82"/>
      <c r="T1469" s="82"/>
      <c r="U1469" s="82"/>
      <c r="V1469" s="82"/>
      <c r="W1469" s="82"/>
      <c r="X1469" s="82"/>
      <c r="Y1469" s="82"/>
      <c r="Z1469" s="82"/>
    </row>
    <row r="1470" spans="1:26">
      <c r="A1470" s="81"/>
      <c r="F1470" s="81"/>
      <c r="G1470" s="82"/>
      <c r="H1470" s="82"/>
      <c r="I1470" s="82"/>
      <c r="J1470" s="82"/>
      <c r="K1470" s="82"/>
      <c r="L1470" s="82"/>
      <c r="M1470" s="82"/>
      <c r="N1470" s="82"/>
      <c r="O1470" s="82"/>
      <c r="P1470" s="82"/>
      <c r="Q1470" s="82"/>
      <c r="R1470" s="82"/>
      <c r="S1470" s="82"/>
      <c r="T1470" s="82"/>
      <c r="U1470" s="82"/>
      <c r="V1470" s="82"/>
      <c r="W1470" s="82"/>
      <c r="X1470" s="82"/>
      <c r="Y1470" s="82"/>
      <c r="Z1470" s="82"/>
    </row>
    <row r="1471" spans="1:26">
      <c r="A1471" s="81"/>
      <c r="F1471" s="81"/>
      <c r="G1471" s="82"/>
      <c r="H1471" s="82"/>
      <c r="I1471" s="82"/>
      <c r="J1471" s="82"/>
      <c r="K1471" s="82"/>
      <c r="L1471" s="82"/>
      <c r="M1471" s="82"/>
      <c r="N1471" s="82"/>
      <c r="O1471" s="82"/>
      <c r="P1471" s="82"/>
      <c r="Q1471" s="82"/>
      <c r="R1471" s="82"/>
      <c r="S1471" s="82"/>
      <c r="T1471" s="82"/>
      <c r="U1471" s="82"/>
      <c r="V1471" s="82"/>
      <c r="W1471" s="82"/>
      <c r="X1471" s="82"/>
      <c r="Y1471" s="82"/>
      <c r="Z1471" s="82"/>
    </row>
    <row r="1472" spans="1:26">
      <c r="A1472" s="81"/>
      <c r="F1472" s="81"/>
      <c r="G1472" s="82"/>
      <c r="H1472" s="82"/>
      <c r="I1472" s="82"/>
      <c r="J1472" s="82"/>
      <c r="K1472" s="82"/>
      <c r="L1472" s="82"/>
      <c r="M1472" s="82"/>
      <c r="N1472" s="82"/>
      <c r="O1472" s="82"/>
      <c r="P1472" s="82"/>
      <c r="Q1472" s="82"/>
      <c r="R1472" s="82"/>
      <c r="S1472" s="82"/>
      <c r="T1472" s="82"/>
      <c r="U1472" s="82"/>
      <c r="V1472" s="82"/>
      <c r="W1472" s="82"/>
      <c r="X1472" s="82"/>
      <c r="Y1472" s="82"/>
      <c r="Z1472" s="82"/>
    </row>
    <row r="1473" spans="1:26">
      <c r="A1473" s="81"/>
      <c r="F1473" s="81"/>
      <c r="G1473" s="82"/>
      <c r="H1473" s="82"/>
      <c r="I1473" s="82"/>
      <c r="J1473" s="82"/>
      <c r="K1473" s="82"/>
      <c r="L1473" s="82"/>
      <c r="M1473" s="82"/>
      <c r="N1473" s="82"/>
      <c r="O1473" s="82"/>
      <c r="P1473" s="82"/>
      <c r="Q1473" s="82"/>
      <c r="R1473" s="82"/>
      <c r="S1473" s="82"/>
      <c r="T1473" s="82"/>
      <c r="U1473" s="82"/>
      <c r="V1473" s="82"/>
      <c r="W1473" s="82"/>
      <c r="X1473" s="82"/>
      <c r="Y1473" s="82"/>
      <c r="Z1473" s="82"/>
    </row>
    <row r="1474" spans="1:26">
      <c r="A1474" s="81"/>
      <c r="F1474" s="81"/>
      <c r="G1474" s="82"/>
      <c r="H1474" s="82"/>
      <c r="I1474" s="82"/>
      <c r="J1474" s="82"/>
      <c r="K1474" s="82"/>
      <c r="L1474" s="82"/>
      <c r="M1474" s="82"/>
      <c r="N1474" s="82"/>
      <c r="O1474" s="82"/>
      <c r="P1474" s="82"/>
      <c r="Q1474" s="82"/>
      <c r="R1474" s="82"/>
      <c r="S1474" s="82"/>
      <c r="T1474" s="82"/>
      <c r="U1474" s="82"/>
      <c r="V1474" s="82"/>
      <c r="W1474" s="82"/>
      <c r="X1474" s="82"/>
      <c r="Y1474" s="82"/>
      <c r="Z1474" s="82"/>
    </row>
    <row r="1475" spans="1:26">
      <c r="A1475" s="81"/>
      <c r="F1475" s="81"/>
      <c r="G1475" s="82"/>
      <c r="H1475" s="82"/>
      <c r="I1475" s="82"/>
      <c r="J1475" s="82"/>
      <c r="K1475" s="82"/>
      <c r="L1475" s="82"/>
      <c r="M1475" s="82"/>
      <c r="N1475" s="82"/>
      <c r="O1475" s="82"/>
      <c r="P1475" s="82"/>
      <c r="Q1475" s="82"/>
      <c r="R1475" s="82"/>
      <c r="S1475" s="82"/>
      <c r="T1475" s="82"/>
      <c r="U1475" s="82"/>
      <c r="V1475" s="82"/>
      <c r="W1475" s="82"/>
      <c r="X1475" s="82"/>
      <c r="Y1475" s="82"/>
      <c r="Z1475" s="82"/>
    </row>
    <row r="1476" spans="1:26">
      <c r="A1476" s="81"/>
      <c r="F1476" s="81"/>
      <c r="G1476" s="82"/>
      <c r="H1476" s="82"/>
      <c r="I1476" s="82"/>
      <c r="J1476" s="82"/>
      <c r="K1476" s="82"/>
      <c r="L1476" s="82"/>
      <c r="M1476" s="82"/>
      <c r="N1476" s="82"/>
      <c r="O1476" s="82"/>
      <c r="P1476" s="82"/>
      <c r="Q1476" s="82"/>
      <c r="R1476" s="82"/>
      <c r="S1476" s="82"/>
      <c r="T1476" s="82"/>
      <c r="U1476" s="82"/>
      <c r="V1476" s="82"/>
      <c r="W1476" s="82"/>
      <c r="X1476" s="82"/>
      <c r="Y1476" s="82"/>
      <c r="Z1476" s="82"/>
    </row>
    <row r="1477" spans="1:26">
      <c r="A1477" s="81"/>
      <c r="F1477" s="81"/>
      <c r="G1477" s="82"/>
      <c r="H1477" s="82"/>
      <c r="I1477" s="82"/>
      <c r="J1477" s="82"/>
      <c r="K1477" s="82"/>
      <c r="L1477" s="82"/>
      <c r="M1477" s="82"/>
      <c r="N1477" s="82"/>
      <c r="O1477" s="82"/>
      <c r="P1477" s="82"/>
      <c r="Q1477" s="82"/>
      <c r="R1477" s="82"/>
      <c r="S1477" s="82"/>
      <c r="T1477" s="82"/>
      <c r="U1477" s="82"/>
      <c r="V1477" s="82"/>
      <c r="W1477" s="82"/>
      <c r="X1477" s="82"/>
      <c r="Y1477" s="82"/>
      <c r="Z1477" s="82"/>
    </row>
    <row r="1478" spans="1:26">
      <c r="A1478" s="81"/>
      <c r="F1478" s="81"/>
      <c r="G1478" s="82"/>
      <c r="H1478" s="82"/>
      <c r="I1478" s="82"/>
      <c r="J1478" s="82"/>
      <c r="K1478" s="82"/>
      <c r="L1478" s="82"/>
      <c r="M1478" s="82"/>
      <c r="N1478" s="82"/>
      <c r="O1478" s="82"/>
      <c r="P1478" s="82"/>
      <c r="Q1478" s="82"/>
      <c r="R1478" s="82"/>
      <c r="S1478" s="82"/>
      <c r="T1478" s="82"/>
      <c r="U1478" s="82"/>
      <c r="V1478" s="82"/>
      <c r="W1478" s="82"/>
      <c r="X1478" s="82"/>
      <c r="Y1478" s="82"/>
      <c r="Z1478" s="82"/>
    </row>
    <row r="1479" spans="1:26">
      <c r="A1479" s="81"/>
      <c r="F1479" s="81"/>
      <c r="G1479" s="82"/>
      <c r="H1479" s="82"/>
      <c r="I1479" s="82"/>
      <c r="J1479" s="82"/>
      <c r="K1479" s="82"/>
      <c r="L1479" s="82"/>
      <c r="M1479" s="82"/>
      <c r="N1479" s="82"/>
      <c r="O1479" s="82"/>
      <c r="P1479" s="82"/>
      <c r="Q1479" s="82"/>
      <c r="R1479" s="82"/>
      <c r="S1479" s="82"/>
      <c r="T1479" s="82"/>
      <c r="U1479" s="82"/>
      <c r="V1479" s="82"/>
      <c r="W1479" s="82"/>
      <c r="X1479" s="82"/>
      <c r="Y1479" s="82"/>
      <c r="Z1479" s="82"/>
    </row>
    <row r="1480" spans="1:26">
      <c r="A1480" s="81"/>
      <c r="F1480" s="81"/>
      <c r="G1480" s="82"/>
      <c r="H1480" s="82"/>
      <c r="I1480" s="82"/>
      <c r="J1480" s="82"/>
      <c r="K1480" s="82"/>
      <c r="L1480" s="82"/>
      <c r="M1480" s="82"/>
      <c r="N1480" s="82"/>
      <c r="O1480" s="82"/>
      <c r="P1480" s="82"/>
      <c r="Q1480" s="82"/>
      <c r="R1480" s="82"/>
      <c r="S1480" s="82"/>
      <c r="T1480" s="82"/>
      <c r="U1480" s="82"/>
      <c r="V1480" s="82"/>
      <c r="W1480" s="82"/>
      <c r="X1480" s="82"/>
      <c r="Y1480" s="82"/>
      <c r="Z1480" s="82"/>
    </row>
    <row r="1481" spans="1:26">
      <c r="A1481" s="81"/>
      <c r="F1481" s="81"/>
      <c r="G1481" s="82"/>
      <c r="H1481" s="82"/>
      <c r="I1481" s="82"/>
      <c r="J1481" s="82"/>
      <c r="K1481" s="82"/>
      <c r="L1481" s="82"/>
      <c r="M1481" s="82"/>
      <c r="N1481" s="82"/>
      <c r="O1481" s="82"/>
      <c r="P1481" s="82"/>
      <c r="Q1481" s="82"/>
      <c r="R1481" s="82"/>
      <c r="S1481" s="82"/>
      <c r="T1481" s="82"/>
      <c r="U1481" s="82"/>
      <c r="V1481" s="82"/>
      <c r="W1481" s="82"/>
      <c r="X1481" s="82"/>
      <c r="Y1481" s="82"/>
      <c r="Z1481" s="82"/>
    </row>
    <row r="1482" spans="1:26">
      <c r="A1482" s="81"/>
      <c r="F1482" s="81"/>
      <c r="G1482" s="82"/>
      <c r="H1482" s="82"/>
      <c r="I1482" s="82"/>
      <c r="J1482" s="82"/>
      <c r="K1482" s="82"/>
      <c r="L1482" s="82"/>
      <c r="M1482" s="82"/>
      <c r="N1482" s="82"/>
      <c r="O1482" s="82"/>
      <c r="P1482" s="82"/>
      <c r="Q1482" s="82"/>
      <c r="R1482" s="82"/>
      <c r="S1482" s="82"/>
      <c r="T1482" s="82"/>
      <c r="U1482" s="82"/>
      <c r="V1482" s="82"/>
      <c r="W1482" s="82"/>
      <c r="X1482" s="82"/>
      <c r="Y1482" s="82"/>
      <c r="Z1482" s="82"/>
    </row>
    <row r="1483" spans="1:26">
      <c r="A1483" s="81"/>
      <c r="F1483" s="81"/>
      <c r="G1483" s="82"/>
      <c r="H1483" s="82"/>
      <c r="I1483" s="82"/>
      <c r="J1483" s="82"/>
      <c r="K1483" s="82"/>
      <c r="L1483" s="82"/>
      <c r="M1483" s="82"/>
      <c r="N1483" s="82"/>
      <c r="O1483" s="82"/>
      <c r="P1483" s="82"/>
      <c r="Q1483" s="82"/>
      <c r="R1483" s="82"/>
      <c r="S1483" s="82"/>
      <c r="T1483" s="82"/>
      <c r="U1483" s="82"/>
      <c r="V1483" s="82"/>
      <c r="W1483" s="82"/>
      <c r="X1483" s="82"/>
      <c r="Y1483" s="82"/>
      <c r="Z1483" s="82"/>
    </row>
    <row r="1484" spans="1:26">
      <c r="A1484" s="81"/>
      <c r="F1484" s="81"/>
      <c r="G1484" s="82"/>
      <c r="H1484" s="82"/>
      <c r="I1484" s="82"/>
      <c r="J1484" s="82"/>
      <c r="K1484" s="82"/>
      <c r="L1484" s="82"/>
      <c r="M1484" s="82"/>
      <c r="N1484" s="82"/>
      <c r="O1484" s="82"/>
      <c r="P1484" s="82"/>
      <c r="Q1484" s="82"/>
      <c r="R1484" s="82"/>
      <c r="S1484" s="82"/>
      <c r="T1484" s="82"/>
      <c r="U1484" s="82"/>
      <c r="V1484" s="82"/>
      <c r="W1484" s="82"/>
      <c r="X1484" s="82"/>
      <c r="Y1484" s="82"/>
      <c r="Z1484" s="82"/>
    </row>
    <row r="1485" spans="1:26">
      <c r="A1485" s="81"/>
      <c r="F1485" s="81"/>
      <c r="G1485" s="82"/>
      <c r="H1485" s="82"/>
      <c r="I1485" s="82"/>
      <c r="J1485" s="82"/>
      <c r="K1485" s="82"/>
      <c r="L1485" s="82"/>
      <c r="M1485" s="82"/>
      <c r="N1485" s="82"/>
      <c r="O1485" s="82"/>
      <c r="P1485" s="82"/>
      <c r="Q1485" s="82"/>
      <c r="R1485" s="82"/>
      <c r="S1485" s="82"/>
      <c r="T1485" s="82"/>
      <c r="U1485" s="82"/>
      <c r="V1485" s="82"/>
      <c r="W1485" s="82"/>
      <c r="X1485" s="82"/>
      <c r="Y1485" s="82"/>
      <c r="Z1485" s="82"/>
    </row>
    <row r="1486" spans="1:26">
      <c r="A1486" s="81"/>
      <c r="F1486" s="81"/>
      <c r="G1486" s="82"/>
      <c r="H1486" s="82"/>
      <c r="I1486" s="82"/>
      <c r="J1486" s="82"/>
      <c r="K1486" s="82"/>
      <c r="L1486" s="82"/>
      <c r="M1486" s="82"/>
      <c r="N1486" s="82"/>
      <c r="O1486" s="82"/>
      <c r="P1486" s="82"/>
      <c r="Q1486" s="82"/>
      <c r="R1486" s="82"/>
      <c r="S1486" s="82"/>
      <c r="T1486" s="82"/>
      <c r="U1486" s="82"/>
      <c r="V1486" s="82"/>
      <c r="W1486" s="82"/>
      <c r="X1486" s="82"/>
      <c r="Y1486" s="82"/>
      <c r="Z1486" s="82"/>
    </row>
    <row r="1487" spans="1:26">
      <c r="A1487" s="81"/>
      <c r="F1487" s="81"/>
      <c r="G1487" s="82"/>
      <c r="H1487" s="82"/>
      <c r="I1487" s="82"/>
      <c r="J1487" s="82"/>
      <c r="K1487" s="82"/>
      <c r="L1487" s="82"/>
      <c r="M1487" s="82"/>
      <c r="N1487" s="82"/>
      <c r="O1487" s="82"/>
      <c r="P1487" s="82"/>
      <c r="Q1487" s="82"/>
      <c r="R1487" s="82"/>
      <c r="S1487" s="82"/>
      <c r="T1487" s="82"/>
      <c r="U1487" s="82"/>
      <c r="V1487" s="82"/>
      <c r="W1487" s="82"/>
      <c r="X1487" s="82"/>
      <c r="Y1487" s="82"/>
      <c r="Z1487" s="82"/>
    </row>
    <row r="1488" spans="1:26">
      <c r="A1488" s="81"/>
      <c r="F1488" s="81"/>
      <c r="G1488" s="82"/>
      <c r="H1488" s="82"/>
      <c r="I1488" s="82"/>
      <c r="J1488" s="82"/>
      <c r="K1488" s="82"/>
      <c r="L1488" s="82"/>
      <c r="M1488" s="82"/>
      <c r="N1488" s="82"/>
      <c r="O1488" s="82"/>
      <c r="P1488" s="82"/>
      <c r="Q1488" s="82"/>
      <c r="R1488" s="82"/>
      <c r="S1488" s="82"/>
      <c r="T1488" s="82"/>
      <c r="U1488" s="82"/>
      <c r="V1488" s="82"/>
      <c r="W1488" s="82"/>
      <c r="X1488" s="82"/>
      <c r="Y1488" s="82"/>
      <c r="Z1488" s="82"/>
    </row>
    <row r="1489" spans="1:26">
      <c r="A1489" s="81"/>
      <c r="F1489" s="81"/>
      <c r="G1489" s="82"/>
      <c r="H1489" s="82"/>
      <c r="I1489" s="82"/>
      <c r="J1489" s="82"/>
      <c r="K1489" s="82"/>
      <c r="L1489" s="82"/>
      <c r="M1489" s="82"/>
      <c r="N1489" s="82"/>
      <c r="O1489" s="82"/>
      <c r="P1489" s="82"/>
      <c r="Q1489" s="82"/>
      <c r="R1489" s="82"/>
      <c r="S1489" s="82"/>
      <c r="T1489" s="82"/>
      <c r="U1489" s="82"/>
      <c r="V1489" s="82"/>
      <c r="W1489" s="82"/>
      <c r="X1489" s="82"/>
      <c r="Y1489" s="82"/>
      <c r="Z1489" s="82"/>
    </row>
    <row r="1490" spans="1:26">
      <c r="A1490" s="81"/>
      <c r="F1490" s="81"/>
      <c r="G1490" s="82"/>
      <c r="H1490" s="82"/>
      <c r="I1490" s="82"/>
      <c r="J1490" s="82"/>
      <c r="K1490" s="82"/>
      <c r="L1490" s="82"/>
      <c r="M1490" s="82"/>
      <c r="N1490" s="82"/>
      <c r="O1490" s="82"/>
      <c r="P1490" s="82"/>
      <c r="Q1490" s="82"/>
      <c r="R1490" s="82"/>
      <c r="S1490" s="82"/>
      <c r="T1490" s="82"/>
      <c r="U1490" s="82"/>
      <c r="V1490" s="82"/>
      <c r="W1490" s="82"/>
      <c r="X1490" s="82"/>
      <c r="Y1490" s="82"/>
      <c r="Z1490" s="82"/>
    </row>
    <row r="1491" spans="1:26">
      <c r="A1491" s="81"/>
      <c r="F1491" s="81"/>
      <c r="G1491" s="82"/>
      <c r="H1491" s="82"/>
      <c r="I1491" s="82"/>
      <c r="J1491" s="82"/>
      <c r="K1491" s="82"/>
      <c r="L1491" s="82"/>
      <c r="M1491" s="82"/>
      <c r="N1491" s="82"/>
      <c r="O1491" s="82"/>
      <c r="P1491" s="82"/>
      <c r="Q1491" s="82"/>
      <c r="R1491" s="82"/>
      <c r="S1491" s="82"/>
      <c r="T1491" s="82"/>
      <c r="U1491" s="82"/>
      <c r="V1491" s="82"/>
      <c r="W1491" s="82"/>
      <c r="X1491" s="82"/>
      <c r="Y1491" s="82"/>
      <c r="Z1491" s="82"/>
    </row>
    <row r="1492" spans="1:26">
      <c r="A1492" s="81"/>
      <c r="F1492" s="81"/>
      <c r="G1492" s="82"/>
      <c r="H1492" s="82"/>
      <c r="I1492" s="82"/>
      <c r="J1492" s="82"/>
      <c r="K1492" s="82"/>
      <c r="L1492" s="82"/>
      <c r="M1492" s="82"/>
      <c r="N1492" s="82"/>
      <c r="O1492" s="82"/>
      <c r="P1492" s="82"/>
      <c r="Q1492" s="82"/>
      <c r="R1492" s="82"/>
      <c r="S1492" s="82"/>
      <c r="T1492" s="82"/>
      <c r="U1492" s="82"/>
      <c r="V1492" s="82"/>
      <c r="W1492" s="82"/>
      <c r="X1492" s="82"/>
      <c r="Y1492" s="82"/>
      <c r="Z1492" s="82"/>
    </row>
    <row r="1493" spans="1:26">
      <c r="A1493" s="81"/>
      <c r="F1493" s="81"/>
      <c r="G1493" s="82"/>
      <c r="H1493" s="82"/>
      <c r="I1493" s="82"/>
      <c r="J1493" s="82"/>
      <c r="K1493" s="82"/>
      <c r="L1493" s="82"/>
      <c r="M1493" s="82"/>
      <c r="N1493" s="82"/>
      <c r="O1493" s="82"/>
      <c r="P1493" s="82"/>
      <c r="Q1493" s="82"/>
      <c r="R1493" s="82"/>
      <c r="S1493" s="82"/>
      <c r="T1493" s="82"/>
      <c r="U1493" s="82"/>
      <c r="V1493" s="82"/>
      <c r="W1493" s="82"/>
      <c r="X1493" s="82"/>
      <c r="Y1493" s="82"/>
      <c r="Z1493" s="82"/>
    </row>
    <row r="1494" spans="1:26">
      <c r="A1494" s="81"/>
      <c r="F1494" s="81"/>
      <c r="G1494" s="82"/>
      <c r="H1494" s="82"/>
      <c r="I1494" s="82"/>
      <c r="J1494" s="82"/>
      <c r="K1494" s="82"/>
      <c r="L1494" s="82"/>
      <c r="M1494" s="82"/>
      <c r="N1494" s="82"/>
      <c r="O1494" s="82"/>
      <c r="P1494" s="82"/>
      <c r="Q1494" s="82"/>
      <c r="R1494" s="82"/>
      <c r="S1494" s="82"/>
      <c r="T1494" s="82"/>
      <c r="U1494" s="82"/>
      <c r="V1494" s="82"/>
      <c r="W1494" s="82"/>
      <c r="X1494" s="82"/>
      <c r="Y1494" s="82"/>
      <c r="Z1494" s="82"/>
    </row>
    <row r="1495" spans="1:26">
      <c r="A1495" s="81"/>
      <c r="F1495" s="81"/>
      <c r="G1495" s="82"/>
      <c r="H1495" s="82"/>
      <c r="I1495" s="82"/>
      <c r="J1495" s="82"/>
      <c r="K1495" s="82"/>
      <c r="L1495" s="82"/>
      <c r="M1495" s="82"/>
      <c r="N1495" s="82"/>
      <c r="O1495" s="82"/>
      <c r="P1495" s="82"/>
      <c r="Q1495" s="82"/>
      <c r="R1495" s="82"/>
      <c r="S1495" s="82"/>
      <c r="T1495" s="82"/>
      <c r="U1495" s="82"/>
      <c r="V1495" s="82"/>
      <c r="W1495" s="82"/>
      <c r="X1495" s="82"/>
      <c r="Y1495" s="82"/>
      <c r="Z1495" s="82"/>
    </row>
    <row r="1496" spans="1:26">
      <c r="A1496" s="81"/>
      <c r="F1496" s="81"/>
      <c r="G1496" s="82"/>
      <c r="H1496" s="82"/>
      <c r="I1496" s="82"/>
      <c r="J1496" s="82"/>
      <c r="K1496" s="82"/>
      <c r="L1496" s="82"/>
      <c r="M1496" s="82"/>
      <c r="N1496" s="82"/>
      <c r="O1496" s="82"/>
      <c r="P1496" s="82"/>
      <c r="Q1496" s="82"/>
      <c r="R1496" s="82"/>
      <c r="S1496" s="82"/>
      <c r="T1496" s="82"/>
      <c r="U1496" s="82"/>
      <c r="V1496" s="82"/>
      <c r="W1496" s="82"/>
      <c r="X1496" s="82"/>
      <c r="Y1496" s="82"/>
      <c r="Z1496" s="82"/>
    </row>
    <row r="1497" spans="1:26">
      <c r="A1497" s="81"/>
      <c r="F1497" s="81"/>
      <c r="G1497" s="82"/>
      <c r="H1497" s="82"/>
      <c r="I1497" s="82"/>
      <c r="J1497" s="82"/>
      <c r="K1497" s="82"/>
      <c r="L1497" s="82"/>
      <c r="M1497" s="82"/>
      <c r="N1497" s="82"/>
      <c r="O1497" s="82"/>
      <c r="P1497" s="82"/>
      <c r="Q1497" s="82"/>
      <c r="R1497" s="82"/>
      <c r="S1497" s="82"/>
      <c r="T1497" s="82"/>
      <c r="U1497" s="82"/>
      <c r="V1497" s="82"/>
      <c r="W1497" s="82"/>
      <c r="X1497" s="82"/>
      <c r="Y1497" s="82"/>
      <c r="Z1497" s="82"/>
    </row>
    <row r="1498" spans="1:26">
      <c r="A1498" s="81"/>
      <c r="F1498" s="81"/>
      <c r="G1498" s="82"/>
      <c r="H1498" s="82"/>
      <c r="I1498" s="82"/>
      <c r="J1498" s="82"/>
      <c r="K1498" s="82"/>
      <c r="L1498" s="82"/>
      <c r="M1498" s="82"/>
      <c r="N1498" s="82"/>
      <c r="O1498" s="82"/>
      <c r="P1498" s="82"/>
      <c r="Q1498" s="82"/>
      <c r="R1498" s="82"/>
      <c r="S1498" s="82"/>
      <c r="T1498" s="82"/>
      <c r="U1498" s="82"/>
      <c r="V1498" s="82"/>
      <c r="W1498" s="82"/>
      <c r="X1498" s="82"/>
      <c r="Y1498" s="82"/>
      <c r="Z1498" s="82"/>
    </row>
    <row r="1499" spans="1:26">
      <c r="A1499" s="81"/>
      <c r="F1499" s="81"/>
      <c r="G1499" s="82"/>
      <c r="H1499" s="82"/>
      <c r="I1499" s="82"/>
      <c r="J1499" s="82"/>
      <c r="K1499" s="82"/>
      <c r="L1499" s="82"/>
      <c r="M1499" s="82"/>
      <c r="N1499" s="82"/>
      <c r="O1499" s="82"/>
      <c r="P1499" s="82"/>
      <c r="Q1499" s="82"/>
      <c r="R1499" s="82"/>
      <c r="S1499" s="82"/>
      <c r="T1499" s="82"/>
      <c r="U1499" s="82"/>
      <c r="V1499" s="82"/>
      <c r="W1499" s="82"/>
      <c r="X1499" s="82"/>
      <c r="Y1499" s="82"/>
      <c r="Z1499" s="82"/>
    </row>
    <row r="1500" spans="1:26">
      <c r="A1500" s="81"/>
      <c r="F1500" s="81"/>
      <c r="G1500" s="82"/>
      <c r="H1500" s="82"/>
      <c r="I1500" s="82"/>
      <c r="J1500" s="82"/>
      <c r="K1500" s="82"/>
      <c r="L1500" s="82"/>
      <c r="M1500" s="82"/>
      <c r="N1500" s="82"/>
      <c r="O1500" s="82"/>
      <c r="P1500" s="82"/>
      <c r="Q1500" s="82"/>
      <c r="R1500" s="82"/>
      <c r="S1500" s="82"/>
      <c r="T1500" s="82"/>
      <c r="U1500" s="82"/>
      <c r="V1500" s="82"/>
      <c r="W1500" s="82"/>
      <c r="X1500" s="82"/>
      <c r="Y1500" s="82"/>
      <c r="Z1500" s="82"/>
    </row>
    <row r="1501" spans="1:26">
      <c r="A1501" s="81"/>
      <c r="F1501" s="81"/>
      <c r="G1501" s="82"/>
      <c r="H1501" s="82"/>
      <c r="I1501" s="82"/>
      <c r="J1501" s="82"/>
      <c r="K1501" s="82"/>
      <c r="L1501" s="82"/>
      <c r="M1501" s="82"/>
      <c r="N1501" s="82"/>
      <c r="O1501" s="82"/>
      <c r="P1501" s="82"/>
      <c r="Q1501" s="82"/>
      <c r="R1501" s="82"/>
      <c r="S1501" s="82"/>
      <c r="T1501" s="82"/>
      <c r="U1501" s="82"/>
      <c r="V1501" s="82"/>
      <c r="W1501" s="82"/>
      <c r="X1501" s="82"/>
      <c r="Y1501" s="82"/>
      <c r="Z1501" s="82"/>
    </row>
    <row r="1502" spans="1:26">
      <c r="A1502" s="81"/>
      <c r="F1502" s="81"/>
      <c r="G1502" s="82"/>
      <c r="H1502" s="82"/>
      <c r="I1502" s="82"/>
      <c r="J1502" s="82"/>
      <c r="K1502" s="82"/>
      <c r="L1502" s="82"/>
      <c r="M1502" s="82"/>
      <c r="N1502" s="82"/>
      <c r="O1502" s="82"/>
      <c r="P1502" s="82"/>
      <c r="Q1502" s="82"/>
      <c r="R1502" s="82"/>
      <c r="S1502" s="82"/>
      <c r="T1502" s="82"/>
      <c r="U1502" s="82"/>
      <c r="V1502" s="82"/>
      <c r="W1502" s="82"/>
      <c r="X1502" s="82"/>
      <c r="Y1502" s="82"/>
      <c r="Z1502" s="82"/>
    </row>
    <row r="1503" spans="1:26">
      <c r="A1503" s="81"/>
      <c r="F1503" s="81"/>
      <c r="G1503" s="82"/>
      <c r="H1503" s="82"/>
      <c r="I1503" s="82"/>
      <c r="J1503" s="82"/>
      <c r="K1503" s="82"/>
      <c r="L1503" s="82"/>
      <c r="M1503" s="82"/>
      <c r="N1503" s="82"/>
      <c r="O1503" s="82"/>
      <c r="P1503" s="82"/>
      <c r="Q1503" s="82"/>
      <c r="R1503" s="82"/>
      <c r="S1503" s="82"/>
      <c r="T1503" s="82"/>
      <c r="U1503" s="82"/>
      <c r="V1503" s="82"/>
      <c r="W1503" s="82"/>
      <c r="X1503" s="82"/>
      <c r="Y1503" s="82"/>
      <c r="Z1503" s="82"/>
    </row>
    <row r="1504" spans="1:26">
      <c r="A1504" s="81"/>
      <c r="F1504" s="81"/>
      <c r="G1504" s="82"/>
      <c r="H1504" s="82"/>
      <c r="I1504" s="82"/>
      <c r="J1504" s="82"/>
      <c r="K1504" s="82"/>
      <c r="L1504" s="82"/>
      <c r="M1504" s="82"/>
      <c r="N1504" s="82"/>
      <c r="O1504" s="82"/>
      <c r="P1504" s="82"/>
      <c r="Q1504" s="82"/>
      <c r="R1504" s="82"/>
      <c r="S1504" s="82"/>
      <c r="T1504" s="82"/>
      <c r="U1504" s="82"/>
      <c r="V1504" s="82"/>
      <c r="W1504" s="82"/>
      <c r="X1504" s="82"/>
      <c r="Y1504" s="82"/>
      <c r="Z1504" s="82"/>
    </row>
    <row r="1505" spans="1:26">
      <c r="A1505" s="81"/>
      <c r="F1505" s="81"/>
      <c r="G1505" s="82"/>
      <c r="H1505" s="82"/>
      <c r="I1505" s="82"/>
      <c r="J1505" s="82"/>
      <c r="K1505" s="82"/>
      <c r="L1505" s="82"/>
      <c r="M1505" s="82"/>
      <c r="N1505" s="82"/>
      <c r="O1505" s="82"/>
      <c r="P1505" s="82"/>
      <c r="Q1505" s="82"/>
      <c r="R1505" s="82"/>
      <c r="S1505" s="82"/>
      <c r="T1505" s="82"/>
      <c r="U1505" s="82"/>
      <c r="V1505" s="82"/>
      <c r="W1505" s="82"/>
      <c r="X1505" s="82"/>
      <c r="Y1505" s="82"/>
      <c r="Z1505" s="82"/>
    </row>
    <row r="1506" spans="1:26">
      <c r="A1506" s="81"/>
      <c r="F1506" s="81"/>
      <c r="G1506" s="82"/>
      <c r="H1506" s="82"/>
      <c r="I1506" s="82"/>
      <c r="J1506" s="82"/>
      <c r="K1506" s="82"/>
      <c r="L1506" s="82"/>
      <c r="M1506" s="82"/>
      <c r="N1506" s="82"/>
      <c r="O1506" s="82"/>
      <c r="P1506" s="82"/>
      <c r="Q1506" s="82"/>
      <c r="R1506" s="82"/>
      <c r="S1506" s="82"/>
      <c r="T1506" s="82"/>
      <c r="U1506" s="82"/>
      <c r="V1506" s="82"/>
      <c r="W1506" s="82"/>
      <c r="X1506" s="82"/>
      <c r="Y1506" s="82"/>
      <c r="Z1506" s="82"/>
    </row>
    <row r="1507" spans="1:26">
      <c r="A1507" s="81"/>
      <c r="F1507" s="81"/>
      <c r="G1507" s="82"/>
      <c r="H1507" s="82"/>
      <c r="I1507" s="82"/>
      <c r="J1507" s="82"/>
      <c r="K1507" s="82"/>
      <c r="L1507" s="82"/>
      <c r="M1507" s="82"/>
      <c r="N1507" s="82"/>
      <c r="O1507" s="82"/>
      <c r="P1507" s="82"/>
      <c r="Q1507" s="82"/>
      <c r="R1507" s="82"/>
      <c r="S1507" s="82"/>
      <c r="T1507" s="82"/>
      <c r="U1507" s="82"/>
      <c r="V1507" s="82"/>
      <c r="W1507" s="82"/>
      <c r="X1507" s="82"/>
      <c r="Y1507" s="82"/>
      <c r="Z1507" s="82"/>
    </row>
    <row r="1508" spans="1:26">
      <c r="A1508" s="81"/>
      <c r="F1508" s="81"/>
      <c r="G1508" s="82"/>
      <c r="H1508" s="82"/>
      <c r="I1508" s="82"/>
      <c r="J1508" s="82"/>
      <c r="K1508" s="82"/>
      <c r="L1508" s="82"/>
      <c r="M1508" s="82"/>
      <c r="N1508" s="82"/>
      <c r="O1508" s="82"/>
      <c r="P1508" s="82"/>
      <c r="Q1508" s="82"/>
      <c r="R1508" s="82"/>
      <c r="S1508" s="82"/>
      <c r="T1508" s="82"/>
      <c r="U1508" s="82"/>
      <c r="V1508" s="82"/>
      <c r="W1508" s="82"/>
      <c r="X1508" s="82"/>
      <c r="Y1508" s="82"/>
      <c r="Z1508" s="82"/>
    </row>
    <row r="1509" spans="1:26">
      <c r="A1509" s="81"/>
      <c r="F1509" s="81"/>
      <c r="G1509" s="82"/>
      <c r="H1509" s="82"/>
      <c r="I1509" s="82"/>
      <c r="J1509" s="82"/>
      <c r="K1509" s="82"/>
      <c r="L1509" s="82"/>
      <c r="M1509" s="82"/>
      <c r="N1509" s="82"/>
      <c r="O1509" s="82"/>
      <c r="P1509" s="82"/>
      <c r="Q1509" s="82"/>
      <c r="R1509" s="82"/>
      <c r="S1509" s="82"/>
      <c r="T1509" s="82"/>
      <c r="U1509" s="82"/>
      <c r="V1509" s="82"/>
      <c r="W1509" s="82"/>
      <c r="X1509" s="82"/>
      <c r="Y1509" s="82"/>
      <c r="Z1509" s="82"/>
    </row>
    <row r="1510" spans="1:26">
      <c r="A1510" s="81"/>
      <c r="F1510" s="81"/>
      <c r="G1510" s="82"/>
      <c r="H1510" s="82"/>
      <c r="I1510" s="82"/>
      <c r="J1510" s="82"/>
      <c r="K1510" s="82"/>
      <c r="L1510" s="82"/>
      <c r="M1510" s="82"/>
      <c r="N1510" s="82"/>
      <c r="O1510" s="82"/>
      <c r="P1510" s="82"/>
      <c r="Q1510" s="82"/>
      <c r="R1510" s="82"/>
      <c r="S1510" s="82"/>
      <c r="T1510" s="82"/>
      <c r="U1510" s="82"/>
      <c r="V1510" s="82"/>
      <c r="W1510" s="82"/>
      <c r="X1510" s="82"/>
      <c r="Y1510" s="82"/>
      <c r="Z1510" s="82"/>
    </row>
    <row r="1511" spans="1:26">
      <c r="A1511" s="81"/>
      <c r="F1511" s="81"/>
      <c r="G1511" s="82"/>
      <c r="H1511" s="82"/>
      <c r="I1511" s="82"/>
      <c r="J1511" s="82"/>
      <c r="K1511" s="82"/>
      <c r="L1511" s="82"/>
      <c r="M1511" s="82"/>
      <c r="N1511" s="82"/>
      <c r="O1511" s="82"/>
      <c r="P1511" s="82"/>
      <c r="Q1511" s="82"/>
      <c r="R1511" s="82"/>
      <c r="S1511" s="82"/>
      <c r="T1511" s="82"/>
      <c r="U1511" s="82"/>
      <c r="V1511" s="82"/>
      <c r="W1511" s="82"/>
      <c r="X1511" s="82"/>
      <c r="Y1511" s="82"/>
      <c r="Z1511" s="82"/>
    </row>
    <row r="1512" spans="1:26">
      <c r="A1512" s="81"/>
      <c r="F1512" s="81"/>
      <c r="G1512" s="82"/>
      <c r="H1512" s="82"/>
      <c r="I1512" s="82"/>
      <c r="J1512" s="82"/>
      <c r="K1512" s="82"/>
      <c r="L1512" s="82"/>
      <c r="M1512" s="82"/>
      <c r="N1512" s="82"/>
      <c r="O1512" s="82"/>
      <c r="P1512" s="82"/>
      <c r="Q1512" s="82"/>
      <c r="R1512" s="82"/>
      <c r="S1512" s="82"/>
      <c r="T1512" s="82"/>
      <c r="U1512" s="82"/>
      <c r="V1512" s="82"/>
      <c r="W1512" s="82"/>
      <c r="X1512" s="82"/>
      <c r="Y1512" s="82"/>
      <c r="Z1512" s="82"/>
    </row>
    <row r="1513" spans="1:26">
      <c r="A1513" s="81"/>
      <c r="F1513" s="81"/>
      <c r="G1513" s="82"/>
      <c r="H1513" s="82"/>
      <c r="I1513" s="82"/>
      <c r="J1513" s="82"/>
      <c r="K1513" s="82"/>
      <c r="L1513" s="82"/>
      <c r="M1513" s="82"/>
      <c r="N1513" s="82"/>
      <c r="O1513" s="82"/>
      <c r="P1513" s="82"/>
      <c r="Q1513" s="82"/>
      <c r="R1513" s="82"/>
      <c r="S1513" s="82"/>
      <c r="T1513" s="82"/>
      <c r="U1513" s="82"/>
      <c r="V1513" s="82"/>
      <c r="W1513" s="82"/>
      <c r="X1513" s="82"/>
      <c r="Y1513" s="82"/>
      <c r="Z1513" s="82"/>
    </row>
    <row r="1514" spans="1:26">
      <c r="A1514" s="81"/>
      <c r="F1514" s="81"/>
      <c r="G1514" s="82"/>
      <c r="H1514" s="82"/>
      <c r="I1514" s="82"/>
      <c r="J1514" s="82"/>
      <c r="K1514" s="82"/>
      <c r="L1514" s="82"/>
      <c r="M1514" s="82"/>
      <c r="N1514" s="82"/>
      <c r="O1514" s="82"/>
      <c r="P1514" s="82"/>
      <c r="Q1514" s="82"/>
      <c r="R1514" s="82"/>
      <c r="S1514" s="82"/>
      <c r="T1514" s="82"/>
      <c r="U1514" s="82"/>
      <c r="V1514" s="82"/>
      <c r="W1514" s="82"/>
      <c r="X1514" s="82"/>
      <c r="Y1514" s="82"/>
      <c r="Z1514" s="82"/>
    </row>
    <row r="1515" spans="1:26">
      <c r="A1515" s="81"/>
      <c r="F1515" s="81"/>
      <c r="G1515" s="82"/>
      <c r="H1515" s="82"/>
      <c r="I1515" s="82"/>
      <c r="J1515" s="82"/>
      <c r="K1515" s="82"/>
      <c r="L1515" s="82"/>
      <c r="M1515" s="82"/>
      <c r="N1515" s="82"/>
      <c r="O1515" s="82"/>
      <c r="P1515" s="82"/>
      <c r="Q1515" s="82"/>
      <c r="R1515" s="82"/>
      <c r="S1515" s="82"/>
      <c r="T1515" s="82"/>
      <c r="U1515" s="82"/>
      <c r="V1515" s="82"/>
      <c r="W1515" s="82"/>
      <c r="X1515" s="82"/>
      <c r="Y1515" s="82"/>
      <c r="Z1515" s="82"/>
    </row>
    <row r="1516" spans="1:26">
      <c r="A1516" s="81"/>
      <c r="F1516" s="81"/>
      <c r="G1516" s="82"/>
      <c r="H1516" s="82"/>
      <c r="I1516" s="82"/>
      <c r="J1516" s="82"/>
      <c r="K1516" s="82"/>
      <c r="L1516" s="82"/>
      <c r="M1516" s="82"/>
      <c r="N1516" s="82"/>
      <c r="O1516" s="82"/>
      <c r="P1516" s="82"/>
      <c r="Q1516" s="82"/>
      <c r="R1516" s="82"/>
      <c r="S1516" s="82"/>
      <c r="T1516" s="82"/>
      <c r="U1516" s="82"/>
      <c r="V1516" s="82"/>
      <c r="W1516" s="82"/>
      <c r="X1516" s="82"/>
      <c r="Y1516" s="82"/>
      <c r="Z1516" s="82"/>
    </row>
    <row r="1517" spans="1:26">
      <c r="A1517" s="81"/>
      <c r="F1517" s="81"/>
      <c r="G1517" s="82"/>
      <c r="H1517" s="82"/>
      <c r="I1517" s="82"/>
      <c r="J1517" s="82"/>
      <c r="K1517" s="82"/>
      <c r="L1517" s="82"/>
      <c r="M1517" s="82"/>
      <c r="N1517" s="82"/>
      <c r="O1517" s="82"/>
      <c r="P1517" s="82"/>
      <c r="Q1517" s="82"/>
      <c r="R1517" s="82"/>
      <c r="S1517" s="82"/>
      <c r="T1517" s="82"/>
      <c r="U1517" s="82"/>
      <c r="V1517" s="82"/>
      <c r="W1517" s="82"/>
      <c r="X1517" s="82"/>
      <c r="Y1517" s="82"/>
      <c r="Z1517" s="82"/>
    </row>
    <row r="1518" spans="1:26">
      <c r="A1518" s="81"/>
      <c r="F1518" s="81"/>
      <c r="G1518" s="82"/>
      <c r="H1518" s="82"/>
      <c r="I1518" s="82"/>
      <c r="J1518" s="82"/>
      <c r="K1518" s="82"/>
      <c r="L1518" s="82"/>
      <c r="M1518" s="82"/>
      <c r="N1518" s="82"/>
      <c r="O1518" s="82"/>
      <c r="P1518" s="82"/>
      <c r="Q1518" s="82"/>
      <c r="R1518" s="82"/>
      <c r="S1518" s="82"/>
      <c r="T1518" s="82"/>
      <c r="U1518" s="82"/>
      <c r="V1518" s="82"/>
      <c r="W1518" s="82"/>
      <c r="X1518" s="82"/>
      <c r="Y1518" s="82"/>
      <c r="Z1518" s="82"/>
    </row>
    <row r="1519" spans="1:26">
      <c r="A1519" s="81"/>
      <c r="F1519" s="81"/>
      <c r="G1519" s="82"/>
      <c r="H1519" s="82"/>
      <c r="I1519" s="82"/>
      <c r="J1519" s="82"/>
      <c r="K1519" s="82"/>
      <c r="L1519" s="82"/>
      <c r="M1519" s="82"/>
      <c r="N1519" s="82"/>
      <c r="O1519" s="82"/>
      <c r="P1519" s="82"/>
      <c r="Q1519" s="82"/>
      <c r="R1519" s="82"/>
      <c r="S1519" s="82"/>
      <c r="T1519" s="82"/>
      <c r="U1519" s="82"/>
      <c r="V1519" s="82"/>
      <c r="W1519" s="82"/>
      <c r="X1519" s="82"/>
      <c r="Y1519" s="82"/>
      <c r="Z1519" s="82"/>
    </row>
    <row r="1520" spans="1:26">
      <c r="A1520" s="81"/>
      <c r="F1520" s="81"/>
      <c r="G1520" s="82"/>
      <c r="H1520" s="82"/>
      <c r="I1520" s="82"/>
      <c r="J1520" s="82"/>
      <c r="K1520" s="82"/>
      <c r="L1520" s="82"/>
      <c r="M1520" s="82"/>
      <c r="N1520" s="82"/>
      <c r="O1520" s="82"/>
      <c r="P1520" s="82"/>
      <c r="Q1520" s="82"/>
      <c r="R1520" s="82"/>
      <c r="S1520" s="82"/>
      <c r="T1520" s="82"/>
      <c r="U1520" s="82"/>
      <c r="V1520" s="82"/>
      <c r="W1520" s="82"/>
      <c r="X1520" s="82"/>
      <c r="Y1520" s="82"/>
      <c r="Z1520" s="82"/>
    </row>
    <row r="1521" spans="1:26">
      <c r="A1521" s="81"/>
      <c r="F1521" s="81"/>
      <c r="G1521" s="82"/>
      <c r="H1521" s="82"/>
      <c r="I1521" s="82"/>
      <c r="J1521" s="82"/>
      <c r="K1521" s="82"/>
      <c r="L1521" s="82"/>
      <c r="M1521" s="82"/>
      <c r="N1521" s="82"/>
      <c r="O1521" s="82"/>
      <c r="P1521" s="82"/>
      <c r="Q1521" s="82"/>
      <c r="R1521" s="82"/>
      <c r="S1521" s="82"/>
      <c r="T1521" s="82"/>
      <c r="U1521" s="82"/>
      <c r="V1521" s="82"/>
      <c r="W1521" s="82"/>
      <c r="X1521" s="82"/>
      <c r="Y1521" s="82"/>
      <c r="Z1521" s="82"/>
    </row>
    <row r="1522" spans="1:26">
      <c r="A1522" s="81"/>
      <c r="F1522" s="81"/>
      <c r="G1522" s="82"/>
      <c r="H1522" s="82"/>
      <c r="I1522" s="82"/>
      <c r="J1522" s="82"/>
      <c r="K1522" s="82"/>
      <c r="L1522" s="82"/>
      <c r="M1522" s="82"/>
      <c r="N1522" s="82"/>
      <c r="O1522" s="82"/>
      <c r="P1522" s="82"/>
      <c r="Q1522" s="82"/>
      <c r="R1522" s="82"/>
      <c r="S1522" s="82"/>
      <c r="T1522" s="82"/>
      <c r="U1522" s="82"/>
      <c r="V1522" s="82"/>
      <c r="W1522" s="82"/>
      <c r="X1522" s="82"/>
      <c r="Y1522" s="82"/>
      <c r="Z1522" s="82"/>
    </row>
    <row r="1523" spans="1:26">
      <c r="A1523" s="81"/>
      <c r="F1523" s="81"/>
      <c r="G1523" s="82"/>
      <c r="H1523" s="82"/>
      <c r="I1523" s="82"/>
      <c r="J1523" s="82"/>
      <c r="K1523" s="82"/>
      <c r="L1523" s="82"/>
      <c r="M1523" s="82"/>
      <c r="N1523" s="82"/>
      <c r="O1523" s="82"/>
      <c r="P1523" s="82"/>
      <c r="Q1523" s="82"/>
      <c r="R1523" s="82"/>
      <c r="S1523" s="82"/>
      <c r="T1523" s="82"/>
      <c r="U1523" s="82"/>
      <c r="V1523" s="82"/>
      <c r="W1523" s="82"/>
      <c r="X1523" s="82"/>
      <c r="Y1523" s="82"/>
      <c r="Z1523" s="82"/>
    </row>
    <row r="1524" spans="1:26">
      <c r="A1524" s="81"/>
      <c r="F1524" s="81"/>
      <c r="G1524" s="82"/>
      <c r="H1524" s="82"/>
      <c r="I1524" s="82"/>
      <c r="J1524" s="82"/>
      <c r="K1524" s="82"/>
      <c r="L1524" s="82"/>
      <c r="M1524" s="82"/>
      <c r="N1524" s="82"/>
      <c r="O1524" s="82"/>
      <c r="P1524" s="82"/>
      <c r="Q1524" s="82"/>
      <c r="R1524" s="82"/>
      <c r="S1524" s="82"/>
      <c r="T1524" s="82"/>
      <c r="U1524" s="82"/>
      <c r="V1524" s="82"/>
      <c r="W1524" s="82"/>
      <c r="X1524" s="82"/>
      <c r="Y1524" s="82"/>
      <c r="Z1524" s="82"/>
    </row>
    <row r="1525" spans="1:26">
      <c r="A1525" s="81"/>
      <c r="F1525" s="81"/>
      <c r="G1525" s="82"/>
      <c r="H1525" s="82"/>
      <c r="I1525" s="82"/>
      <c r="J1525" s="82"/>
      <c r="K1525" s="82"/>
      <c r="L1525" s="82"/>
      <c r="M1525" s="82"/>
      <c r="N1525" s="82"/>
      <c r="O1525" s="82"/>
      <c r="P1525" s="82"/>
      <c r="Q1525" s="82"/>
      <c r="R1525" s="82"/>
      <c r="S1525" s="82"/>
      <c r="T1525" s="82"/>
      <c r="U1525" s="82"/>
      <c r="V1525" s="82"/>
      <c r="W1525" s="82"/>
      <c r="X1525" s="82"/>
      <c r="Y1525" s="82"/>
      <c r="Z1525" s="82"/>
    </row>
    <row r="1526" spans="1:26">
      <c r="A1526" s="81"/>
      <c r="F1526" s="81"/>
      <c r="G1526" s="82"/>
      <c r="H1526" s="82"/>
      <c r="I1526" s="82"/>
      <c r="J1526" s="82"/>
      <c r="K1526" s="82"/>
      <c r="L1526" s="82"/>
      <c r="M1526" s="82"/>
      <c r="N1526" s="82"/>
      <c r="O1526" s="82"/>
      <c r="P1526" s="82"/>
      <c r="Q1526" s="82"/>
      <c r="R1526" s="82"/>
      <c r="S1526" s="82"/>
      <c r="T1526" s="82"/>
      <c r="U1526" s="82"/>
      <c r="V1526" s="82"/>
      <c r="W1526" s="82"/>
      <c r="X1526" s="82"/>
      <c r="Y1526" s="82"/>
      <c r="Z1526" s="82"/>
    </row>
    <row r="1527" spans="1:26">
      <c r="A1527" s="81"/>
      <c r="F1527" s="81"/>
      <c r="G1527" s="82"/>
      <c r="H1527" s="82"/>
      <c r="I1527" s="82"/>
      <c r="J1527" s="82"/>
      <c r="K1527" s="82"/>
      <c r="L1527" s="82"/>
      <c r="M1527" s="82"/>
      <c r="N1527" s="82"/>
      <c r="O1527" s="82"/>
      <c r="P1527" s="82"/>
      <c r="Q1527" s="82"/>
      <c r="R1527" s="82"/>
      <c r="S1527" s="82"/>
      <c r="T1527" s="82"/>
      <c r="U1527" s="82"/>
      <c r="V1527" s="82"/>
      <c r="W1527" s="82"/>
      <c r="X1527" s="82"/>
      <c r="Y1527" s="82"/>
      <c r="Z1527" s="82"/>
    </row>
    <row r="1528" spans="1:26">
      <c r="A1528" s="81"/>
      <c r="F1528" s="81"/>
      <c r="G1528" s="82"/>
      <c r="H1528" s="82"/>
      <c r="I1528" s="82"/>
      <c r="J1528" s="82"/>
      <c r="K1528" s="82"/>
      <c r="L1528" s="82"/>
      <c r="M1528" s="82"/>
      <c r="N1528" s="82"/>
      <c r="O1528" s="82"/>
      <c r="P1528" s="82"/>
      <c r="Q1528" s="82"/>
      <c r="R1528" s="82"/>
      <c r="S1528" s="82"/>
      <c r="T1528" s="82"/>
      <c r="U1528" s="82"/>
      <c r="V1528" s="82"/>
      <c r="W1528" s="82"/>
      <c r="X1528" s="82"/>
      <c r="Y1528" s="82"/>
      <c r="Z1528" s="82"/>
    </row>
    <row r="1529" spans="1:26">
      <c r="A1529" s="81"/>
      <c r="F1529" s="81"/>
      <c r="G1529" s="82"/>
      <c r="H1529" s="82"/>
      <c r="I1529" s="82"/>
      <c r="J1529" s="82"/>
      <c r="K1529" s="82"/>
      <c r="L1529" s="82"/>
      <c r="M1529" s="82"/>
      <c r="N1529" s="82"/>
      <c r="O1529" s="82"/>
      <c r="P1529" s="82"/>
      <c r="Q1529" s="82"/>
      <c r="R1529" s="82"/>
      <c r="S1529" s="82"/>
      <c r="T1529" s="82"/>
      <c r="U1529" s="82"/>
      <c r="V1529" s="82"/>
      <c r="W1529" s="82"/>
      <c r="X1529" s="82"/>
      <c r="Y1529" s="82"/>
      <c r="Z1529" s="82"/>
    </row>
    <row r="1530" spans="1:26">
      <c r="A1530" s="81"/>
      <c r="F1530" s="81"/>
      <c r="G1530" s="82"/>
      <c r="H1530" s="82"/>
      <c r="I1530" s="82"/>
      <c r="J1530" s="82"/>
      <c r="K1530" s="82"/>
      <c r="L1530" s="82"/>
      <c r="M1530" s="82"/>
      <c r="N1530" s="82"/>
      <c r="O1530" s="82"/>
      <c r="P1530" s="82"/>
      <c r="Q1530" s="82"/>
      <c r="R1530" s="82"/>
      <c r="S1530" s="82"/>
      <c r="T1530" s="82"/>
      <c r="U1530" s="82"/>
      <c r="V1530" s="82"/>
      <c r="W1530" s="82"/>
      <c r="X1530" s="82"/>
      <c r="Y1530" s="82"/>
      <c r="Z1530" s="82"/>
    </row>
    <row r="1531" spans="1:26">
      <c r="A1531" s="81"/>
      <c r="F1531" s="81"/>
      <c r="G1531" s="82"/>
      <c r="H1531" s="82"/>
      <c r="I1531" s="82"/>
      <c r="J1531" s="82"/>
      <c r="K1531" s="82"/>
      <c r="L1531" s="82"/>
      <c r="M1531" s="82"/>
      <c r="N1531" s="82"/>
      <c r="O1531" s="82"/>
      <c r="P1531" s="82"/>
      <c r="Q1531" s="82"/>
      <c r="R1531" s="82"/>
      <c r="S1531" s="82"/>
      <c r="T1531" s="82"/>
      <c r="U1531" s="82"/>
      <c r="V1531" s="82"/>
      <c r="W1531" s="82"/>
      <c r="X1531" s="82"/>
      <c r="Y1531" s="82"/>
      <c r="Z1531" s="82"/>
    </row>
    <row r="1532" spans="1:26">
      <c r="A1532" s="81"/>
      <c r="F1532" s="81"/>
      <c r="G1532" s="82"/>
      <c r="H1532" s="82"/>
      <c r="I1532" s="82"/>
      <c r="J1532" s="82"/>
      <c r="K1532" s="82"/>
      <c r="L1532" s="82"/>
      <c r="M1532" s="82"/>
      <c r="N1532" s="82"/>
      <c r="O1532" s="82"/>
      <c r="P1532" s="82"/>
      <c r="Q1532" s="82"/>
      <c r="R1532" s="82"/>
      <c r="S1532" s="82"/>
      <c r="T1532" s="82"/>
      <c r="U1532" s="82"/>
      <c r="V1532" s="82"/>
      <c r="W1532" s="82"/>
      <c r="X1532" s="82"/>
      <c r="Y1532" s="82"/>
      <c r="Z1532" s="82"/>
    </row>
    <row r="1533" spans="1:26">
      <c r="A1533" s="81"/>
      <c r="F1533" s="81"/>
      <c r="G1533" s="82"/>
      <c r="H1533" s="82"/>
      <c r="I1533" s="82"/>
      <c r="J1533" s="82"/>
      <c r="K1533" s="82"/>
      <c r="L1533" s="82"/>
      <c r="M1533" s="82"/>
      <c r="N1533" s="82"/>
      <c r="O1533" s="82"/>
      <c r="P1533" s="82"/>
      <c r="Q1533" s="82"/>
      <c r="R1533" s="82"/>
      <c r="S1533" s="82"/>
      <c r="T1533" s="82"/>
      <c r="U1533" s="82"/>
      <c r="V1533" s="82"/>
      <c r="W1533" s="82"/>
      <c r="X1533" s="82"/>
      <c r="Y1533" s="82"/>
      <c r="Z1533" s="82"/>
    </row>
    <row r="1534" spans="1:26">
      <c r="A1534" s="81"/>
      <c r="F1534" s="81"/>
      <c r="G1534" s="82"/>
      <c r="H1534" s="82"/>
      <c r="I1534" s="82"/>
      <c r="J1534" s="82"/>
      <c r="K1534" s="82"/>
      <c r="L1534" s="82"/>
      <c r="M1534" s="82"/>
      <c r="N1534" s="82"/>
      <c r="O1534" s="82"/>
      <c r="P1534" s="82"/>
      <c r="Q1534" s="82"/>
      <c r="R1534" s="82"/>
      <c r="S1534" s="82"/>
      <c r="T1534" s="82"/>
      <c r="U1534" s="82"/>
      <c r="V1534" s="82"/>
      <c r="W1534" s="82"/>
      <c r="X1534" s="82"/>
      <c r="Y1534" s="82"/>
      <c r="Z1534" s="82"/>
    </row>
    <row r="1535" spans="1:26">
      <c r="A1535" s="81"/>
      <c r="F1535" s="81"/>
      <c r="G1535" s="82"/>
      <c r="H1535" s="82"/>
      <c r="I1535" s="82"/>
      <c r="J1535" s="82"/>
      <c r="K1535" s="82"/>
      <c r="L1535" s="82"/>
      <c r="M1535" s="82"/>
      <c r="N1535" s="82"/>
      <c r="O1535" s="82"/>
      <c r="P1535" s="82"/>
      <c r="Q1535" s="82"/>
      <c r="R1535" s="82"/>
      <c r="S1535" s="82"/>
      <c r="T1535" s="82"/>
      <c r="U1535" s="82"/>
      <c r="V1535" s="82"/>
      <c r="W1535" s="82"/>
      <c r="X1535" s="82"/>
      <c r="Y1535" s="82"/>
      <c r="Z1535" s="82"/>
    </row>
    <row r="1536" spans="1:26">
      <c r="A1536" s="81"/>
      <c r="F1536" s="81"/>
      <c r="G1536" s="82"/>
      <c r="H1536" s="82"/>
      <c r="I1536" s="82"/>
      <c r="J1536" s="82"/>
      <c r="K1536" s="82"/>
      <c r="L1536" s="82"/>
      <c r="M1536" s="82"/>
      <c r="N1536" s="82"/>
      <c r="O1536" s="82"/>
      <c r="P1536" s="82"/>
      <c r="Q1536" s="82"/>
      <c r="R1536" s="82"/>
      <c r="S1536" s="82"/>
      <c r="T1536" s="82"/>
      <c r="U1536" s="82"/>
      <c r="V1536" s="82"/>
      <c r="W1536" s="82"/>
      <c r="X1536" s="82"/>
      <c r="Y1536" s="82"/>
      <c r="Z1536" s="82"/>
    </row>
    <row r="1537" spans="1:26">
      <c r="A1537" s="81"/>
      <c r="F1537" s="81"/>
      <c r="G1537" s="82"/>
      <c r="H1537" s="82"/>
      <c r="I1537" s="82"/>
      <c r="J1537" s="82"/>
      <c r="K1537" s="82"/>
      <c r="L1537" s="82"/>
      <c r="M1537" s="82"/>
      <c r="N1537" s="82"/>
      <c r="O1537" s="82"/>
      <c r="P1537" s="82"/>
      <c r="Q1537" s="82"/>
      <c r="R1537" s="82"/>
      <c r="S1537" s="82"/>
      <c r="T1537" s="82"/>
      <c r="U1537" s="82"/>
      <c r="V1537" s="82"/>
      <c r="W1537" s="82"/>
      <c r="X1537" s="82"/>
      <c r="Y1537" s="82"/>
      <c r="Z1537" s="82"/>
    </row>
    <row r="1538" spans="1:26">
      <c r="A1538" s="81"/>
      <c r="F1538" s="81"/>
      <c r="G1538" s="82"/>
      <c r="H1538" s="82"/>
      <c r="I1538" s="82"/>
      <c r="J1538" s="82"/>
      <c r="K1538" s="82"/>
      <c r="L1538" s="82"/>
      <c r="M1538" s="82"/>
      <c r="N1538" s="82"/>
      <c r="O1538" s="82"/>
      <c r="P1538" s="82"/>
      <c r="Q1538" s="82"/>
      <c r="R1538" s="82"/>
      <c r="S1538" s="82"/>
      <c r="T1538" s="82"/>
      <c r="U1538" s="82"/>
      <c r="V1538" s="82"/>
      <c r="W1538" s="82"/>
      <c r="X1538" s="82"/>
      <c r="Y1538" s="82"/>
      <c r="Z1538" s="82"/>
    </row>
    <row r="1539" spans="1:26">
      <c r="A1539" s="81"/>
      <c r="F1539" s="81"/>
      <c r="G1539" s="82"/>
      <c r="H1539" s="82"/>
      <c r="I1539" s="82"/>
      <c r="J1539" s="82"/>
      <c r="K1539" s="82"/>
      <c r="L1539" s="82"/>
      <c r="M1539" s="82"/>
      <c r="N1539" s="82"/>
      <c r="O1539" s="82"/>
      <c r="P1539" s="82"/>
      <c r="Q1539" s="82"/>
      <c r="R1539" s="82"/>
      <c r="S1539" s="82"/>
      <c r="T1539" s="82"/>
      <c r="U1539" s="82"/>
      <c r="V1539" s="82"/>
      <c r="W1539" s="82"/>
      <c r="X1539" s="82"/>
      <c r="Y1539" s="82"/>
      <c r="Z1539" s="82"/>
    </row>
    <row r="1540" spans="1:26">
      <c r="A1540" s="81"/>
      <c r="F1540" s="81"/>
      <c r="G1540" s="82"/>
      <c r="H1540" s="82"/>
      <c r="I1540" s="82"/>
      <c r="J1540" s="82"/>
      <c r="K1540" s="82"/>
      <c r="L1540" s="82"/>
      <c r="M1540" s="82"/>
      <c r="N1540" s="82"/>
      <c r="O1540" s="82"/>
      <c r="P1540" s="82"/>
      <c r="Q1540" s="82"/>
      <c r="R1540" s="82"/>
      <c r="S1540" s="82"/>
      <c r="T1540" s="82"/>
      <c r="U1540" s="82"/>
      <c r="V1540" s="82"/>
      <c r="W1540" s="82"/>
      <c r="X1540" s="82"/>
      <c r="Y1540" s="82"/>
      <c r="Z1540" s="82"/>
    </row>
    <row r="1541" spans="1:26">
      <c r="A1541" s="81"/>
      <c r="F1541" s="81"/>
      <c r="G1541" s="82"/>
      <c r="H1541" s="82"/>
      <c r="I1541" s="82"/>
      <c r="J1541" s="82"/>
      <c r="K1541" s="82"/>
      <c r="L1541" s="82"/>
      <c r="M1541" s="82"/>
      <c r="N1541" s="82"/>
      <c r="O1541" s="82"/>
      <c r="P1541" s="82"/>
      <c r="Q1541" s="82"/>
      <c r="R1541" s="82"/>
      <c r="S1541" s="82"/>
      <c r="T1541" s="82"/>
      <c r="U1541" s="82"/>
      <c r="V1541" s="82"/>
      <c r="W1541" s="82"/>
      <c r="X1541" s="82"/>
      <c r="Y1541" s="82"/>
      <c r="Z1541" s="82"/>
    </row>
    <row r="1542" spans="1:26">
      <c r="A1542" s="81"/>
      <c r="F1542" s="81"/>
      <c r="G1542" s="82"/>
      <c r="H1542" s="82"/>
      <c r="I1542" s="82"/>
      <c r="J1542" s="82"/>
      <c r="K1542" s="82"/>
      <c r="L1542" s="82"/>
      <c r="M1542" s="82"/>
      <c r="N1542" s="82"/>
      <c r="O1542" s="82"/>
      <c r="P1542" s="82"/>
      <c r="Q1542" s="82"/>
      <c r="R1542" s="82"/>
      <c r="S1542" s="82"/>
      <c r="T1542" s="82"/>
      <c r="U1542" s="82"/>
      <c r="V1542" s="82"/>
      <c r="W1542" s="82"/>
      <c r="X1542" s="82"/>
      <c r="Y1542" s="82"/>
      <c r="Z1542" s="82"/>
    </row>
    <row r="1543" spans="1:26">
      <c r="A1543" s="81"/>
      <c r="F1543" s="81"/>
      <c r="G1543" s="82"/>
      <c r="H1543" s="82"/>
      <c r="I1543" s="82"/>
      <c r="J1543" s="82"/>
      <c r="K1543" s="82"/>
      <c r="L1543" s="82"/>
      <c r="M1543" s="82"/>
      <c r="N1543" s="82"/>
      <c r="O1543" s="82"/>
      <c r="P1543" s="82"/>
      <c r="Q1543" s="82"/>
      <c r="R1543" s="82"/>
      <c r="S1543" s="82"/>
      <c r="T1543" s="82"/>
      <c r="U1543" s="82"/>
      <c r="V1543" s="82"/>
      <c r="W1543" s="82"/>
      <c r="X1543" s="82"/>
      <c r="Y1543" s="82"/>
      <c r="Z1543" s="82"/>
    </row>
    <row r="1544" spans="1:26">
      <c r="A1544" s="81"/>
      <c r="F1544" s="81"/>
      <c r="G1544" s="82"/>
      <c r="H1544" s="82"/>
      <c r="I1544" s="82"/>
      <c r="J1544" s="82"/>
      <c r="K1544" s="82"/>
      <c r="L1544" s="82"/>
      <c r="M1544" s="82"/>
      <c r="N1544" s="82"/>
      <c r="O1544" s="82"/>
      <c r="P1544" s="82"/>
      <c r="Q1544" s="82"/>
      <c r="R1544" s="82"/>
      <c r="S1544" s="82"/>
      <c r="T1544" s="82"/>
      <c r="U1544" s="82"/>
      <c r="V1544" s="82"/>
      <c r="W1544" s="82"/>
      <c r="X1544" s="82"/>
      <c r="Y1544" s="82"/>
      <c r="Z1544" s="82"/>
    </row>
    <row r="1545" spans="1:26">
      <c r="A1545" s="81"/>
      <c r="F1545" s="81"/>
      <c r="G1545" s="82"/>
      <c r="H1545" s="82"/>
      <c r="I1545" s="82"/>
      <c r="J1545" s="82"/>
      <c r="K1545" s="82"/>
      <c r="L1545" s="82"/>
      <c r="M1545" s="82"/>
      <c r="N1545" s="82"/>
      <c r="O1545" s="82"/>
      <c r="P1545" s="82"/>
      <c r="Q1545" s="82"/>
      <c r="R1545" s="82"/>
      <c r="S1545" s="82"/>
      <c r="T1545" s="82"/>
      <c r="U1545" s="82"/>
      <c r="V1545" s="82"/>
      <c r="W1545" s="82"/>
      <c r="X1545" s="82"/>
      <c r="Y1545" s="82"/>
      <c r="Z1545" s="82"/>
    </row>
    <row r="1546" spans="1:26">
      <c r="A1546" s="81"/>
      <c r="F1546" s="81"/>
      <c r="G1546" s="82"/>
      <c r="H1546" s="82"/>
      <c r="I1546" s="82"/>
      <c r="J1546" s="82"/>
      <c r="K1546" s="82"/>
      <c r="L1546" s="82"/>
      <c r="M1546" s="82"/>
      <c r="N1546" s="82"/>
      <c r="O1546" s="82"/>
      <c r="P1546" s="82"/>
      <c r="Q1546" s="82"/>
      <c r="R1546" s="82"/>
      <c r="S1546" s="82"/>
      <c r="T1546" s="82"/>
      <c r="U1546" s="82"/>
      <c r="V1546" s="82"/>
      <c r="W1546" s="82"/>
      <c r="X1546" s="82"/>
      <c r="Y1546" s="82"/>
      <c r="Z1546" s="82"/>
    </row>
    <row r="1547" spans="1:26">
      <c r="A1547" s="81"/>
      <c r="F1547" s="81"/>
      <c r="G1547" s="82"/>
      <c r="H1547" s="82"/>
      <c r="I1547" s="82"/>
      <c r="J1547" s="82"/>
      <c r="K1547" s="82"/>
      <c r="L1547" s="82"/>
      <c r="M1547" s="82"/>
      <c r="N1547" s="82"/>
      <c r="O1547" s="82"/>
      <c r="P1547" s="82"/>
      <c r="Q1547" s="82"/>
      <c r="R1547" s="82"/>
      <c r="S1547" s="82"/>
      <c r="T1547" s="82"/>
      <c r="U1547" s="82"/>
      <c r="V1547" s="82"/>
      <c r="W1547" s="82"/>
      <c r="X1547" s="82"/>
      <c r="Y1547" s="82"/>
      <c r="Z1547" s="82"/>
    </row>
    <row r="1548" spans="1:26">
      <c r="A1548" s="81"/>
      <c r="F1548" s="81"/>
      <c r="G1548" s="82"/>
      <c r="H1548" s="82"/>
      <c r="I1548" s="82"/>
      <c r="J1548" s="82"/>
      <c r="K1548" s="82"/>
      <c r="L1548" s="82"/>
      <c r="M1548" s="82"/>
      <c r="N1548" s="82"/>
      <c r="O1548" s="82"/>
      <c r="P1548" s="82"/>
      <c r="Q1548" s="82"/>
      <c r="R1548" s="82"/>
      <c r="S1548" s="82"/>
      <c r="T1548" s="82"/>
      <c r="U1548" s="82"/>
      <c r="V1548" s="82"/>
      <c r="W1548" s="82"/>
      <c r="X1548" s="82"/>
      <c r="Y1548" s="82"/>
      <c r="Z1548" s="82"/>
    </row>
    <row r="1549" spans="1:26">
      <c r="A1549" s="81"/>
      <c r="F1549" s="81"/>
      <c r="G1549" s="82"/>
      <c r="H1549" s="82"/>
      <c r="I1549" s="82"/>
      <c r="J1549" s="82"/>
      <c r="K1549" s="82"/>
      <c r="L1549" s="82"/>
      <c r="M1549" s="82"/>
      <c r="N1549" s="82"/>
      <c r="O1549" s="82"/>
      <c r="P1549" s="82"/>
      <c r="Q1549" s="82"/>
      <c r="R1549" s="82"/>
      <c r="S1549" s="82"/>
      <c r="T1549" s="82"/>
      <c r="U1549" s="82"/>
      <c r="V1549" s="82"/>
      <c r="W1549" s="82"/>
      <c r="X1549" s="82"/>
      <c r="Y1549" s="82"/>
      <c r="Z1549" s="82"/>
    </row>
    <row r="1550" spans="1:26">
      <c r="A1550" s="81"/>
      <c r="F1550" s="81"/>
      <c r="G1550" s="82"/>
      <c r="H1550" s="82"/>
      <c r="I1550" s="82"/>
      <c r="J1550" s="82"/>
      <c r="K1550" s="82"/>
      <c r="L1550" s="82"/>
      <c r="M1550" s="82"/>
      <c r="N1550" s="82"/>
      <c r="O1550" s="82"/>
      <c r="P1550" s="82"/>
      <c r="Q1550" s="82"/>
      <c r="R1550" s="82"/>
      <c r="S1550" s="82"/>
      <c r="T1550" s="82"/>
      <c r="U1550" s="82"/>
      <c r="V1550" s="82"/>
      <c r="W1550" s="82"/>
      <c r="X1550" s="82"/>
      <c r="Y1550" s="82"/>
      <c r="Z1550" s="82"/>
    </row>
    <row r="1551" spans="1:26">
      <c r="A1551" s="81"/>
      <c r="F1551" s="81"/>
      <c r="G1551" s="82"/>
      <c r="H1551" s="82"/>
      <c r="I1551" s="82"/>
      <c r="J1551" s="82"/>
      <c r="K1551" s="82"/>
      <c r="L1551" s="82"/>
      <c r="M1551" s="82"/>
      <c r="N1551" s="82"/>
      <c r="O1551" s="82"/>
      <c r="P1551" s="82"/>
      <c r="Q1551" s="82"/>
      <c r="R1551" s="82"/>
      <c r="S1551" s="82"/>
      <c r="T1551" s="82"/>
      <c r="U1551" s="82"/>
      <c r="V1551" s="82"/>
      <c r="W1551" s="82"/>
      <c r="X1551" s="82"/>
      <c r="Y1551" s="82"/>
      <c r="Z1551" s="82"/>
    </row>
    <row r="1552" spans="1:26">
      <c r="A1552" s="81"/>
      <c r="F1552" s="81"/>
      <c r="G1552" s="82"/>
      <c r="H1552" s="82"/>
      <c r="I1552" s="82"/>
      <c r="J1552" s="82"/>
      <c r="K1552" s="82"/>
      <c r="L1552" s="82"/>
      <c r="M1552" s="82"/>
      <c r="N1552" s="82"/>
      <c r="O1552" s="82"/>
      <c r="P1552" s="82"/>
      <c r="Q1552" s="82"/>
      <c r="R1552" s="82"/>
      <c r="S1552" s="82"/>
      <c r="T1552" s="82"/>
      <c r="U1552" s="82"/>
      <c r="V1552" s="82"/>
      <c r="W1552" s="82"/>
      <c r="X1552" s="82"/>
      <c r="Y1552" s="82"/>
      <c r="Z1552" s="82"/>
    </row>
    <row r="1553" spans="1:26">
      <c r="A1553" s="81"/>
      <c r="F1553" s="81"/>
      <c r="G1553" s="82"/>
      <c r="H1553" s="82"/>
      <c r="I1553" s="82"/>
      <c r="J1553" s="82"/>
      <c r="K1553" s="82"/>
      <c r="L1553" s="82"/>
      <c r="M1553" s="82"/>
      <c r="N1553" s="82"/>
      <c r="O1553" s="82"/>
      <c r="P1553" s="82"/>
      <c r="Q1553" s="82"/>
      <c r="R1553" s="82"/>
      <c r="S1553" s="82"/>
      <c r="T1553" s="82"/>
      <c r="U1553" s="82"/>
      <c r="V1553" s="82"/>
      <c r="W1553" s="82"/>
      <c r="X1553" s="82"/>
      <c r="Y1553" s="82"/>
      <c r="Z1553" s="82"/>
    </row>
    <row r="1554" spans="1:26">
      <c r="A1554" s="81"/>
      <c r="F1554" s="81"/>
      <c r="G1554" s="82"/>
      <c r="H1554" s="82"/>
      <c r="I1554" s="82"/>
      <c r="J1554" s="82"/>
      <c r="K1554" s="82"/>
      <c r="L1554" s="82"/>
      <c r="M1554" s="82"/>
      <c r="N1554" s="82"/>
      <c r="O1554" s="82"/>
      <c r="P1554" s="82"/>
      <c r="Q1554" s="82"/>
      <c r="R1554" s="82"/>
      <c r="S1554" s="82"/>
      <c r="T1554" s="82"/>
      <c r="U1554" s="82"/>
      <c r="V1554" s="82"/>
      <c r="W1554" s="82"/>
      <c r="X1554" s="82"/>
      <c r="Y1554" s="82"/>
      <c r="Z1554" s="82"/>
    </row>
    <row r="1555" spans="1:26">
      <c r="A1555" s="81"/>
      <c r="F1555" s="81"/>
      <c r="G1555" s="82"/>
      <c r="H1555" s="82"/>
      <c r="I1555" s="82"/>
      <c r="J1555" s="82"/>
      <c r="K1555" s="82"/>
      <c r="L1555" s="82"/>
      <c r="M1555" s="82"/>
      <c r="N1555" s="82"/>
      <c r="O1555" s="82"/>
      <c r="P1555" s="82"/>
      <c r="Q1555" s="82"/>
      <c r="R1555" s="82"/>
      <c r="S1555" s="82"/>
      <c r="T1555" s="82"/>
      <c r="U1555" s="82"/>
      <c r="V1555" s="82"/>
      <c r="W1555" s="82"/>
      <c r="X1555" s="82"/>
      <c r="Y1555" s="82"/>
      <c r="Z1555" s="82"/>
    </row>
    <row r="1556" spans="1:26">
      <c r="A1556" s="81"/>
      <c r="F1556" s="81"/>
      <c r="G1556" s="82"/>
      <c r="H1556" s="82"/>
      <c r="I1556" s="82"/>
      <c r="J1556" s="82"/>
      <c r="K1556" s="82"/>
      <c r="L1556" s="82"/>
      <c r="M1556" s="82"/>
      <c r="N1556" s="82"/>
      <c r="O1556" s="82"/>
      <c r="P1556" s="82"/>
      <c r="Q1556" s="82"/>
      <c r="R1556" s="82"/>
      <c r="S1556" s="82"/>
      <c r="T1556" s="82"/>
      <c r="U1556" s="82"/>
      <c r="V1556" s="82"/>
      <c r="W1556" s="82"/>
      <c r="X1556" s="82"/>
      <c r="Y1556" s="82"/>
      <c r="Z1556" s="82"/>
    </row>
    <row r="1557" spans="1:26">
      <c r="A1557" s="81"/>
      <c r="F1557" s="81"/>
      <c r="G1557" s="82"/>
      <c r="H1557" s="82"/>
      <c r="I1557" s="82"/>
      <c r="J1557" s="82"/>
      <c r="K1557" s="82"/>
      <c r="L1557" s="82"/>
      <c r="M1557" s="82"/>
      <c r="N1557" s="82"/>
      <c r="O1557" s="82"/>
      <c r="P1557" s="82"/>
      <c r="Q1557" s="82"/>
      <c r="R1557" s="82"/>
      <c r="S1557" s="82"/>
      <c r="T1557" s="82"/>
      <c r="U1557" s="82"/>
      <c r="V1557" s="82"/>
      <c r="W1557" s="82"/>
      <c r="X1557" s="82"/>
      <c r="Y1557" s="82"/>
      <c r="Z1557" s="82"/>
    </row>
    <row r="1558" spans="1:26">
      <c r="A1558" s="81"/>
      <c r="F1558" s="81"/>
      <c r="G1558" s="82"/>
      <c r="H1558" s="82"/>
      <c r="I1558" s="82"/>
      <c r="J1558" s="82"/>
      <c r="K1558" s="82"/>
      <c r="L1558" s="82"/>
      <c r="M1558" s="82"/>
      <c r="N1558" s="82"/>
      <c r="O1558" s="82"/>
      <c r="P1558" s="82"/>
      <c r="Q1558" s="82"/>
      <c r="R1558" s="82"/>
      <c r="S1558" s="82"/>
      <c r="T1558" s="82"/>
      <c r="U1558" s="82"/>
      <c r="V1558" s="82"/>
      <c r="W1558" s="82"/>
      <c r="X1558" s="82"/>
      <c r="Y1558" s="82"/>
      <c r="Z1558" s="82"/>
    </row>
    <row r="1559" spans="1:26">
      <c r="A1559" s="81"/>
      <c r="F1559" s="81"/>
      <c r="G1559" s="82"/>
      <c r="H1559" s="82"/>
      <c r="I1559" s="82"/>
      <c r="J1559" s="82"/>
      <c r="K1559" s="82"/>
      <c r="L1559" s="82"/>
      <c r="M1559" s="82"/>
      <c r="N1559" s="82"/>
      <c r="O1559" s="82"/>
      <c r="P1559" s="82"/>
      <c r="Q1559" s="82"/>
      <c r="R1559" s="82"/>
      <c r="S1559" s="82"/>
      <c r="T1559" s="82"/>
      <c r="U1559" s="82"/>
      <c r="V1559" s="82"/>
      <c r="W1559" s="82"/>
      <c r="X1559" s="82"/>
      <c r="Y1559" s="82"/>
      <c r="Z1559" s="82"/>
    </row>
    <row r="1560" spans="1:26">
      <c r="A1560" s="81"/>
      <c r="F1560" s="81"/>
      <c r="G1560" s="82"/>
      <c r="H1560" s="82"/>
      <c r="I1560" s="82"/>
      <c r="J1560" s="82"/>
      <c r="K1560" s="82"/>
      <c r="L1560" s="82"/>
      <c r="M1560" s="82"/>
      <c r="N1560" s="82"/>
      <c r="O1560" s="82"/>
      <c r="P1560" s="82"/>
      <c r="Q1560" s="82"/>
      <c r="R1560" s="82"/>
      <c r="S1560" s="82"/>
      <c r="T1560" s="82"/>
      <c r="U1560" s="82"/>
      <c r="V1560" s="82"/>
      <c r="W1560" s="82"/>
      <c r="X1560" s="82"/>
      <c r="Y1560" s="82"/>
      <c r="Z1560" s="82"/>
    </row>
    <row r="1561" spans="1:26">
      <c r="A1561" s="81"/>
      <c r="F1561" s="81"/>
      <c r="G1561" s="82"/>
      <c r="H1561" s="82"/>
      <c r="I1561" s="82"/>
      <c r="J1561" s="82"/>
      <c r="K1561" s="82"/>
      <c r="L1561" s="82"/>
      <c r="M1561" s="82"/>
      <c r="N1561" s="82"/>
      <c r="O1561" s="82"/>
      <c r="P1561" s="82"/>
      <c r="Q1561" s="82"/>
      <c r="R1561" s="82"/>
      <c r="S1561" s="82"/>
      <c r="T1561" s="82"/>
      <c r="U1561" s="82"/>
      <c r="V1561" s="82"/>
      <c r="W1561" s="82"/>
      <c r="X1561" s="82"/>
      <c r="Y1561" s="82"/>
      <c r="Z1561" s="82"/>
    </row>
    <row r="1562" spans="1:26">
      <c r="A1562" s="81"/>
      <c r="F1562" s="81"/>
      <c r="G1562" s="82"/>
      <c r="H1562" s="82"/>
      <c r="I1562" s="82"/>
      <c r="J1562" s="82"/>
      <c r="K1562" s="82"/>
      <c r="L1562" s="82"/>
      <c r="M1562" s="82"/>
      <c r="N1562" s="82"/>
      <c r="O1562" s="82"/>
      <c r="P1562" s="82"/>
      <c r="Q1562" s="82"/>
      <c r="R1562" s="82"/>
      <c r="S1562" s="82"/>
      <c r="T1562" s="82"/>
      <c r="U1562" s="82"/>
      <c r="V1562" s="82"/>
      <c r="W1562" s="82"/>
      <c r="X1562" s="82"/>
      <c r="Y1562" s="82"/>
      <c r="Z1562" s="82"/>
    </row>
    <row r="1563" spans="1:26">
      <c r="A1563" s="81"/>
      <c r="F1563" s="81"/>
      <c r="G1563" s="82"/>
      <c r="H1563" s="82"/>
      <c r="I1563" s="82"/>
      <c r="J1563" s="82"/>
      <c r="K1563" s="82"/>
      <c r="L1563" s="82"/>
      <c r="M1563" s="82"/>
      <c r="N1563" s="82"/>
      <c r="O1563" s="82"/>
      <c r="P1563" s="82"/>
      <c r="Q1563" s="82"/>
      <c r="R1563" s="82"/>
      <c r="S1563" s="82"/>
      <c r="T1563" s="82"/>
      <c r="U1563" s="82"/>
      <c r="V1563" s="82"/>
      <c r="W1563" s="82"/>
      <c r="X1563" s="82"/>
      <c r="Y1563" s="82"/>
      <c r="Z1563" s="82"/>
    </row>
    <row r="1564" spans="1:26">
      <c r="A1564" s="81"/>
      <c r="F1564" s="81"/>
      <c r="G1564" s="82"/>
      <c r="H1564" s="82"/>
      <c r="I1564" s="82"/>
      <c r="J1564" s="82"/>
      <c r="K1564" s="82"/>
      <c r="L1564" s="82"/>
      <c r="M1564" s="82"/>
      <c r="N1564" s="82"/>
      <c r="O1564" s="82"/>
      <c r="P1564" s="82"/>
      <c r="Q1564" s="82"/>
      <c r="R1564" s="82"/>
      <c r="S1564" s="82"/>
      <c r="T1564" s="82"/>
      <c r="U1564" s="82"/>
      <c r="V1564" s="82"/>
      <c r="W1564" s="82"/>
      <c r="X1564" s="82"/>
      <c r="Y1564" s="82"/>
      <c r="Z1564" s="82"/>
    </row>
    <row r="1565" spans="1:26">
      <c r="A1565" s="81"/>
      <c r="F1565" s="81"/>
      <c r="G1565" s="82"/>
      <c r="H1565" s="82"/>
      <c r="I1565" s="82"/>
      <c r="J1565" s="82"/>
      <c r="K1565" s="82"/>
      <c r="L1565" s="82"/>
      <c r="M1565" s="82"/>
      <c r="N1565" s="82"/>
      <c r="O1565" s="82"/>
      <c r="P1565" s="82"/>
      <c r="Q1565" s="82"/>
      <c r="R1565" s="82"/>
      <c r="S1565" s="82"/>
      <c r="T1565" s="82"/>
      <c r="U1565" s="82"/>
      <c r="V1565" s="82"/>
      <c r="W1565" s="82"/>
      <c r="X1565" s="82"/>
      <c r="Y1565" s="82"/>
      <c r="Z1565" s="82"/>
    </row>
    <row r="1566" spans="1:26">
      <c r="A1566" s="81"/>
      <c r="F1566" s="81"/>
      <c r="G1566" s="82"/>
      <c r="H1566" s="82"/>
      <c r="I1566" s="82"/>
      <c r="J1566" s="82"/>
      <c r="K1566" s="82"/>
      <c r="L1566" s="82"/>
      <c r="M1566" s="82"/>
      <c r="N1566" s="82"/>
      <c r="O1566" s="82"/>
      <c r="P1566" s="82"/>
      <c r="Q1566" s="82"/>
      <c r="R1566" s="82"/>
      <c r="S1566" s="82"/>
      <c r="T1566" s="82"/>
      <c r="U1566" s="82"/>
      <c r="V1566" s="82"/>
      <c r="W1566" s="82"/>
      <c r="X1566" s="82"/>
      <c r="Y1566" s="82"/>
      <c r="Z1566" s="82"/>
    </row>
    <row r="1567" spans="1:26">
      <c r="A1567" s="81"/>
      <c r="F1567" s="81"/>
      <c r="G1567" s="82"/>
      <c r="H1567" s="82"/>
      <c r="I1567" s="82"/>
      <c r="J1567" s="82"/>
      <c r="K1567" s="82"/>
      <c r="L1567" s="82"/>
      <c r="M1567" s="82"/>
      <c r="N1567" s="82"/>
      <c r="O1567" s="82"/>
      <c r="P1567" s="82"/>
      <c r="Q1567" s="82"/>
      <c r="R1567" s="82"/>
      <c r="S1567" s="82"/>
      <c r="T1567" s="82"/>
      <c r="U1567" s="82"/>
      <c r="V1567" s="82"/>
      <c r="W1567" s="82"/>
      <c r="X1567" s="82"/>
      <c r="Y1567" s="82"/>
      <c r="Z1567" s="82"/>
    </row>
    <row r="1568" spans="1:26">
      <c r="A1568" s="81"/>
      <c r="F1568" s="81"/>
      <c r="G1568" s="82"/>
      <c r="H1568" s="82"/>
      <c r="I1568" s="82"/>
      <c r="J1568" s="82"/>
      <c r="K1568" s="82"/>
      <c r="L1568" s="82"/>
      <c r="M1568" s="82"/>
      <c r="N1568" s="82"/>
      <c r="O1568" s="82"/>
      <c r="P1568" s="82"/>
      <c r="Q1568" s="82"/>
      <c r="R1568" s="82"/>
      <c r="S1568" s="82"/>
      <c r="T1568" s="82"/>
      <c r="U1568" s="82"/>
      <c r="V1568" s="82"/>
      <c r="W1568" s="82"/>
      <c r="X1568" s="82"/>
      <c r="Y1568" s="82"/>
      <c r="Z1568" s="82"/>
    </row>
    <row r="1569" spans="1:26">
      <c r="A1569" s="81"/>
      <c r="F1569" s="81"/>
      <c r="G1569" s="82"/>
      <c r="H1569" s="82"/>
      <c r="I1569" s="82"/>
      <c r="J1569" s="82"/>
      <c r="K1569" s="82"/>
      <c r="L1569" s="82"/>
      <c r="M1569" s="82"/>
      <c r="N1569" s="82"/>
      <c r="O1569" s="82"/>
      <c r="P1569" s="82"/>
      <c r="Q1569" s="82"/>
      <c r="R1569" s="82"/>
      <c r="S1569" s="82"/>
      <c r="T1569" s="82"/>
      <c r="U1569" s="82"/>
      <c r="V1569" s="82"/>
      <c r="W1569" s="82"/>
      <c r="X1569" s="82"/>
      <c r="Y1569" s="82"/>
      <c r="Z1569" s="82"/>
    </row>
    <row r="1570" spans="1:26">
      <c r="A1570" s="81"/>
      <c r="F1570" s="81"/>
      <c r="G1570" s="82"/>
      <c r="H1570" s="82"/>
      <c r="I1570" s="82"/>
      <c r="J1570" s="82"/>
      <c r="K1570" s="82"/>
      <c r="L1570" s="82"/>
      <c r="M1570" s="82"/>
      <c r="N1570" s="82"/>
      <c r="O1570" s="82"/>
      <c r="P1570" s="82"/>
      <c r="Q1570" s="82"/>
      <c r="R1570" s="82"/>
      <c r="S1570" s="82"/>
      <c r="T1570" s="82"/>
      <c r="U1570" s="82"/>
      <c r="V1570" s="82"/>
      <c r="W1570" s="82"/>
      <c r="X1570" s="82"/>
      <c r="Y1570" s="82"/>
      <c r="Z1570" s="82"/>
    </row>
    <row r="1571" spans="1:26">
      <c r="A1571" s="81"/>
      <c r="F1571" s="81"/>
      <c r="G1571" s="82"/>
      <c r="H1571" s="82"/>
      <c r="I1571" s="82"/>
      <c r="J1571" s="82"/>
      <c r="K1571" s="82"/>
      <c r="L1571" s="82"/>
      <c r="M1571" s="82"/>
      <c r="N1571" s="82"/>
      <c r="O1571" s="82"/>
      <c r="P1571" s="82"/>
      <c r="Q1571" s="82"/>
      <c r="R1571" s="82"/>
      <c r="S1571" s="82"/>
      <c r="T1571" s="82"/>
      <c r="U1571" s="82"/>
      <c r="V1571" s="82"/>
      <c r="W1571" s="82"/>
      <c r="X1571" s="82"/>
      <c r="Y1571" s="82"/>
      <c r="Z1571" s="82"/>
    </row>
    <row r="1572" spans="1:26">
      <c r="A1572" s="81"/>
      <c r="F1572" s="81"/>
      <c r="G1572" s="82"/>
      <c r="H1572" s="82"/>
      <c r="I1572" s="82"/>
      <c r="J1572" s="82"/>
      <c r="K1572" s="82"/>
      <c r="L1572" s="82"/>
      <c r="M1572" s="82"/>
      <c r="N1572" s="82"/>
      <c r="O1572" s="82"/>
      <c r="P1572" s="82"/>
      <c r="Q1572" s="82"/>
      <c r="R1572" s="82"/>
      <c r="S1572" s="82"/>
      <c r="T1572" s="82"/>
      <c r="U1572" s="82"/>
      <c r="V1572" s="82"/>
      <c r="W1572" s="82"/>
      <c r="X1572" s="82"/>
      <c r="Y1572" s="82"/>
      <c r="Z1572" s="82"/>
    </row>
    <row r="1573" spans="1:26">
      <c r="A1573" s="81"/>
      <c r="F1573" s="81"/>
      <c r="G1573" s="82"/>
      <c r="H1573" s="82"/>
      <c r="I1573" s="82"/>
      <c r="J1573" s="82"/>
      <c r="K1573" s="82"/>
      <c r="L1573" s="82"/>
      <c r="M1573" s="82"/>
      <c r="N1573" s="82"/>
      <c r="O1573" s="82"/>
      <c r="P1573" s="82"/>
      <c r="Q1573" s="82"/>
      <c r="R1573" s="82"/>
      <c r="S1573" s="82"/>
      <c r="T1573" s="82"/>
      <c r="U1573" s="82"/>
      <c r="V1573" s="82"/>
      <c r="W1573" s="82"/>
      <c r="X1573" s="82"/>
      <c r="Y1573" s="82"/>
      <c r="Z1573" s="82"/>
    </row>
    <row r="1574" spans="1:26">
      <c r="A1574" s="81"/>
      <c r="F1574" s="81"/>
      <c r="G1574" s="82"/>
      <c r="H1574" s="82"/>
      <c r="I1574" s="82"/>
      <c r="J1574" s="82"/>
      <c r="K1574" s="82"/>
      <c r="L1574" s="82"/>
      <c r="M1574" s="82"/>
      <c r="N1574" s="82"/>
      <c r="O1574" s="82"/>
      <c r="P1574" s="82"/>
      <c r="Q1574" s="82"/>
      <c r="R1574" s="82"/>
      <c r="S1574" s="82"/>
      <c r="T1574" s="82"/>
      <c r="U1574" s="82"/>
      <c r="V1574" s="82"/>
      <c r="W1574" s="82"/>
      <c r="X1574" s="82"/>
      <c r="Y1574" s="82"/>
      <c r="Z1574" s="82"/>
    </row>
    <row r="1575" spans="1:26">
      <c r="A1575" s="81"/>
      <c r="F1575" s="81"/>
      <c r="G1575" s="82"/>
      <c r="H1575" s="82"/>
      <c r="I1575" s="82"/>
      <c r="J1575" s="82"/>
      <c r="K1575" s="82"/>
      <c r="L1575" s="82"/>
      <c r="M1575" s="82"/>
      <c r="N1575" s="82"/>
      <c r="O1575" s="82"/>
      <c r="P1575" s="82"/>
      <c r="Q1575" s="82"/>
      <c r="R1575" s="82"/>
      <c r="S1575" s="82"/>
      <c r="T1575" s="82"/>
      <c r="U1575" s="82"/>
      <c r="V1575" s="82"/>
      <c r="W1575" s="82"/>
      <c r="X1575" s="82"/>
      <c r="Y1575" s="82"/>
      <c r="Z1575" s="82"/>
    </row>
    <row r="1576" spans="1:26">
      <c r="A1576" s="81"/>
      <c r="F1576" s="81"/>
      <c r="G1576" s="82"/>
      <c r="H1576" s="82"/>
      <c r="I1576" s="82"/>
      <c r="J1576" s="82"/>
      <c r="K1576" s="82"/>
      <c r="L1576" s="82"/>
      <c r="M1576" s="82"/>
      <c r="N1576" s="82"/>
      <c r="O1576" s="82"/>
      <c r="P1576" s="82"/>
      <c r="Q1576" s="82"/>
      <c r="R1576" s="82"/>
      <c r="S1576" s="82"/>
      <c r="T1576" s="82"/>
      <c r="U1576" s="82"/>
      <c r="V1576" s="82"/>
      <c r="W1576" s="82"/>
      <c r="X1576" s="82"/>
      <c r="Y1576" s="82"/>
      <c r="Z1576" s="82"/>
    </row>
    <row r="1577" spans="1:26">
      <c r="A1577" s="81"/>
      <c r="F1577" s="81"/>
      <c r="G1577" s="82"/>
      <c r="H1577" s="82"/>
      <c r="I1577" s="82"/>
      <c r="J1577" s="82"/>
      <c r="K1577" s="82"/>
      <c r="L1577" s="82"/>
      <c r="M1577" s="82"/>
      <c r="N1577" s="82"/>
      <c r="O1577" s="82"/>
      <c r="P1577" s="82"/>
      <c r="Q1577" s="82"/>
      <c r="R1577" s="82"/>
      <c r="S1577" s="82"/>
      <c r="T1577" s="82"/>
      <c r="U1577" s="82"/>
      <c r="V1577" s="82"/>
      <c r="W1577" s="82"/>
      <c r="X1577" s="82"/>
      <c r="Y1577" s="82"/>
      <c r="Z1577" s="82"/>
    </row>
    <row r="1578" spans="1:26">
      <c r="A1578" s="81"/>
      <c r="F1578" s="81"/>
      <c r="G1578" s="82"/>
      <c r="H1578" s="82"/>
      <c r="I1578" s="82"/>
      <c r="J1578" s="82"/>
      <c r="K1578" s="82"/>
      <c r="L1578" s="82"/>
      <c r="M1578" s="82"/>
      <c r="N1578" s="82"/>
      <c r="O1578" s="82"/>
      <c r="P1578" s="82"/>
      <c r="Q1578" s="82"/>
      <c r="R1578" s="82"/>
      <c r="S1578" s="82"/>
      <c r="T1578" s="82"/>
      <c r="U1578" s="82"/>
      <c r="V1578" s="82"/>
      <c r="W1578" s="82"/>
      <c r="X1578" s="82"/>
      <c r="Y1578" s="82"/>
      <c r="Z1578" s="82"/>
    </row>
    <row r="1579" spans="1:26">
      <c r="A1579" s="81"/>
      <c r="F1579" s="81"/>
      <c r="G1579" s="82"/>
      <c r="H1579" s="82"/>
      <c r="I1579" s="82"/>
      <c r="J1579" s="82"/>
      <c r="K1579" s="82"/>
      <c r="L1579" s="82"/>
      <c r="M1579" s="82"/>
      <c r="N1579" s="82"/>
      <c r="O1579" s="82"/>
      <c r="P1579" s="82"/>
      <c r="Q1579" s="82"/>
      <c r="R1579" s="82"/>
      <c r="S1579" s="82"/>
      <c r="T1579" s="82"/>
      <c r="U1579" s="82"/>
      <c r="V1579" s="82"/>
      <c r="W1579" s="82"/>
      <c r="X1579" s="82"/>
      <c r="Y1579" s="82"/>
      <c r="Z1579" s="82"/>
    </row>
    <row r="1580" spans="1:26">
      <c r="A1580" s="81"/>
      <c r="F1580" s="81"/>
      <c r="G1580" s="82"/>
      <c r="H1580" s="82"/>
      <c r="I1580" s="82"/>
      <c r="J1580" s="82"/>
      <c r="K1580" s="82"/>
      <c r="L1580" s="82"/>
      <c r="M1580" s="82"/>
      <c r="N1580" s="82"/>
      <c r="O1580" s="82"/>
      <c r="P1580" s="82"/>
      <c r="Q1580" s="82"/>
      <c r="R1580" s="82"/>
      <c r="S1580" s="82"/>
      <c r="T1580" s="82"/>
      <c r="U1580" s="82"/>
      <c r="V1580" s="82"/>
      <c r="W1580" s="82"/>
      <c r="X1580" s="82"/>
      <c r="Y1580" s="82"/>
      <c r="Z1580" s="82"/>
    </row>
    <row r="1581" spans="1:26">
      <c r="A1581" s="81"/>
      <c r="F1581" s="81"/>
      <c r="G1581" s="82"/>
      <c r="H1581" s="82"/>
      <c r="I1581" s="82"/>
      <c r="J1581" s="82"/>
      <c r="K1581" s="82"/>
      <c r="L1581" s="82"/>
      <c r="M1581" s="82"/>
      <c r="N1581" s="82"/>
      <c r="O1581" s="82"/>
      <c r="P1581" s="82"/>
      <c r="Q1581" s="82"/>
      <c r="R1581" s="82"/>
      <c r="S1581" s="82"/>
      <c r="T1581" s="82"/>
      <c r="U1581" s="82"/>
      <c r="V1581" s="82"/>
      <c r="W1581" s="82"/>
      <c r="X1581" s="82"/>
      <c r="Y1581" s="82"/>
      <c r="Z1581" s="82"/>
    </row>
    <row r="1582" spans="1:26">
      <c r="A1582" s="81"/>
      <c r="F1582" s="81"/>
      <c r="G1582" s="82"/>
      <c r="H1582" s="82"/>
      <c r="I1582" s="82"/>
      <c r="J1582" s="82"/>
      <c r="K1582" s="82"/>
      <c r="L1582" s="82"/>
      <c r="M1582" s="82"/>
      <c r="N1582" s="82"/>
      <c r="O1582" s="82"/>
      <c r="P1582" s="82"/>
      <c r="Q1582" s="82"/>
      <c r="R1582" s="82"/>
      <c r="S1582" s="82"/>
      <c r="T1582" s="82"/>
      <c r="U1582" s="82"/>
      <c r="V1582" s="82"/>
      <c r="W1582" s="82"/>
      <c r="X1582" s="82"/>
      <c r="Y1582" s="82"/>
      <c r="Z1582" s="82"/>
    </row>
    <row r="1583" spans="1:26">
      <c r="A1583" s="81"/>
      <c r="F1583" s="81"/>
      <c r="G1583" s="82"/>
      <c r="H1583" s="82"/>
      <c r="I1583" s="82"/>
      <c r="J1583" s="82"/>
      <c r="K1583" s="82"/>
      <c r="L1583" s="82"/>
      <c r="M1583" s="82"/>
      <c r="N1583" s="82"/>
      <c r="O1583" s="82"/>
      <c r="P1583" s="82"/>
      <c r="Q1583" s="82"/>
      <c r="R1583" s="82"/>
      <c r="S1583" s="82"/>
      <c r="T1583" s="82"/>
      <c r="U1583" s="82"/>
      <c r="V1583" s="82"/>
      <c r="W1583" s="82"/>
      <c r="X1583" s="82"/>
      <c r="Y1583" s="82"/>
      <c r="Z1583" s="82"/>
    </row>
    <row r="1584" spans="1:26">
      <c r="A1584" s="81"/>
      <c r="F1584" s="81"/>
      <c r="G1584" s="82"/>
      <c r="H1584" s="82"/>
      <c r="I1584" s="82"/>
      <c r="J1584" s="82"/>
      <c r="K1584" s="82"/>
      <c r="L1584" s="82"/>
      <c r="M1584" s="82"/>
      <c r="N1584" s="82"/>
      <c r="O1584" s="82"/>
      <c r="P1584" s="82"/>
      <c r="Q1584" s="82"/>
      <c r="R1584" s="82"/>
      <c r="S1584" s="82"/>
      <c r="T1584" s="82"/>
      <c r="U1584" s="82"/>
      <c r="V1584" s="82"/>
      <c r="W1584" s="82"/>
      <c r="X1584" s="82"/>
      <c r="Y1584" s="82"/>
      <c r="Z1584" s="82"/>
    </row>
    <row r="1585" spans="1:26">
      <c r="A1585" s="81"/>
      <c r="F1585" s="81"/>
      <c r="G1585" s="82"/>
      <c r="H1585" s="82"/>
      <c r="I1585" s="82"/>
      <c r="J1585" s="82"/>
      <c r="K1585" s="82"/>
      <c r="L1585" s="82"/>
      <c r="M1585" s="82"/>
      <c r="N1585" s="82"/>
      <c r="O1585" s="82"/>
      <c r="P1585" s="82"/>
      <c r="Q1585" s="82"/>
      <c r="R1585" s="82"/>
      <c r="S1585" s="82"/>
      <c r="T1585" s="82"/>
      <c r="U1585" s="82"/>
      <c r="V1585" s="82"/>
      <c r="W1585" s="82"/>
      <c r="X1585" s="82"/>
      <c r="Y1585" s="82"/>
      <c r="Z1585" s="82"/>
    </row>
    <row r="1586" spans="1:26">
      <c r="A1586" s="81"/>
      <c r="F1586" s="81"/>
      <c r="G1586" s="82"/>
      <c r="H1586" s="82"/>
      <c r="I1586" s="82"/>
      <c r="J1586" s="82"/>
      <c r="K1586" s="82"/>
      <c r="L1586" s="82"/>
      <c r="M1586" s="82"/>
      <c r="N1586" s="82"/>
      <c r="O1586" s="82"/>
      <c r="P1586" s="82"/>
      <c r="Q1586" s="82"/>
      <c r="R1586" s="82"/>
      <c r="S1586" s="82"/>
      <c r="T1586" s="82"/>
      <c r="U1586" s="82"/>
      <c r="V1586" s="82"/>
      <c r="W1586" s="82"/>
      <c r="X1586" s="82"/>
      <c r="Y1586" s="82"/>
      <c r="Z1586" s="82"/>
    </row>
    <row r="1587" spans="1:26">
      <c r="A1587" s="81"/>
      <c r="F1587" s="81"/>
      <c r="G1587" s="82"/>
      <c r="H1587" s="82"/>
      <c r="I1587" s="82"/>
      <c r="J1587" s="82"/>
      <c r="K1587" s="82"/>
      <c r="L1587" s="82"/>
      <c r="M1587" s="82"/>
      <c r="N1587" s="82"/>
      <c r="O1587" s="82"/>
      <c r="P1587" s="82"/>
      <c r="Q1587" s="82"/>
      <c r="R1587" s="82"/>
      <c r="S1587" s="82"/>
      <c r="T1587" s="82"/>
      <c r="U1587" s="82"/>
      <c r="V1587" s="82"/>
      <c r="W1587" s="82"/>
      <c r="X1587" s="82"/>
      <c r="Y1587" s="82"/>
      <c r="Z1587" s="82"/>
    </row>
    <row r="1588" spans="1:26">
      <c r="A1588" s="81"/>
      <c r="F1588" s="81"/>
      <c r="G1588" s="82"/>
      <c r="H1588" s="82"/>
      <c r="I1588" s="82"/>
      <c r="J1588" s="82"/>
      <c r="K1588" s="82"/>
      <c r="L1588" s="82"/>
      <c r="M1588" s="82"/>
      <c r="N1588" s="82"/>
      <c r="O1588" s="82"/>
      <c r="P1588" s="82"/>
      <c r="Q1588" s="82"/>
      <c r="R1588" s="82"/>
      <c r="S1588" s="82"/>
      <c r="T1588" s="82"/>
      <c r="U1588" s="82"/>
      <c r="V1588" s="82"/>
      <c r="W1588" s="82"/>
      <c r="X1588" s="82"/>
      <c r="Y1588" s="82"/>
      <c r="Z1588" s="82"/>
    </row>
    <row r="1589" spans="1:26">
      <c r="A1589" s="81"/>
      <c r="F1589" s="81"/>
      <c r="G1589" s="82"/>
      <c r="H1589" s="82"/>
      <c r="I1589" s="82"/>
      <c r="J1589" s="82"/>
      <c r="K1589" s="82"/>
      <c r="L1589" s="82"/>
      <c r="M1589" s="82"/>
      <c r="N1589" s="82"/>
      <c r="O1589" s="82"/>
      <c r="P1589" s="82"/>
      <c r="Q1589" s="82"/>
      <c r="R1589" s="82"/>
      <c r="S1589" s="82"/>
      <c r="T1589" s="82"/>
      <c r="U1589" s="82"/>
      <c r="V1589" s="82"/>
      <c r="W1589" s="82"/>
      <c r="X1589" s="82"/>
      <c r="Y1589" s="82"/>
      <c r="Z1589" s="82"/>
    </row>
    <row r="1590" spans="1:26">
      <c r="A1590" s="81"/>
      <c r="F1590" s="81"/>
      <c r="G1590" s="82"/>
      <c r="H1590" s="82"/>
      <c r="I1590" s="82"/>
      <c r="J1590" s="82"/>
      <c r="K1590" s="82"/>
      <c r="L1590" s="82"/>
      <c r="M1590" s="82"/>
      <c r="N1590" s="82"/>
      <c r="O1590" s="82"/>
      <c r="P1590" s="82"/>
      <c r="Q1590" s="82"/>
      <c r="R1590" s="82"/>
      <c r="S1590" s="82"/>
      <c r="T1590" s="82"/>
      <c r="U1590" s="82"/>
      <c r="V1590" s="82"/>
      <c r="W1590" s="82"/>
      <c r="X1590" s="82"/>
      <c r="Y1590" s="82"/>
      <c r="Z1590" s="82"/>
    </row>
    <row r="1591" spans="1:26">
      <c r="A1591" s="81"/>
      <c r="F1591" s="81"/>
      <c r="G1591" s="82"/>
      <c r="H1591" s="82"/>
      <c r="I1591" s="82"/>
      <c r="J1591" s="82"/>
      <c r="K1591" s="82"/>
      <c r="L1591" s="82"/>
      <c r="M1591" s="82"/>
      <c r="N1591" s="82"/>
      <c r="O1591" s="82"/>
      <c r="P1591" s="82"/>
      <c r="Q1591" s="82"/>
      <c r="R1591" s="82"/>
      <c r="S1591" s="82"/>
      <c r="T1591" s="82"/>
      <c r="U1591" s="82"/>
      <c r="V1591" s="82"/>
      <c r="W1591" s="82"/>
      <c r="X1591" s="82"/>
      <c r="Y1591" s="82"/>
      <c r="Z1591" s="82"/>
    </row>
    <row r="1592" spans="1:26">
      <c r="A1592" s="81"/>
      <c r="F1592" s="81"/>
      <c r="G1592" s="82"/>
      <c r="H1592" s="82"/>
      <c r="I1592" s="82"/>
      <c r="J1592" s="82"/>
      <c r="K1592" s="82"/>
      <c r="L1592" s="82"/>
      <c r="M1592" s="82"/>
      <c r="N1592" s="82"/>
      <c r="O1592" s="82"/>
      <c r="P1592" s="82"/>
      <c r="Q1592" s="82"/>
      <c r="R1592" s="82"/>
      <c r="S1592" s="82"/>
      <c r="T1592" s="82"/>
      <c r="U1592" s="82"/>
      <c r="V1592" s="82"/>
      <c r="W1592" s="82"/>
      <c r="X1592" s="82"/>
      <c r="Y1592" s="82"/>
      <c r="Z1592" s="82"/>
    </row>
    <row r="1593" spans="1:26">
      <c r="A1593" s="81"/>
      <c r="F1593" s="81"/>
      <c r="G1593" s="82"/>
      <c r="H1593" s="82"/>
      <c r="I1593" s="82"/>
      <c r="J1593" s="82"/>
      <c r="K1593" s="82"/>
      <c r="L1593" s="82"/>
      <c r="M1593" s="82"/>
      <c r="N1593" s="82"/>
      <c r="O1593" s="82"/>
      <c r="P1593" s="82"/>
      <c r="Q1593" s="82"/>
      <c r="R1593" s="82"/>
      <c r="S1593" s="82"/>
      <c r="T1593" s="82"/>
      <c r="U1593" s="82"/>
      <c r="V1593" s="82"/>
      <c r="W1593" s="82"/>
      <c r="X1593" s="82"/>
      <c r="Y1593" s="82"/>
      <c r="Z1593" s="82"/>
    </row>
    <row r="1594" spans="1:26">
      <c r="A1594" s="81"/>
      <c r="F1594" s="81"/>
      <c r="G1594" s="82"/>
      <c r="H1594" s="82"/>
      <c r="I1594" s="82"/>
      <c r="J1594" s="82"/>
      <c r="K1594" s="82"/>
      <c r="L1594" s="82"/>
      <c r="M1594" s="82"/>
      <c r="N1594" s="82"/>
      <c r="O1594" s="82"/>
      <c r="P1594" s="82"/>
      <c r="Q1594" s="82"/>
      <c r="R1594" s="82"/>
      <c r="S1594" s="82"/>
      <c r="T1594" s="82"/>
      <c r="U1594" s="82"/>
      <c r="V1594" s="82"/>
      <c r="W1594" s="82"/>
      <c r="X1594" s="82"/>
      <c r="Y1594" s="82"/>
      <c r="Z1594" s="82"/>
    </row>
    <row r="1595" spans="1:26">
      <c r="A1595" s="81"/>
      <c r="F1595" s="81"/>
      <c r="G1595" s="82"/>
      <c r="H1595" s="82"/>
      <c r="I1595" s="82"/>
      <c r="J1595" s="82"/>
      <c r="K1595" s="82"/>
      <c r="L1595" s="82"/>
      <c r="M1595" s="82"/>
      <c r="N1595" s="82"/>
      <c r="O1595" s="82"/>
      <c r="P1595" s="82"/>
      <c r="Q1595" s="82"/>
      <c r="R1595" s="82"/>
      <c r="S1595" s="82"/>
      <c r="T1595" s="82"/>
      <c r="U1595" s="82"/>
      <c r="V1595" s="82"/>
      <c r="W1595" s="82"/>
      <c r="X1595" s="82"/>
      <c r="Y1595" s="82"/>
      <c r="Z1595" s="82"/>
    </row>
    <row r="1596" spans="1:26">
      <c r="A1596" s="81"/>
      <c r="F1596" s="81"/>
      <c r="G1596" s="82"/>
      <c r="H1596" s="82"/>
      <c r="I1596" s="82"/>
      <c r="J1596" s="82"/>
      <c r="K1596" s="82"/>
      <c r="L1596" s="82"/>
      <c r="M1596" s="82"/>
      <c r="N1596" s="82"/>
      <c r="O1596" s="82"/>
      <c r="P1596" s="82"/>
      <c r="Q1596" s="82"/>
      <c r="R1596" s="82"/>
      <c r="S1596" s="82"/>
      <c r="T1596" s="82"/>
      <c r="U1596" s="82"/>
      <c r="V1596" s="82"/>
      <c r="W1596" s="82"/>
      <c r="X1596" s="82"/>
      <c r="Y1596" s="82"/>
      <c r="Z1596" s="82"/>
    </row>
    <row r="1597" spans="1:26">
      <c r="A1597" s="81"/>
      <c r="F1597" s="81"/>
      <c r="G1597" s="82"/>
      <c r="H1597" s="82"/>
      <c r="I1597" s="82"/>
      <c r="J1597" s="82"/>
      <c r="K1597" s="82"/>
      <c r="L1597" s="82"/>
      <c r="M1597" s="82"/>
      <c r="N1597" s="82"/>
      <c r="O1597" s="82"/>
      <c r="P1597" s="82"/>
      <c r="Q1597" s="82"/>
      <c r="R1597" s="82"/>
      <c r="S1597" s="82"/>
      <c r="T1597" s="82"/>
      <c r="U1597" s="82"/>
      <c r="V1597" s="82"/>
      <c r="W1597" s="82"/>
      <c r="X1597" s="82"/>
      <c r="Y1597" s="82"/>
      <c r="Z1597" s="82"/>
    </row>
    <row r="1598" spans="1:26">
      <c r="A1598" s="81"/>
      <c r="F1598" s="81"/>
      <c r="G1598" s="82"/>
      <c r="H1598" s="82"/>
      <c r="I1598" s="82"/>
      <c r="J1598" s="82"/>
      <c r="K1598" s="82"/>
      <c r="L1598" s="82"/>
      <c r="M1598" s="82"/>
      <c r="N1598" s="82"/>
      <c r="O1598" s="82"/>
      <c r="P1598" s="82"/>
      <c r="Q1598" s="82"/>
      <c r="R1598" s="82"/>
      <c r="S1598" s="82"/>
      <c r="T1598" s="82"/>
      <c r="U1598" s="82"/>
      <c r="V1598" s="82"/>
      <c r="W1598" s="82"/>
      <c r="X1598" s="82"/>
      <c r="Y1598" s="82"/>
      <c r="Z1598" s="82"/>
    </row>
    <row r="1599" spans="1:26">
      <c r="A1599" s="81"/>
      <c r="F1599" s="81"/>
      <c r="G1599" s="82"/>
      <c r="H1599" s="82"/>
      <c r="I1599" s="82"/>
      <c r="J1599" s="82"/>
      <c r="K1599" s="82"/>
      <c r="L1599" s="82"/>
      <c r="M1599" s="82"/>
      <c r="N1599" s="82"/>
      <c r="O1599" s="82"/>
      <c r="P1599" s="82"/>
      <c r="Q1599" s="82"/>
      <c r="R1599" s="82"/>
      <c r="S1599" s="82"/>
      <c r="T1599" s="82"/>
      <c r="U1599" s="82"/>
      <c r="V1599" s="82"/>
      <c r="W1599" s="82"/>
      <c r="X1599" s="82"/>
      <c r="Y1599" s="82"/>
      <c r="Z1599" s="82"/>
    </row>
    <row r="1600" spans="1:26">
      <c r="A1600" s="81"/>
      <c r="F1600" s="81"/>
      <c r="G1600" s="82"/>
      <c r="H1600" s="82"/>
      <c r="I1600" s="82"/>
      <c r="J1600" s="82"/>
      <c r="K1600" s="82"/>
      <c r="L1600" s="82"/>
      <c r="M1600" s="82"/>
      <c r="N1600" s="82"/>
      <c r="O1600" s="82"/>
      <c r="P1600" s="82"/>
      <c r="Q1600" s="82"/>
      <c r="R1600" s="82"/>
      <c r="S1600" s="82"/>
      <c r="T1600" s="82"/>
      <c r="U1600" s="82"/>
      <c r="V1600" s="82"/>
      <c r="W1600" s="82"/>
      <c r="X1600" s="82"/>
      <c r="Y1600" s="82"/>
      <c r="Z1600" s="82"/>
    </row>
    <row r="1601" spans="1:26">
      <c r="A1601" s="81"/>
      <c r="F1601" s="81"/>
      <c r="G1601" s="82"/>
      <c r="H1601" s="82"/>
      <c r="I1601" s="82"/>
      <c r="J1601" s="82"/>
      <c r="K1601" s="82"/>
      <c r="L1601" s="82"/>
      <c r="M1601" s="82"/>
      <c r="N1601" s="82"/>
      <c r="O1601" s="82"/>
      <c r="P1601" s="82"/>
      <c r="Q1601" s="82"/>
      <c r="R1601" s="82"/>
      <c r="S1601" s="82"/>
      <c r="T1601" s="82"/>
      <c r="U1601" s="82"/>
      <c r="V1601" s="82"/>
      <c r="W1601" s="82"/>
      <c r="X1601" s="82"/>
      <c r="Y1601" s="82"/>
      <c r="Z1601" s="82"/>
    </row>
    <row r="1602" spans="1:26">
      <c r="A1602" s="81"/>
      <c r="F1602" s="81"/>
      <c r="G1602" s="82"/>
      <c r="H1602" s="82"/>
      <c r="I1602" s="82"/>
      <c r="J1602" s="82"/>
      <c r="K1602" s="82"/>
      <c r="L1602" s="82"/>
      <c r="M1602" s="82"/>
      <c r="N1602" s="82"/>
      <c r="O1602" s="82"/>
      <c r="P1602" s="82"/>
      <c r="Q1602" s="82"/>
      <c r="R1602" s="82"/>
      <c r="S1602" s="82"/>
      <c r="T1602" s="82"/>
      <c r="U1602" s="82"/>
      <c r="V1602" s="82"/>
      <c r="W1602" s="82"/>
      <c r="X1602" s="82"/>
      <c r="Y1602" s="82"/>
      <c r="Z1602" s="82"/>
    </row>
    <row r="1603" spans="1:26">
      <c r="A1603" s="81"/>
      <c r="F1603" s="81"/>
      <c r="G1603" s="82"/>
      <c r="H1603" s="82"/>
      <c r="I1603" s="82"/>
      <c r="J1603" s="82"/>
      <c r="K1603" s="82"/>
      <c r="L1603" s="82"/>
      <c r="M1603" s="82"/>
      <c r="N1603" s="82"/>
      <c r="O1603" s="82"/>
      <c r="P1603" s="82"/>
      <c r="Q1603" s="82"/>
      <c r="R1603" s="82"/>
      <c r="S1603" s="82"/>
      <c r="T1603" s="82"/>
      <c r="U1603" s="82"/>
      <c r="V1603" s="82"/>
      <c r="W1603" s="82"/>
      <c r="X1603" s="82"/>
      <c r="Y1603" s="82"/>
      <c r="Z1603" s="82"/>
    </row>
    <row r="1604" spans="1:26">
      <c r="A1604" s="81"/>
      <c r="F1604" s="81"/>
      <c r="G1604" s="82"/>
      <c r="H1604" s="82"/>
      <c r="I1604" s="82"/>
      <c r="J1604" s="82"/>
      <c r="K1604" s="82"/>
      <c r="L1604" s="82"/>
      <c r="M1604" s="82"/>
      <c r="N1604" s="82"/>
      <c r="O1604" s="82"/>
      <c r="P1604" s="82"/>
      <c r="Q1604" s="82"/>
      <c r="R1604" s="82"/>
      <c r="S1604" s="82"/>
      <c r="T1604" s="82"/>
      <c r="U1604" s="82"/>
      <c r="V1604" s="82"/>
      <c r="W1604" s="82"/>
      <c r="X1604" s="82"/>
      <c r="Y1604" s="82"/>
      <c r="Z1604" s="82"/>
    </row>
    <row r="1605" spans="1:26">
      <c r="A1605" s="81"/>
      <c r="F1605" s="81"/>
      <c r="G1605" s="82"/>
      <c r="H1605" s="82"/>
      <c r="I1605" s="82"/>
      <c r="J1605" s="82"/>
      <c r="K1605" s="82"/>
      <c r="L1605" s="82"/>
      <c r="M1605" s="82"/>
      <c r="N1605" s="82"/>
      <c r="O1605" s="82"/>
      <c r="P1605" s="82"/>
      <c r="Q1605" s="82"/>
      <c r="R1605" s="82"/>
      <c r="S1605" s="82"/>
      <c r="T1605" s="82"/>
      <c r="U1605" s="82"/>
      <c r="V1605" s="82"/>
      <c r="W1605" s="82"/>
      <c r="X1605" s="82"/>
      <c r="Y1605" s="82"/>
      <c r="Z1605" s="82"/>
    </row>
    <row r="1606" spans="1:26">
      <c r="A1606" s="81"/>
      <c r="F1606" s="81"/>
      <c r="G1606" s="82"/>
      <c r="H1606" s="82"/>
      <c r="I1606" s="82"/>
      <c r="J1606" s="82"/>
      <c r="K1606" s="82"/>
      <c r="L1606" s="82"/>
      <c r="M1606" s="82"/>
      <c r="N1606" s="82"/>
      <c r="O1606" s="82"/>
      <c r="P1606" s="82"/>
      <c r="Q1606" s="82"/>
      <c r="R1606" s="82"/>
      <c r="S1606" s="82"/>
      <c r="T1606" s="82"/>
      <c r="U1606" s="82"/>
      <c r="V1606" s="82"/>
      <c r="W1606" s="82"/>
      <c r="X1606" s="82"/>
      <c r="Y1606" s="82"/>
      <c r="Z1606" s="82"/>
    </row>
    <row r="1607" spans="1:26">
      <c r="A1607" s="81"/>
      <c r="F1607" s="81"/>
      <c r="G1607" s="82"/>
      <c r="H1607" s="82"/>
      <c r="I1607" s="82"/>
      <c r="J1607" s="82"/>
      <c r="K1607" s="82"/>
      <c r="L1607" s="82"/>
      <c r="M1607" s="82"/>
      <c r="N1607" s="82"/>
      <c r="O1607" s="82"/>
      <c r="P1607" s="82"/>
      <c r="Q1607" s="82"/>
      <c r="R1607" s="82"/>
      <c r="S1607" s="82"/>
      <c r="T1607" s="82"/>
      <c r="U1607" s="82"/>
      <c r="V1607" s="82"/>
      <c r="W1607" s="82"/>
      <c r="X1607" s="82"/>
      <c r="Y1607" s="82"/>
      <c r="Z1607" s="82"/>
    </row>
    <row r="1608" spans="1:26">
      <c r="A1608" s="81"/>
      <c r="F1608" s="81"/>
      <c r="G1608" s="82"/>
      <c r="H1608" s="82"/>
      <c r="I1608" s="82"/>
      <c r="J1608" s="82"/>
      <c r="K1608" s="82"/>
      <c r="L1608" s="82"/>
      <c r="M1608" s="82"/>
      <c r="N1608" s="82"/>
      <c r="O1608" s="82"/>
      <c r="P1608" s="82"/>
      <c r="Q1608" s="82"/>
      <c r="R1608" s="82"/>
      <c r="S1608" s="82"/>
      <c r="T1608" s="82"/>
      <c r="U1608" s="82"/>
      <c r="V1608" s="82"/>
      <c r="W1608" s="82"/>
      <c r="X1608" s="82"/>
      <c r="Y1608" s="82"/>
      <c r="Z1608" s="82"/>
    </row>
    <row r="1609" spans="1:26">
      <c r="A1609" s="81"/>
      <c r="F1609" s="81"/>
      <c r="G1609" s="82"/>
      <c r="H1609" s="82"/>
      <c r="I1609" s="82"/>
      <c r="J1609" s="82"/>
      <c r="K1609" s="82"/>
      <c r="L1609" s="82"/>
      <c r="M1609" s="82"/>
      <c r="N1609" s="82"/>
      <c r="O1609" s="82"/>
      <c r="P1609" s="82"/>
      <c r="Q1609" s="82"/>
      <c r="R1609" s="82"/>
      <c r="S1609" s="82"/>
      <c r="T1609" s="82"/>
      <c r="U1609" s="82"/>
      <c r="V1609" s="82"/>
      <c r="W1609" s="82"/>
      <c r="X1609" s="82"/>
      <c r="Y1609" s="82"/>
      <c r="Z1609" s="82"/>
    </row>
    <row r="1610" spans="1:26">
      <c r="A1610" s="81"/>
      <c r="F1610" s="81"/>
      <c r="G1610" s="82"/>
      <c r="H1610" s="82"/>
      <c r="I1610" s="82"/>
      <c r="J1610" s="82"/>
      <c r="K1610" s="82"/>
      <c r="L1610" s="82"/>
      <c r="M1610" s="82"/>
      <c r="N1610" s="82"/>
      <c r="O1610" s="82"/>
      <c r="P1610" s="82"/>
      <c r="Q1610" s="82"/>
      <c r="R1610" s="82"/>
      <c r="S1610" s="82"/>
      <c r="T1610" s="82"/>
      <c r="U1610" s="82"/>
      <c r="V1610" s="82"/>
      <c r="W1610" s="82"/>
      <c r="X1610" s="82"/>
      <c r="Y1610" s="82"/>
      <c r="Z1610" s="82"/>
    </row>
    <row r="1611" spans="1:26">
      <c r="A1611" s="81"/>
      <c r="F1611" s="81"/>
      <c r="G1611" s="82"/>
      <c r="H1611" s="82"/>
      <c r="I1611" s="82"/>
      <c r="J1611" s="82"/>
      <c r="K1611" s="82"/>
      <c r="L1611" s="82"/>
      <c r="M1611" s="82"/>
      <c r="N1611" s="82"/>
      <c r="O1611" s="82"/>
      <c r="P1611" s="82"/>
      <c r="Q1611" s="82"/>
      <c r="R1611" s="82"/>
      <c r="S1611" s="82"/>
      <c r="T1611" s="82"/>
      <c r="U1611" s="82"/>
      <c r="V1611" s="82"/>
      <c r="W1611" s="82"/>
      <c r="X1611" s="82"/>
      <c r="Y1611" s="82"/>
      <c r="Z1611" s="82"/>
    </row>
    <row r="1612" spans="1:26">
      <c r="A1612" s="81"/>
      <c r="F1612" s="81"/>
      <c r="G1612" s="82"/>
      <c r="H1612" s="82"/>
      <c r="I1612" s="82"/>
      <c r="J1612" s="82"/>
      <c r="K1612" s="82"/>
      <c r="L1612" s="82"/>
      <c r="M1612" s="82"/>
      <c r="N1612" s="82"/>
      <c r="O1612" s="82"/>
      <c r="P1612" s="82"/>
      <c r="Q1612" s="82"/>
      <c r="R1612" s="82"/>
      <c r="S1612" s="82"/>
      <c r="T1612" s="82"/>
      <c r="U1612" s="82"/>
      <c r="V1612" s="82"/>
      <c r="W1612" s="82"/>
      <c r="X1612" s="82"/>
      <c r="Y1612" s="82"/>
      <c r="Z1612" s="82"/>
    </row>
    <row r="1613" spans="1:26">
      <c r="A1613" s="81"/>
      <c r="F1613" s="81"/>
      <c r="G1613" s="82"/>
      <c r="H1613" s="82"/>
      <c r="I1613" s="82"/>
      <c r="J1613" s="82"/>
      <c r="K1613" s="82"/>
      <c r="L1613" s="82"/>
      <c r="M1613" s="82"/>
      <c r="N1613" s="82"/>
      <c r="O1613" s="82"/>
      <c r="P1613" s="82"/>
      <c r="Q1613" s="82"/>
      <c r="R1613" s="82"/>
      <c r="S1613" s="82"/>
      <c r="T1613" s="82"/>
      <c r="U1613" s="82"/>
      <c r="V1613" s="82"/>
      <c r="W1613" s="82"/>
      <c r="X1613" s="82"/>
      <c r="Y1613" s="82"/>
      <c r="Z1613" s="82"/>
    </row>
    <row r="1614" spans="1:26">
      <c r="A1614" s="81"/>
      <c r="F1614" s="81"/>
      <c r="G1614" s="82"/>
      <c r="H1614" s="82"/>
      <c r="I1614" s="82"/>
      <c r="J1614" s="82"/>
      <c r="K1614" s="82"/>
      <c r="L1614" s="82"/>
      <c r="M1614" s="82"/>
      <c r="N1614" s="82"/>
      <c r="O1614" s="82"/>
      <c r="P1614" s="82"/>
      <c r="Q1614" s="82"/>
      <c r="R1614" s="82"/>
      <c r="S1614" s="82"/>
      <c r="T1614" s="82"/>
      <c r="U1614" s="82"/>
      <c r="V1614" s="82"/>
      <c r="W1614" s="82"/>
      <c r="X1614" s="82"/>
      <c r="Y1614" s="82"/>
      <c r="Z1614" s="82"/>
    </row>
    <row r="1615" spans="1:26">
      <c r="A1615" s="81"/>
      <c r="F1615" s="81"/>
      <c r="G1615" s="82"/>
      <c r="H1615" s="82"/>
      <c r="I1615" s="82"/>
      <c r="J1615" s="82"/>
      <c r="K1615" s="82"/>
      <c r="L1615" s="82"/>
      <c r="M1615" s="82"/>
      <c r="N1615" s="82"/>
      <c r="O1615" s="82"/>
      <c r="P1615" s="82"/>
      <c r="Q1615" s="82"/>
      <c r="R1615" s="82"/>
      <c r="S1615" s="82"/>
      <c r="T1615" s="82"/>
      <c r="U1615" s="82"/>
      <c r="V1615" s="82"/>
      <c r="W1615" s="82"/>
      <c r="X1615" s="82"/>
      <c r="Y1615" s="82"/>
      <c r="Z1615" s="82"/>
    </row>
    <row r="1616" spans="1:26">
      <c r="A1616" s="81"/>
      <c r="F1616" s="81"/>
      <c r="G1616" s="82"/>
      <c r="H1616" s="82"/>
      <c r="I1616" s="82"/>
      <c r="J1616" s="82"/>
      <c r="K1616" s="82"/>
      <c r="L1616" s="82"/>
      <c r="M1616" s="82"/>
      <c r="N1616" s="82"/>
      <c r="O1616" s="82"/>
      <c r="P1616" s="82"/>
      <c r="Q1616" s="82"/>
      <c r="R1616" s="82"/>
      <c r="S1616" s="82"/>
      <c r="T1616" s="82"/>
      <c r="U1616" s="82"/>
      <c r="V1616" s="82"/>
      <c r="W1616" s="82"/>
      <c r="X1616" s="82"/>
      <c r="Y1616" s="82"/>
      <c r="Z1616" s="82"/>
    </row>
    <row r="1617" spans="1:26">
      <c r="A1617" s="81"/>
      <c r="F1617" s="81"/>
      <c r="G1617" s="82"/>
      <c r="H1617" s="82"/>
      <c r="I1617" s="82"/>
      <c r="J1617" s="82"/>
      <c r="K1617" s="82"/>
      <c r="L1617" s="82"/>
      <c r="M1617" s="82"/>
      <c r="N1617" s="82"/>
      <c r="O1617" s="82"/>
      <c r="P1617" s="82"/>
      <c r="Q1617" s="82"/>
      <c r="R1617" s="82"/>
      <c r="S1617" s="82"/>
      <c r="T1617" s="82"/>
      <c r="U1617" s="82"/>
      <c r="V1617" s="82"/>
      <c r="W1617" s="82"/>
      <c r="X1617" s="82"/>
      <c r="Y1617" s="82"/>
      <c r="Z1617" s="82"/>
    </row>
    <row r="1618" spans="1:26">
      <c r="A1618" s="81"/>
      <c r="F1618" s="81"/>
      <c r="G1618" s="82"/>
      <c r="H1618" s="82"/>
      <c r="I1618" s="82"/>
      <c r="J1618" s="82"/>
      <c r="K1618" s="82"/>
      <c r="L1618" s="82"/>
      <c r="M1618" s="82"/>
      <c r="N1618" s="82"/>
      <c r="O1618" s="82"/>
      <c r="P1618" s="82"/>
      <c r="Q1618" s="82"/>
      <c r="R1618" s="82"/>
      <c r="S1618" s="82"/>
      <c r="T1618" s="82"/>
      <c r="U1618" s="82"/>
      <c r="V1618" s="82"/>
      <c r="W1618" s="82"/>
      <c r="X1618" s="82"/>
      <c r="Y1618" s="82"/>
      <c r="Z1618" s="82"/>
    </row>
    <row r="1619" spans="1:26">
      <c r="A1619" s="81"/>
      <c r="F1619" s="81"/>
      <c r="G1619" s="82"/>
      <c r="H1619" s="82"/>
      <c r="I1619" s="82"/>
      <c r="J1619" s="82"/>
      <c r="K1619" s="82"/>
      <c r="L1619" s="82"/>
      <c r="M1619" s="82"/>
      <c r="N1619" s="82"/>
      <c r="O1619" s="82"/>
      <c r="P1619" s="82"/>
      <c r="Q1619" s="82"/>
      <c r="R1619" s="82"/>
      <c r="S1619" s="82"/>
      <c r="T1619" s="82"/>
      <c r="U1619" s="82"/>
      <c r="V1619" s="82"/>
      <c r="W1619" s="82"/>
      <c r="X1619" s="82"/>
      <c r="Y1619" s="82"/>
      <c r="Z1619" s="82"/>
    </row>
    <row r="1620" spans="1:26">
      <c r="A1620" s="81"/>
      <c r="F1620" s="81"/>
      <c r="G1620" s="82"/>
      <c r="H1620" s="82"/>
      <c r="I1620" s="82"/>
      <c r="J1620" s="82"/>
      <c r="K1620" s="82"/>
      <c r="L1620" s="82"/>
      <c r="M1620" s="82"/>
      <c r="N1620" s="82"/>
      <c r="O1620" s="82"/>
      <c r="P1620" s="82"/>
      <c r="Q1620" s="82"/>
      <c r="R1620" s="82"/>
      <c r="S1620" s="82"/>
      <c r="T1620" s="82"/>
      <c r="U1620" s="82"/>
      <c r="V1620" s="82"/>
      <c r="W1620" s="82"/>
      <c r="X1620" s="82"/>
      <c r="Y1620" s="82"/>
      <c r="Z1620" s="82"/>
    </row>
    <row r="1621" spans="1:26">
      <c r="A1621" s="81"/>
      <c r="F1621" s="81"/>
      <c r="G1621" s="82"/>
      <c r="H1621" s="82"/>
      <c r="I1621" s="82"/>
      <c r="J1621" s="82"/>
      <c r="K1621" s="82"/>
      <c r="L1621" s="82"/>
      <c r="M1621" s="82"/>
      <c r="N1621" s="82"/>
      <c r="O1621" s="82"/>
      <c r="P1621" s="82"/>
      <c r="Q1621" s="82"/>
      <c r="R1621" s="82"/>
      <c r="S1621" s="82"/>
      <c r="T1621" s="82"/>
      <c r="U1621" s="82"/>
      <c r="V1621" s="82"/>
      <c r="W1621" s="82"/>
      <c r="X1621" s="82"/>
      <c r="Y1621" s="82"/>
      <c r="Z1621" s="82"/>
    </row>
    <row r="1622" spans="1:26">
      <c r="A1622" s="81"/>
      <c r="F1622" s="81"/>
      <c r="G1622" s="82"/>
      <c r="H1622" s="82"/>
      <c r="I1622" s="82"/>
      <c r="J1622" s="82"/>
      <c r="K1622" s="82"/>
      <c r="L1622" s="82"/>
      <c r="M1622" s="82"/>
      <c r="N1622" s="82"/>
      <c r="O1622" s="82"/>
      <c r="P1622" s="82"/>
      <c r="Q1622" s="82"/>
      <c r="R1622" s="82"/>
      <c r="S1622" s="82"/>
      <c r="T1622" s="82"/>
      <c r="U1622" s="82"/>
      <c r="V1622" s="82"/>
      <c r="W1622" s="82"/>
      <c r="X1622" s="82"/>
      <c r="Y1622" s="82"/>
      <c r="Z1622" s="82"/>
    </row>
    <row r="1623" spans="1:26">
      <c r="A1623" s="81"/>
      <c r="F1623" s="81"/>
      <c r="G1623" s="82"/>
      <c r="H1623" s="82"/>
      <c r="I1623" s="82"/>
      <c r="J1623" s="82"/>
      <c r="K1623" s="82"/>
      <c r="L1623" s="82"/>
      <c r="M1623" s="82"/>
      <c r="N1623" s="82"/>
      <c r="O1623" s="82"/>
      <c r="P1623" s="82"/>
      <c r="Q1623" s="82"/>
      <c r="R1623" s="82"/>
      <c r="S1623" s="82"/>
      <c r="T1623" s="82"/>
      <c r="U1623" s="82"/>
      <c r="V1623" s="82"/>
      <c r="W1623" s="82"/>
      <c r="X1623" s="82"/>
      <c r="Y1623" s="82"/>
      <c r="Z1623" s="82"/>
    </row>
    <row r="1624" spans="1:26">
      <c r="A1624" s="81"/>
      <c r="F1624" s="81"/>
      <c r="G1624" s="82"/>
      <c r="H1624" s="82"/>
      <c r="I1624" s="82"/>
      <c r="J1624" s="82"/>
      <c r="K1624" s="82"/>
      <c r="L1624" s="82"/>
      <c r="M1624" s="82"/>
      <c r="N1624" s="82"/>
      <c r="O1624" s="82"/>
      <c r="P1624" s="82"/>
      <c r="Q1624" s="82"/>
      <c r="R1624" s="82"/>
      <c r="S1624" s="82"/>
      <c r="T1624" s="82"/>
      <c r="U1624" s="82"/>
      <c r="V1624" s="82"/>
      <c r="W1624" s="82"/>
      <c r="X1624" s="82"/>
      <c r="Y1624" s="82"/>
      <c r="Z1624" s="82"/>
    </row>
    <row r="1625" spans="1:26">
      <c r="A1625" s="81"/>
      <c r="F1625" s="81"/>
      <c r="G1625" s="82"/>
      <c r="H1625" s="82"/>
      <c r="I1625" s="82"/>
      <c r="J1625" s="82"/>
      <c r="K1625" s="82"/>
      <c r="L1625" s="82"/>
      <c r="M1625" s="82"/>
      <c r="N1625" s="82"/>
      <c r="O1625" s="82"/>
      <c r="P1625" s="82"/>
      <c r="Q1625" s="82"/>
      <c r="R1625" s="82"/>
      <c r="S1625" s="82"/>
      <c r="T1625" s="82"/>
      <c r="U1625" s="82"/>
      <c r="V1625" s="82"/>
      <c r="W1625" s="82"/>
      <c r="X1625" s="82"/>
      <c r="Y1625" s="82"/>
      <c r="Z1625" s="82"/>
    </row>
    <row r="1626" spans="1:26">
      <c r="A1626" s="81"/>
      <c r="F1626" s="81"/>
      <c r="G1626" s="82"/>
      <c r="H1626" s="82"/>
      <c r="I1626" s="82"/>
      <c r="J1626" s="82"/>
      <c r="K1626" s="82"/>
      <c r="L1626" s="82"/>
      <c r="M1626" s="82"/>
      <c r="N1626" s="82"/>
      <c r="O1626" s="82"/>
      <c r="P1626" s="82"/>
      <c r="Q1626" s="82"/>
      <c r="R1626" s="82"/>
      <c r="S1626" s="82"/>
      <c r="T1626" s="82"/>
      <c r="U1626" s="82"/>
      <c r="V1626" s="82"/>
      <c r="W1626" s="82"/>
      <c r="X1626" s="82"/>
      <c r="Y1626" s="82"/>
      <c r="Z1626" s="82"/>
    </row>
    <row r="1627" spans="1:26">
      <c r="A1627" s="81"/>
      <c r="F1627" s="81"/>
      <c r="G1627" s="82"/>
      <c r="H1627" s="82"/>
      <c r="I1627" s="82"/>
      <c r="J1627" s="82"/>
      <c r="K1627" s="82"/>
      <c r="L1627" s="82"/>
      <c r="M1627" s="82"/>
      <c r="N1627" s="82"/>
      <c r="O1627" s="82"/>
      <c r="P1627" s="82"/>
      <c r="Q1627" s="82"/>
      <c r="R1627" s="82"/>
      <c r="S1627" s="82"/>
      <c r="T1627" s="82"/>
      <c r="U1627" s="82"/>
      <c r="V1627" s="82"/>
      <c r="W1627" s="82"/>
      <c r="X1627" s="82"/>
      <c r="Y1627" s="82"/>
      <c r="Z1627" s="82"/>
    </row>
    <row r="1628" spans="1:26">
      <c r="A1628" s="81"/>
      <c r="F1628" s="81"/>
      <c r="G1628" s="82"/>
      <c r="H1628" s="82"/>
      <c r="I1628" s="82"/>
      <c r="J1628" s="82"/>
      <c r="K1628" s="82"/>
      <c r="L1628" s="82"/>
      <c r="M1628" s="82"/>
      <c r="N1628" s="82"/>
      <c r="O1628" s="82"/>
      <c r="P1628" s="82"/>
      <c r="Q1628" s="82"/>
      <c r="R1628" s="82"/>
      <c r="S1628" s="82"/>
      <c r="T1628" s="82"/>
      <c r="U1628" s="82"/>
      <c r="V1628" s="82"/>
      <c r="W1628" s="82"/>
      <c r="X1628" s="82"/>
      <c r="Y1628" s="82"/>
      <c r="Z1628" s="82"/>
    </row>
    <row r="1629" spans="1:26">
      <c r="A1629" s="81"/>
      <c r="F1629" s="81"/>
      <c r="G1629" s="82"/>
      <c r="H1629" s="82"/>
      <c r="I1629" s="82"/>
      <c r="J1629" s="82"/>
      <c r="K1629" s="82"/>
      <c r="L1629" s="82"/>
      <c r="M1629" s="82"/>
      <c r="N1629" s="82"/>
      <c r="O1629" s="82"/>
      <c r="P1629" s="82"/>
      <c r="Q1629" s="82"/>
      <c r="R1629" s="82"/>
      <c r="S1629" s="82"/>
      <c r="T1629" s="82"/>
      <c r="U1629" s="82"/>
      <c r="V1629" s="82"/>
      <c r="W1629" s="82"/>
      <c r="X1629" s="82"/>
      <c r="Y1629" s="82"/>
      <c r="Z1629" s="82"/>
    </row>
    <row r="1630" spans="1:26">
      <c r="A1630" s="81"/>
      <c r="F1630" s="81"/>
      <c r="G1630" s="82"/>
      <c r="H1630" s="82"/>
      <c r="I1630" s="82"/>
      <c r="J1630" s="82"/>
      <c r="K1630" s="82"/>
      <c r="L1630" s="82"/>
      <c r="M1630" s="82"/>
      <c r="N1630" s="82"/>
      <c r="O1630" s="82"/>
      <c r="P1630" s="82"/>
      <c r="Q1630" s="82"/>
      <c r="R1630" s="82"/>
      <c r="S1630" s="82"/>
      <c r="T1630" s="82"/>
      <c r="U1630" s="82"/>
      <c r="V1630" s="82"/>
      <c r="W1630" s="82"/>
      <c r="X1630" s="82"/>
      <c r="Y1630" s="82"/>
      <c r="Z1630" s="82"/>
    </row>
    <row r="1631" spans="1:26">
      <c r="A1631" s="81"/>
      <c r="F1631" s="81"/>
      <c r="G1631" s="82"/>
      <c r="H1631" s="82"/>
      <c r="I1631" s="82"/>
      <c r="J1631" s="82"/>
      <c r="K1631" s="82"/>
      <c r="L1631" s="82"/>
      <c r="M1631" s="82"/>
      <c r="N1631" s="82"/>
      <c r="O1631" s="82"/>
      <c r="P1631" s="82"/>
      <c r="Q1631" s="82"/>
      <c r="R1631" s="82"/>
      <c r="S1631" s="82"/>
      <c r="T1631" s="82"/>
      <c r="U1631" s="82"/>
      <c r="V1631" s="82"/>
      <c r="W1631" s="82"/>
      <c r="X1631" s="82"/>
      <c r="Y1631" s="82"/>
      <c r="Z1631" s="82"/>
    </row>
    <row r="1632" spans="1:26">
      <c r="A1632" s="81"/>
      <c r="F1632" s="81"/>
      <c r="G1632" s="82"/>
      <c r="H1632" s="82"/>
      <c r="I1632" s="82"/>
      <c r="J1632" s="82"/>
      <c r="K1632" s="82"/>
      <c r="L1632" s="82"/>
      <c r="M1632" s="82"/>
      <c r="N1632" s="82"/>
      <c r="O1632" s="82"/>
      <c r="P1632" s="82"/>
      <c r="Q1632" s="82"/>
      <c r="R1632" s="82"/>
      <c r="S1632" s="82"/>
      <c r="T1632" s="82"/>
      <c r="U1632" s="82"/>
      <c r="V1632" s="82"/>
      <c r="W1632" s="82"/>
      <c r="X1632" s="82"/>
      <c r="Y1632" s="82"/>
      <c r="Z1632" s="82"/>
    </row>
    <row r="1633" spans="1:26">
      <c r="A1633" s="81"/>
      <c r="F1633" s="81"/>
      <c r="G1633" s="82"/>
      <c r="H1633" s="82"/>
      <c r="I1633" s="82"/>
      <c r="J1633" s="82"/>
      <c r="K1633" s="82"/>
      <c r="L1633" s="82"/>
      <c r="M1633" s="82"/>
      <c r="N1633" s="82"/>
      <c r="O1633" s="82"/>
      <c r="P1633" s="82"/>
      <c r="Q1633" s="82"/>
      <c r="R1633" s="82"/>
      <c r="S1633" s="82"/>
      <c r="T1633" s="82"/>
      <c r="U1633" s="82"/>
      <c r="V1633" s="82"/>
      <c r="W1633" s="82"/>
      <c r="X1633" s="82"/>
      <c r="Y1633" s="82"/>
      <c r="Z1633" s="82"/>
    </row>
    <row r="1634" spans="1:26">
      <c r="A1634" s="81"/>
      <c r="F1634" s="81"/>
      <c r="G1634" s="82"/>
      <c r="H1634" s="82"/>
      <c r="I1634" s="82"/>
      <c r="J1634" s="82"/>
      <c r="K1634" s="82"/>
      <c r="L1634" s="82"/>
      <c r="M1634" s="82"/>
      <c r="N1634" s="82"/>
      <c r="O1634" s="82"/>
      <c r="P1634" s="82"/>
      <c r="Q1634" s="82"/>
      <c r="R1634" s="82"/>
      <c r="S1634" s="82"/>
      <c r="T1634" s="82"/>
      <c r="U1634" s="82"/>
      <c r="V1634" s="82"/>
      <c r="W1634" s="82"/>
      <c r="X1634" s="82"/>
      <c r="Y1634" s="82"/>
      <c r="Z1634" s="82"/>
    </row>
    <row r="1635" spans="1:26">
      <c r="A1635" s="81"/>
      <c r="F1635" s="81"/>
      <c r="G1635" s="82"/>
      <c r="H1635" s="82"/>
      <c r="I1635" s="82"/>
      <c r="J1635" s="82"/>
      <c r="K1635" s="82"/>
      <c r="L1635" s="82"/>
      <c r="M1635" s="82"/>
      <c r="N1635" s="82"/>
      <c r="O1635" s="82"/>
      <c r="P1635" s="82"/>
      <c r="Q1635" s="82"/>
      <c r="R1635" s="82"/>
      <c r="S1635" s="82"/>
      <c r="T1635" s="82"/>
      <c r="U1635" s="82"/>
      <c r="V1635" s="82"/>
      <c r="W1635" s="82"/>
      <c r="X1635" s="82"/>
      <c r="Y1635" s="82"/>
      <c r="Z1635" s="82"/>
    </row>
    <row r="1636" spans="1:26">
      <c r="A1636" s="81"/>
      <c r="F1636" s="81"/>
      <c r="G1636" s="82"/>
      <c r="H1636" s="82"/>
      <c r="I1636" s="82"/>
      <c r="J1636" s="82"/>
      <c r="K1636" s="82"/>
      <c r="L1636" s="82"/>
      <c r="M1636" s="82"/>
      <c r="N1636" s="82"/>
      <c r="O1636" s="82"/>
      <c r="P1636" s="82"/>
      <c r="Q1636" s="82"/>
      <c r="R1636" s="82"/>
      <c r="S1636" s="82"/>
      <c r="T1636" s="82"/>
      <c r="U1636" s="82"/>
      <c r="V1636" s="82"/>
      <c r="W1636" s="82"/>
      <c r="X1636" s="82"/>
      <c r="Y1636" s="82"/>
      <c r="Z1636" s="82"/>
    </row>
    <row r="1637" spans="1:26">
      <c r="A1637" s="81"/>
      <c r="F1637" s="81"/>
      <c r="G1637" s="82"/>
      <c r="H1637" s="82"/>
      <c r="I1637" s="82"/>
      <c r="J1637" s="82"/>
      <c r="K1637" s="82"/>
      <c r="L1637" s="82"/>
      <c r="M1637" s="82"/>
      <c r="N1637" s="82"/>
      <c r="O1637" s="82"/>
      <c r="P1637" s="82"/>
      <c r="Q1637" s="82"/>
      <c r="R1637" s="82"/>
      <c r="S1637" s="82"/>
      <c r="T1637" s="82"/>
      <c r="U1637" s="82"/>
      <c r="V1637" s="82"/>
      <c r="W1637" s="82"/>
      <c r="X1637" s="82"/>
      <c r="Y1637" s="82"/>
      <c r="Z1637" s="82"/>
    </row>
    <row r="1638" spans="1:26">
      <c r="A1638" s="81"/>
      <c r="F1638" s="81"/>
      <c r="G1638" s="82"/>
      <c r="H1638" s="82"/>
      <c r="I1638" s="82"/>
      <c r="J1638" s="82"/>
      <c r="K1638" s="82"/>
      <c r="L1638" s="82"/>
      <c r="M1638" s="82"/>
      <c r="N1638" s="82"/>
      <c r="O1638" s="82"/>
      <c r="P1638" s="82"/>
      <c r="Q1638" s="82"/>
      <c r="R1638" s="82"/>
      <c r="S1638" s="82"/>
      <c r="T1638" s="82"/>
      <c r="U1638" s="82"/>
      <c r="V1638" s="82"/>
      <c r="W1638" s="82"/>
      <c r="X1638" s="82"/>
      <c r="Y1638" s="82"/>
      <c r="Z1638" s="82"/>
    </row>
    <row r="1639" spans="1:26">
      <c r="A1639" s="81"/>
      <c r="F1639" s="81"/>
      <c r="G1639" s="82"/>
      <c r="H1639" s="82"/>
      <c r="I1639" s="82"/>
      <c r="J1639" s="82"/>
      <c r="K1639" s="82"/>
      <c r="L1639" s="82"/>
      <c r="M1639" s="82"/>
      <c r="N1639" s="82"/>
      <c r="O1639" s="82"/>
      <c r="P1639" s="82"/>
      <c r="Q1639" s="82"/>
      <c r="R1639" s="82"/>
      <c r="S1639" s="82"/>
      <c r="T1639" s="82"/>
      <c r="U1639" s="82"/>
      <c r="V1639" s="82"/>
      <c r="W1639" s="82"/>
      <c r="X1639" s="82"/>
      <c r="Y1639" s="82"/>
      <c r="Z1639" s="82"/>
    </row>
    <row r="1640" spans="1:26">
      <c r="A1640" s="81"/>
      <c r="F1640" s="81"/>
      <c r="G1640" s="82"/>
      <c r="H1640" s="82"/>
      <c r="I1640" s="82"/>
      <c r="J1640" s="82"/>
      <c r="K1640" s="82"/>
      <c r="L1640" s="82"/>
      <c r="M1640" s="82"/>
      <c r="N1640" s="82"/>
      <c r="O1640" s="82"/>
      <c r="P1640" s="82"/>
      <c r="Q1640" s="82"/>
      <c r="R1640" s="82"/>
      <c r="S1640" s="82"/>
      <c r="T1640" s="82"/>
      <c r="U1640" s="82"/>
      <c r="V1640" s="82"/>
      <c r="W1640" s="82"/>
      <c r="X1640" s="82"/>
      <c r="Y1640" s="82"/>
      <c r="Z1640" s="82"/>
    </row>
    <row r="1641" spans="1:26">
      <c r="A1641" s="81"/>
      <c r="F1641" s="81"/>
      <c r="G1641" s="82"/>
      <c r="H1641" s="82"/>
      <c r="I1641" s="82"/>
      <c r="J1641" s="82"/>
      <c r="K1641" s="82"/>
      <c r="L1641" s="82"/>
      <c r="M1641" s="82"/>
      <c r="N1641" s="82"/>
      <c r="O1641" s="82"/>
      <c r="P1641" s="82"/>
      <c r="Q1641" s="82"/>
      <c r="R1641" s="82"/>
      <c r="S1641" s="82"/>
      <c r="T1641" s="82"/>
      <c r="U1641" s="82"/>
      <c r="V1641" s="82"/>
      <c r="W1641" s="82"/>
      <c r="X1641" s="82"/>
      <c r="Y1641" s="82"/>
      <c r="Z1641" s="82"/>
    </row>
    <row r="1642" spans="1:26">
      <c r="A1642" s="81"/>
      <c r="F1642" s="81"/>
      <c r="G1642" s="82"/>
      <c r="H1642" s="82"/>
      <c r="I1642" s="82"/>
      <c r="J1642" s="82"/>
      <c r="K1642" s="82"/>
      <c r="L1642" s="82"/>
      <c r="M1642" s="82"/>
      <c r="N1642" s="82"/>
      <c r="O1642" s="82"/>
      <c r="P1642" s="82"/>
      <c r="Q1642" s="82"/>
      <c r="R1642" s="82"/>
      <c r="S1642" s="82"/>
      <c r="T1642" s="82"/>
      <c r="U1642" s="82"/>
      <c r="V1642" s="82"/>
      <c r="W1642" s="82"/>
      <c r="X1642" s="82"/>
      <c r="Y1642" s="82"/>
      <c r="Z1642" s="82"/>
    </row>
    <row r="1643" spans="1:26">
      <c r="A1643" s="81"/>
      <c r="F1643" s="81"/>
      <c r="G1643" s="82"/>
      <c r="H1643" s="82"/>
      <c r="I1643" s="82"/>
      <c r="J1643" s="82"/>
      <c r="K1643" s="82"/>
      <c r="L1643" s="82"/>
      <c r="M1643" s="82"/>
      <c r="N1643" s="82"/>
      <c r="O1643" s="82"/>
      <c r="P1643" s="82"/>
      <c r="Q1643" s="82"/>
      <c r="R1643" s="82"/>
      <c r="S1643" s="82"/>
      <c r="T1643" s="82"/>
      <c r="U1643" s="82"/>
      <c r="V1643" s="82"/>
      <c r="W1643" s="82"/>
      <c r="X1643" s="82"/>
      <c r="Y1643" s="82"/>
      <c r="Z1643" s="82"/>
    </row>
    <row r="1644" spans="1:26">
      <c r="A1644" s="81"/>
      <c r="F1644" s="81"/>
      <c r="G1644" s="82"/>
      <c r="H1644" s="82"/>
      <c r="I1644" s="82"/>
      <c r="J1644" s="82"/>
      <c r="K1644" s="82"/>
      <c r="L1644" s="82"/>
      <c r="M1644" s="82"/>
      <c r="N1644" s="82"/>
      <c r="O1644" s="82"/>
      <c r="P1644" s="82"/>
      <c r="Q1644" s="82"/>
      <c r="R1644" s="82"/>
      <c r="S1644" s="82"/>
      <c r="T1644" s="82"/>
      <c r="U1644" s="82"/>
      <c r="V1644" s="82"/>
      <c r="W1644" s="82"/>
      <c r="X1644" s="82"/>
      <c r="Y1644" s="82"/>
      <c r="Z1644" s="82"/>
    </row>
    <row r="1645" spans="1:26">
      <c r="A1645" s="81"/>
      <c r="F1645" s="81"/>
      <c r="G1645" s="82"/>
      <c r="H1645" s="82"/>
      <c r="I1645" s="82"/>
      <c r="J1645" s="82"/>
      <c r="K1645" s="82"/>
      <c r="L1645" s="82"/>
      <c r="M1645" s="82"/>
      <c r="N1645" s="82"/>
      <c r="O1645" s="82"/>
      <c r="P1645" s="82"/>
      <c r="Q1645" s="82"/>
      <c r="R1645" s="82"/>
      <c r="S1645" s="82"/>
      <c r="T1645" s="82"/>
      <c r="U1645" s="82"/>
      <c r="V1645" s="82"/>
      <c r="W1645" s="82"/>
      <c r="X1645" s="82"/>
      <c r="Y1645" s="82"/>
      <c r="Z1645" s="82"/>
    </row>
    <row r="1646" spans="1:26">
      <c r="A1646" s="81"/>
      <c r="F1646" s="81"/>
      <c r="G1646" s="82"/>
      <c r="H1646" s="82"/>
      <c r="I1646" s="82"/>
      <c r="J1646" s="82"/>
      <c r="K1646" s="82"/>
      <c r="L1646" s="82"/>
      <c r="M1646" s="82"/>
      <c r="N1646" s="82"/>
      <c r="O1646" s="82"/>
      <c r="P1646" s="82"/>
      <c r="Q1646" s="82"/>
      <c r="R1646" s="82"/>
      <c r="S1646" s="82"/>
      <c r="T1646" s="82"/>
      <c r="U1646" s="82"/>
      <c r="V1646" s="82"/>
      <c r="W1646" s="82"/>
      <c r="X1646" s="82"/>
      <c r="Y1646" s="82"/>
      <c r="Z1646" s="82"/>
    </row>
    <row r="1647" spans="1:26">
      <c r="A1647" s="81"/>
      <c r="F1647" s="81"/>
      <c r="G1647" s="82"/>
      <c r="H1647" s="82"/>
      <c r="I1647" s="82"/>
      <c r="J1647" s="82"/>
      <c r="K1647" s="82"/>
      <c r="L1647" s="82"/>
      <c r="M1647" s="82"/>
      <c r="N1647" s="82"/>
      <c r="O1647" s="82"/>
      <c r="P1647" s="82"/>
      <c r="Q1647" s="82"/>
      <c r="R1647" s="82"/>
      <c r="S1647" s="82"/>
      <c r="T1647" s="82"/>
      <c r="U1647" s="82"/>
      <c r="V1647" s="82"/>
      <c r="W1647" s="82"/>
      <c r="X1647" s="82"/>
      <c r="Y1647" s="82"/>
      <c r="Z1647" s="82"/>
    </row>
    <row r="1648" spans="1:26">
      <c r="A1648" s="81"/>
      <c r="F1648" s="81"/>
      <c r="G1648" s="82"/>
      <c r="H1648" s="82"/>
      <c r="I1648" s="82"/>
      <c r="J1648" s="82"/>
      <c r="K1648" s="82"/>
      <c r="L1648" s="82"/>
      <c r="M1648" s="82"/>
      <c r="N1648" s="82"/>
      <c r="O1648" s="82"/>
      <c r="P1648" s="82"/>
      <c r="Q1648" s="82"/>
      <c r="R1648" s="82"/>
      <c r="S1648" s="82"/>
      <c r="T1648" s="82"/>
      <c r="U1648" s="82"/>
      <c r="V1648" s="82"/>
      <c r="W1648" s="82"/>
      <c r="X1648" s="82"/>
      <c r="Y1648" s="82"/>
      <c r="Z1648" s="82"/>
    </row>
    <row r="1649" spans="1:26">
      <c r="A1649" s="81"/>
      <c r="F1649" s="81"/>
      <c r="G1649" s="82"/>
      <c r="H1649" s="82"/>
      <c r="I1649" s="82"/>
      <c r="J1649" s="82"/>
      <c r="K1649" s="82"/>
      <c r="L1649" s="82"/>
      <c r="M1649" s="82"/>
      <c r="N1649" s="82"/>
      <c r="O1649" s="82"/>
      <c r="P1649" s="82"/>
      <c r="Q1649" s="82"/>
      <c r="R1649" s="82"/>
      <c r="S1649" s="82"/>
      <c r="T1649" s="82"/>
      <c r="U1649" s="82"/>
      <c r="V1649" s="82"/>
      <c r="W1649" s="82"/>
      <c r="X1649" s="82"/>
      <c r="Y1649" s="82"/>
      <c r="Z1649" s="82"/>
    </row>
    <row r="1650" spans="1:26">
      <c r="A1650" s="81"/>
      <c r="F1650" s="81"/>
      <c r="G1650" s="82"/>
      <c r="H1650" s="82"/>
      <c r="I1650" s="82"/>
      <c r="J1650" s="82"/>
      <c r="K1650" s="82"/>
      <c r="L1650" s="82"/>
      <c r="M1650" s="82"/>
      <c r="N1650" s="82"/>
      <c r="O1650" s="82"/>
      <c r="P1650" s="82"/>
      <c r="Q1650" s="82"/>
      <c r="R1650" s="82"/>
      <c r="S1650" s="82"/>
      <c r="T1650" s="82"/>
      <c r="U1650" s="82"/>
      <c r="V1650" s="82"/>
      <c r="W1650" s="82"/>
      <c r="X1650" s="82"/>
      <c r="Y1650" s="82"/>
      <c r="Z1650" s="82"/>
    </row>
    <row r="1651" spans="1:26">
      <c r="A1651" s="81"/>
      <c r="F1651" s="81"/>
      <c r="G1651" s="82"/>
      <c r="H1651" s="82"/>
      <c r="I1651" s="82"/>
      <c r="J1651" s="82"/>
      <c r="K1651" s="82"/>
      <c r="L1651" s="82"/>
      <c r="M1651" s="82"/>
      <c r="N1651" s="82"/>
      <c r="O1651" s="82"/>
      <c r="P1651" s="82"/>
      <c r="Q1651" s="82"/>
      <c r="R1651" s="82"/>
      <c r="S1651" s="82"/>
      <c r="T1651" s="82"/>
      <c r="U1651" s="82"/>
      <c r="V1651" s="82"/>
      <c r="W1651" s="82"/>
      <c r="X1651" s="82"/>
      <c r="Y1651" s="82"/>
      <c r="Z1651" s="82"/>
    </row>
    <row r="1652" spans="1:26">
      <c r="A1652" s="81"/>
      <c r="F1652" s="81"/>
      <c r="G1652" s="82"/>
      <c r="H1652" s="82"/>
      <c r="I1652" s="82"/>
      <c r="J1652" s="82"/>
      <c r="K1652" s="82"/>
      <c r="L1652" s="82"/>
      <c r="M1652" s="82"/>
      <c r="N1652" s="82"/>
      <c r="O1652" s="82"/>
      <c r="P1652" s="82"/>
      <c r="Q1652" s="82"/>
      <c r="R1652" s="82"/>
      <c r="S1652" s="82"/>
      <c r="T1652" s="82"/>
      <c r="U1652" s="82"/>
      <c r="V1652" s="82"/>
      <c r="W1652" s="82"/>
      <c r="X1652" s="82"/>
      <c r="Y1652" s="82"/>
      <c r="Z1652" s="82"/>
    </row>
    <row r="1653" spans="1:26">
      <c r="A1653" s="81"/>
      <c r="F1653" s="81"/>
      <c r="G1653" s="82"/>
      <c r="H1653" s="82"/>
      <c r="I1653" s="82"/>
      <c r="J1653" s="82"/>
      <c r="K1653" s="82"/>
      <c r="L1653" s="82"/>
      <c r="M1653" s="82"/>
      <c r="N1653" s="82"/>
      <c r="O1653" s="82"/>
      <c r="P1653" s="82"/>
      <c r="Q1653" s="82"/>
      <c r="R1653" s="82"/>
      <c r="S1653" s="82"/>
      <c r="T1653" s="82"/>
      <c r="U1653" s="82"/>
      <c r="V1653" s="82"/>
      <c r="W1653" s="82"/>
      <c r="X1653" s="82"/>
      <c r="Y1653" s="82"/>
      <c r="Z1653" s="82"/>
    </row>
    <row r="1654" spans="1:26">
      <c r="A1654" s="81"/>
      <c r="F1654" s="81"/>
      <c r="G1654" s="82"/>
      <c r="H1654" s="82"/>
      <c r="I1654" s="82"/>
      <c r="J1654" s="82"/>
      <c r="K1654" s="82"/>
      <c r="L1654" s="82"/>
      <c r="M1654" s="82"/>
      <c r="N1654" s="82"/>
      <c r="O1654" s="82"/>
      <c r="P1654" s="82"/>
      <c r="Q1654" s="82"/>
      <c r="R1654" s="82"/>
      <c r="S1654" s="82"/>
      <c r="T1654" s="82"/>
      <c r="U1654" s="82"/>
      <c r="V1654" s="82"/>
      <c r="W1654" s="82"/>
      <c r="X1654" s="82"/>
      <c r="Y1654" s="82"/>
      <c r="Z1654" s="82"/>
    </row>
    <row r="1655" spans="1:26">
      <c r="A1655" s="81"/>
      <c r="F1655" s="81"/>
      <c r="G1655" s="82"/>
      <c r="H1655" s="82"/>
      <c r="I1655" s="82"/>
      <c r="J1655" s="82"/>
      <c r="K1655" s="82"/>
      <c r="L1655" s="82"/>
      <c r="M1655" s="82"/>
      <c r="N1655" s="82"/>
      <c r="O1655" s="82"/>
      <c r="P1655" s="82"/>
      <c r="Q1655" s="82"/>
      <c r="R1655" s="82"/>
      <c r="S1655" s="82"/>
      <c r="T1655" s="82"/>
      <c r="U1655" s="82"/>
      <c r="V1655" s="82"/>
      <c r="W1655" s="82"/>
      <c r="X1655" s="82"/>
      <c r="Y1655" s="82"/>
      <c r="Z1655" s="82"/>
    </row>
    <row r="1656" spans="1:26">
      <c r="A1656" s="81"/>
      <c r="F1656" s="81"/>
      <c r="G1656" s="82"/>
      <c r="H1656" s="82"/>
      <c r="I1656" s="82"/>
      <c r="J1656" s="82"/>
      <c r="K1656" s="82"/>
      <c r="L1656" s="82"/>
      <c r="M1656" s="82"/>
      <c r="N1656" s="82"/>
      <c r="O1656" s="82"/>
      <c r="P1656" s="82"/>
      <c r="Q1656" s="82"/>
      <c r="R1656" s="82"/>
      <c r="S1656" s="82"/>
      <c r="T1656" s="82"/>
      <c r="U1656" s="82"/>
      <c r="V1656" s="82"/>
      <c r="W1656" s="82"/>
      <c r="X1656" s="82"/>
      <c r="Y1656" s="82"/>
      <c r="Z1656" s="82"/>
    </row>
    <row r="1657" spans="1:26">
      <c r="A1657" s="81"/>
      <c r="F1657" s="81"/>
      <c r="G1657" s="82"/>
      <c r="H1657" s="82"/>
      <c r="I1657" s="82"/>
      <c r="J1657" s="82"/>
      <c r="K1657" s="82"/>
      <c r="L1657" s="82"/>
      <c r="M1657" s="82"/>
      <c r="N1657" s="82"/>
      <c r="O1657" s="82"/>
      <c r="P1657" s="82"/>
      <c r="Q1657" s="82"/>
      <c r="R1657" s="82"/>
      <c r="S1657" s="82"/>
      <c r="T1657" s="82"/>
      <c r="U1657" s="82"/>
      <c r="V1657" s="82"/>
      <c r="W1657" s="82"/>
      <c r="X1657" s="82"/>
      <c r="Y1657" s="82"/>
      <c r="Z1657" s="82"/>
    </row>
    <row r="1658" spans="1:26">
      <c r="A1658" s="81"/>
      <c r="F1658" s="81"/>
      <c r="G1658" s="82"/>
      <c r="H1658" s="82"/>
      <c r="I1658" s="82"/>
      <c r="J1658" s="82"/>
      <c r="K1658" s="82"/>
      <c r="L1658" s="82"/>
      <c r="M1658" s="82"/>
      <c r="N1658" s="82"/>
      <c r="O1658" s="82"/>
      <c r="P1658" s="82"/>
      <c r="Q1658" s="82"/>
      <c r="R1658" s="82"/>
      <c r="S1658" s="82"/>
      <c r="T1658" s="82"/>
      <c r="U1658" s="82"/>
      <c r="V1658" s="82"/>
      <c r="W1658" s="82"/>
      <c r="X1658" s="82"/>
      <c r="Y1658" s="82"/>
      <c r="Z1658" s="82"/>
    </row>
    <row r="1659" spans="1:26">
      <c r="A1659" s="81"/>
      <c r="F1659" s="81"/>
      <c r="G1659" s="82"/>
      <c r="H1659" s="82"/>
      <c r="I1659" s="82"/>
      <c r="J1659" s="82"/>
      <c r="K1659" s="82"/>
      <c r="L1659" s="82"/>
      <c r="M1659" s="82"/>
      <c r="N1659" s="82"/>
      <c r="O1659" s="82"/>
      <c r="P1659" s="82"/>
      <c r="Q1659" s="82"/>
      <c r="R1659" s="82"/>
      <c r="S1659" s="82"/>
      <c r="T1659" s="82"/>
      <c r="U1659" s="82"/>
      <c r="V1659" s="82"/>
      <c r="W1659" s="82"/>
      <c r="X1659" s="82"/>
      <c r="Y1659" s="82"/>
      <c r="Z1659" s="82"/>
    </row>
    <row r="1660" spans="1:26">
      <c r="A1660" s="81"/>
      <c r="F1660" s="81"/>
      <c r="G1660" s="82"/>
      <c r="H1660" s="82"/>
      <c r="I1660" s="82"/>
      <c r="J1660" s="82"/>
      <c r="K1660" s="82"/>
      <c r="L1660" s="82"/>
      <c r="M1660" s="82"/>
      <c r="N1660" s="82"/>
      <c r="O1660" s="82"/>
      <c r="P1660" s="82"/>
      <c r="Q1660" s="82"/>
      <c r="R1660" s="82"/>
      <c r="S1660" s="82"/>
      <c r="T1660" s="82"/>
      <c r="U1660" s="82"/>
      <c r="V1660" s="82"/>
      <c r="W1660" s="82"/>
      <c r="X1660" s="82"/>
      <c r="Y1660" s="82"/>
      <c r="Z1660" s="82"/>
    </row>
    <row r="1661" spans="1:26">
      <c r="A1661" s="81"/>
      <c r="F1661" s="81"/>
      <c r="G1661" s="82"/>
      <c r="H1661" s="82"/>
      <c r="I1661" s="82"/>
      <c r="J1661" s="82"/>
      <c r="K1661" s="82"/>
      <c r="L1661" s="82"/>
      <c r="M1661" s="82"/>
      <c r="N1661" s="82"/>
      <c r="O1661" s="82"/>
      <c r="P1661" s="82"/>
      <c r="Q1661" s="82"/>
      <c r="R1661" s="82"/>
      <c r="S1661" s="82"/>
      <c r="T1661" s="82"/>
      <c r="U1661" s="82"/>
      <c r="V1661" s="82"/>
      <c r="W1661" s="82"/>
      <c r="X1661" s="82"/>
      <c r="Y1661" s="82"/>
      <c r="Z1661" s="82"/>
    </row>
    <row r="1662" spans="1:26">
      <c r="A1662" s="81"/>
      <c r="F1662" s="81"/>
      <c r="G1662" s="82"/>
      <c r="H1662" s="82"/>
      <c r="I1662" s="82"/>
      <c r="J1662" s="82"/>
      <c r="K1662" s="82"/>
      <c r="L1662" s="82"/>
      <c r="M1662" s="82"/>
      <c r="N1662" s="82"/>
      <c r="O1662" s="82"/>
      <c r="P1662" s="82"/>
      <c r="Q1662" s="82"/>
      <c r="R1662" s="82"/>
      <c r="S1662" s="82"/>
      <c r="T1662" s="82"/>
      <c r="U1662" s="82"/>
      <c r="V1662" s="82"/>
      <c r="W1662" s="82"/>
      <c r="X1662" s="82"/>
      <c r="Y1662" s="82"/>
      <c r="Z1662" s="82"/>
    </row>
    <row r="1663" spans="1:26">
      <c r="A1663" s="81"/>
      <c r="F1663" s="81"/>
      <c r="G1663" s="82"/>
      <c r="H1663" s="82"/>
      <c r="I1663" s="82"/>
      <c r="J1663" s="82"/>
      <c r="K1663" s="82"/>
      <c r="L1663" s="82"/>
      <c r="M1663" s="82"/>
      <c r="N1663" s="82"/>
      <c r="O1663" s="82"/>
      <c r="P1663" s="82"/>
      <c r="Q1663" s="82"/>
      <c r="R1663" s="82"/>
      <c r="S1663" s="82"/>
      <c r="T1663" s="82"/>
      <c r="U1663" s="82"/>
      <c r="V1663" s="82"/>
      <c r="W1663" s="82"/>
      <c r="X1663" s="82"/>
      <c r="Y1663" s="82"/>
      <c r="Z1663" s="82"/>
    </row>
    <row r="1664" spans="1:26">
      <c r="A1664" s="81"/>
      <c r="F1664" s="81"/>
      <c r="G1664" s="82"/>
      <c r="H1664" s="82"/>
      <c r="I1664" s="82"/>
      <c r="J1664" s="82"/>
      <c r="K1664" s="82"/>
      <c r="L1664" s="82"/>
      <c r="M1664" s="82"/>
      <c r="N1664" s="82"/>
      <c r="O1664" s="82"/>
      <c r="P1664" s="82"/>
      <c r="Q1664" s="82"/>
      <c r="R1664" s="82"/>
      <c r="S1664" s="82"/>
      <c r="T1664" s="82"/>
      <c r="U1664" s="82"/>
      <c r="V1664" s="82"/>
      <c r="W1664" s="82"/>
      <c r="X1664" s="82"/>
      <c r="Y1664" s="82"/>
      <c r="Z1664" s="82"/>
    </row>
    <row r="1665" spans="1:26">
      <c r="A1665" s="81"/>
      <c r="F1665" s="81"/>
      <c r="G1665" s="82"/>
      <c r="H1665" s="82"/>
      <c r="I1665" s="82"/>
      <c r="J1665" s="82"/>
      <c r="K1665" s="82"/>
      <c r="L1665" s="82"/>
      <c r="M1665" s="82"/>
      <c r="N1665" s="82"/>
      <c r="O1665" s="82"/>
      <c r="P1665" s="82"/>
      <c r="Q1665" s="82"/>
      <c r="R1665" s="82"/>
      <c r="S1665" s="82"/>
      <c r="T1665" s="82"/>
      <c r="U1665" s="82"/>
      <c r="V1665" s="82"/>
      <c r="W1665" s="82"/>
      <c r="X1665" s="82"/>
      <c r="Y1665" s="82"/>
      <c r="Z1665" s="82"/>
    </row>
    <row r="1666" spans="1:26">
      <c r="A1666" s="81"/>
      <c r="F1666" s="81"/>
      <c r="G1666" s="82"/>
      <c r="H1666" s="82"/>
      <c r="I1666" s="82"/>
      <c r="J1666" s="82"/>
      <c r="K1666" s="82"/>
      <c r="L1666" s="82"/>
      <c r="M1666" s="82"/>
      <c r="N1666" s="82"/>
      <c r="O1666" s="82"/>
      <c r="P1666" s="82"/>
      <c r="Q1666" s="82"/>
      <c r="R1666" s="82"/>
      <c r="S1666" s="82"/>
      <c r="T1666" s="82"/>
      <c r="U1666" s="82"/>
      <c r="V1666" s="82"/>
      <c r="W1666" s="82"/>
      <c r="X1666" s="82"/>
      <c r="Y1666" s="82"/>
      <c r="Z1666" s="82"/>
    </row>
    <row r="1667" spans="1:26">
      <c r="A1667" s="81"/>
      <c r="F1667" s="81"/>
      <c r="G1667" s="82"/>
      <c r="H1667" s="82"/>
      <c r="I1667" s="82"/>
      <c r="J1667" s="82"/>
      <c r="K1667" s="82"/>
      <c r="L1667" s="82"/>
      <c r="M1667" s="82"/>
      <c r="N1667" s="82"/>
      <c r="O1667" s="82"/>
      <c r="P1667" s="82"/>
      <c r="Q1667" s="82"/>
      <c r="R1667" s="82"/>
      <c r="S1667" s="82"/>
      <c r="T1667" s="82"/>
      <c r="U1667" s="82"/>
      <c r="V1667" s="82"/>
      <c r="W1667" s="82"/>
      <c r="X1667" s="82"/>
      <c r="Y1667" s="82"/>
      <c r="Z1667" s="82"/>
    </row>
    <row r="1668" spans="1:26">
      <c r="A1668" s="81"/>
      <c r="F1668" s="81"/>
      <c r="G1668" s="82"/>
      <c r="H1668" s="82"/>
      <c r="I1668" s="82"/>
      <c r="J1668" s="82"/>
      <c r="K1668" s="82"/>
      <c r="L1668" s="82"/>
      <c r="M1668" s="82"/>
      <c r="N1668" s="82"/>
      <c r="O1668" s="82"/>
      <c r="P1668" s="82"/>
      <c r="Q1668" s="82"/>
      <c r="R1668" s="82"/>
      <c r="S1668" s="82"/>
      <c r="T1668" s="82"/>
      <c r="U1668" s="82"/>
      <c r="V1668" s="82"/>
      <c r="W1668" s="82"/>
      <c r="X1668" s="82"/>
      <c r="Y1668" s="82"/>
      <c r="Z1668" s="82"/>
    </row>
    <row r="1669" spans="1:26">
      <c r="A1669" s="81"/>
      <c r="F1669" s="81"/>
      <c r="G1669" s="82"/>
      <c r="H1669" s="82"/>
      <c r="I1669" s="82"/>
      <c r="J1669" s="82"/>
      <c r="K1669" s="82"/>
      <c r="L1669" s="82"/>
      <c r="M1669" s="82"/>
      <c r="N1669" s="82"/>
      <c r="O1669" s="82"/>
      <c r="P1669" s="82"/>
      <c r="Q1669" s="82"/>
      <c r="R1669" s="82"/>
      <c r="S1669" s="82"/>
      <c r="T1669" s="82"/>
      <c r="U1669" s="82"/>
      <c r="V1669" s="82"/>
      <c r="W1669" s="82"/>
      <c r="X1669" s="82"/>
      <c r="Y1669" s="82"/>
      <c r="Z1669" s="82"/>
    </row>
    <row r="1670" spans="1:26">
      <c r="A1670" s="81"/>
      <c r="F1670" s="81"/>
      <c r="G1670" s="82"/>
      <c r="H1670" s="82"/>
      <c r="I1670" s="82"/>
      <c r="J1670" s="82"/>
      <c r="K1670" s="82"/>
      <c r="L1670" s="82"/>
      <c r="M1670" s="82"/>
      <c r="N1670" s="82"/>
      <c r="O1670" s="82"/>
      <c r="P1670" s="82"/>
      <c r="Q1670" s="82"/>
      <c r="R1670" s="82"/>
      <c r="S1670" s="82"/>
      <c r="T1670" s="82"/>
      <c r="U1670" s="82"/>
      <c r="V1670" s="82"/>
      <c r="W1670" s="82"/>
      <c r="X1670" s="82"/>
      <c r="Y1670" s="82"/>
      <c r="Z1670" s="82"/>
    </row>
    <row r="1671" spans="1:26">
      <c r="A1671" s="81"/>
      <c r="F1671" s="81"/>
      <c r="G1671" s="82"/>
      <c r="H1671" s="82"/>
      <c r="I1671" s="82"/>
      <c r="J1671" s="82"/>
      <c r="K1671" s="82"/>
      <c r="L1671" s="82"/>
      <c r="M1671" s="82"/>
      <c r="N1671" s="82"/>
      <c r="O1671" s="82"/>
      <c r="P1671" s="82"/>
      <c r="Q1671" s="82"/>
      <c r="R1671" s="82"/>
      <c r="S1671" s="82"/>
      <c r="T1671" s="82"/>
      <c r="U1671" s="82"/>
      <c r="V1671" s="82"/>
      <c r="W1671" s="82"/>
      <c r="X1671" s="82"/>
      <c r="Y1671" s="82"/>
      <c r="Z1671" s="82"/>
    </row>
    <row r="1672" spans="1:26">
      <c r="A1672" s="81"/>
      <c r="F1672" s="81"/>
      <c r="G1672" s="82"/>
      <c r="H1672" s="82"/>
      <c r="I1672" s="82"/>
      <c r="J1672" s="82"/>
      <c r="K1672" s="82"/>
      <c r="L1672" s="82"/>
      <c r="M1672" s="82"/>
      <c r="N1672" s="82"/>
      <c r="O1672" s="82"/>
      <c r="P1672" s="82"/>
      <c r="Q1672" s="82"/>
      <c r="R1672" s="82"/>
      <c r="S1672" s="82"/>
      <c r="T1672" s="82"/>
      <c r="U1672" s="82"/>
      <c r="V1672" s="82"/>
      <c r="W1672" s="82"/>
      <c r="X1672" s="82"/>
      <c r="Y1672" s="82"/>
      <c r="Z1672" s="82"/>
    </row>
    <row r="1673" spans="1:26">
      <c r="A1673" s="81"/>
      <c r="F1673" s="81"/>
      <c r="G1673" s="82"/>
      <c r="H1673" s="82"/>
      <c r="I1673" s="82"/>
      <c r="J1673" s="82"/>
      <c r="K1673" s="82"/>
      <c r="L1673" s="82"/>
      <c r="M1673" s="82"/>
      <c r="N1673" s="82"/>
      <c r="O1673" s="82"/>
      <c r="P1673" s="82"/>
      <c r="Q1673" s="82"/>
      <c r="R1673" s="82"/>
      <c r="S1673" s="82"/>
      <c r="T1673" s="82"/>
      <c r="U1673" s="82"/>
      <c r="V1673" s="82"/>
      <c r="W1673" s="82"/>
      <c r="X1673" s="82"/>
      <c r="Y1673" s="82"/>
      <c r="Z1673" s="82"/>
    </row>
    <row r="1674" spans="1:26">
      <c r="A1674" s="81"/>
      <c r="F1674" s="81"/>
      <c r="G1674" s="82"/>
      <c r="H1674" s="82"/>
      <c r="I1674" s="82"/>
      <c r="J1674" s="82"/>
      <c r="K1674" s="82"/>
      <c r="L1674" s="82"/>
      <c r="M1674" s="82"/>
      <c r="N1674" s="82"/>
      <c r="O1674" s="82"/>
      <c r="P1674" s="82"/>
      <c r="Q1674" s="82"/>
      <c r="R1674" s="82"/>
      <c r="S1674" s="82"/>
      <c r="T1674" s="82"/>
      <c r="U1674" s="82"/>
      <c r="V1674" s="82"/>
      <c r="W1674" s="82"/>
      <c r="X1674" s="82"/>
      <c r="Y1674" s="82"/>
      <c r="Z1674" s="82"/>
    </row>
    <row r="1675" spans="1:26">
      <c r="A1675" s="81"/>
      <c r="F1675" s="81"/>
      <c r="G1675" s="82"/>
      <c r="H1675" s="82"/>
      <c r="I1675" s="82"/>
      <c r="J1675" s="82"/>
      <c r="K1675" s="82"/>
      <c r="L1675" s="82"/>
      <c r="M1675" s="82"/>
      <c r="N1675" s="82"/>
      <c r="O1675" s="82"/>
      <c r="P1675" s="82"/>
      <c r="Q1675" s="82"/>
      <c r="R1675" s="82"/>
      <c r="S1675" s="82"/>
      <c r="T1675" s="82"/>
      <c r="U1675" s="82"/>
      <c r="V1675" s="82"/>
      <c r="W1675" s="82"/>
      <c r="X1675" s="82"/>
      <c r="Y1675" s="82"/>
      <c r="Z1675" s="82"/>
    </row>
    <row r="1676" spans="1:26">
      <c r="A1676" s="81"/>
      <c r="F1676" s="81"/>
      <c r="G1676" s="82"/>
      <c r="H1676" s="82"/>
      <c r="I1676" s="82"/>
      <c r="J1676" s="82"/>
      <c r="K1676" s="82"/>
      <c r="L1676" s="82"/>
      <c r="M1676" s="82"/>
      <c r="N1676" s="82"/>
      <c r="O1676" s="82"/>
      <c r="P1676" s="82"/>
      <c r="Q1676" s="82"/>
      <c r="R1676" s="82"/>
      <c r="S1676" s="82"/>
      <c r="T1676" s="82"/>
      <c r="U1676" s="82"/>
      <c r="V1676" s="82"/>
      <c r="W1676" s="82"/>
      <c r="X1676" s="82"/>
      <c r="Y1676" s="82"/>
      <c r="Z1676" s="82"/>
    </row>
    <row r="1677" spans="1:26">
      <c r="A1677" s="81"/>
      <c r="F1677" s="81"/>
      <c r="G1677" s="82"/>
      <c r="H1677" s="82"/>
      <c r="I1677" s="82"/>
      <c r="J1677" s="82"/>
      <c r="K1677" s="82"/>
      <c r="L1677" s="82"/>
      <c r="M1677" s="82"/>
      <c r="N1677" s="82"/>
      <c r="O1677" s="82"/>
      <c r="P1677" s="82"/>
      <c r="Q1677" s="82"/>
      <c r="R1677" s="82"/>
      <c r="S1677" s="82"/>
      <c r="T1677" s="82"/>
      <c r="U1677" s="82"/>
      <c r="V1677" s="82"/>
      <c r="W1677" s="82"/>
      <c r="X1677" s="82"/>
      <c r="Y1677" s="82"/>
      <c r="Z1677" s="82"/>
    </row>
    <row r="1678" spans="1:26">
      <c r="A1678" s="81"/>
      <c r="F1678" s="81"/>
      <c r="G1678" s="82"/>
      <c r="H1678" s="82"/>
      <c r="I1678" s="82"/>
      <c r="J1678" s="82"/>
      <c r="K1678" s="82"/>
      <c r="L1678" s="82"/>
      <c r="M1678" s="82"/>
      <c r="N1678" s="82"/>
      <c r="O1678" s="82"/>
      <c r="P1678" s="82"/>
      <c r="Q1678" s="82"/>
      <c r="R1678" s="82"/>
      <c r="S1678" s="82"/>
      <c r="T1678" s="82"/>
      <c r="U1678" s="82"/>
      <c r="V1678" s="82"/>
      <c r="W1678" s="82"/>
      <c r="X1678" s="82"/>
      <c r="Y1678" s="82"/>
      <c r="Z1678" s="82"/>
    </row>
    <row r="1679" spans="1:26">
      <c r="A1679" s="81"/>
      <c r="F1679" s="81"/>
      <c r="G1679" s="82"/>
      <c r="H1679" s="82"/>
      <c r="I1679" s="82"/>
      <c r="J1679" s="82"/>
      <c r="K1679" s="82"/>
      <c r="L1679" s="82"/>
      <c r="M1679" s="82"/>
      <c r="N1679" s="82"/>
      <c r="O1679" s="82"/>
      <c r="P1679" s="82"/>
      <c r="Q1679" s="82"/>
      <c r="R1679" s="82"/>
      <c r="S1679" s="82"/>
      <c r="T1679" s="82"/>
      <c r="U1679" s="82"/>
      <c r="V1679" s="82"/>
      <c r="W1679" s="82"/>
      <c r="X1679" s="82"/>
      <c r="Y1679" s="82"/>
      <c r="Z1679" s="82"/>
    </row>
    <row r="1680" spans="1:26">
      <c r="A1680" s="81"/>
      <c r="F1680" s="81"/>
      <c r="G1680" s="82"/>
      <c r="H1680" s="82"/>
      <c r="I1680" s="82"/>
      <c r="J1680" s="82"/>
      <c r="K1680" s="82"/>
      <c r="L1680" s="82"/>
      <c r="M1680" s="82"/>
      <c r="N1680" s="82"/>
      <c r="O1680" s="82"/>
      <c r="P1680" s="82"/>
      <c r="Q1680" s="82"/>
      <c r="R1680" s="82"/>
      <c r="S1680" s="82"/>
      <c r="T1680" s="82"/>
      <c r="U1680" s="82"/>
      <c r="V1680" s="82"/>
      <c r="W1680" s="82"/>
      <c r="X1680" s="82"/>
      <c r="Y1680" s="82"/>
      <c r="Z1680" s="82"/>
    </row>
    <row r="1681" spans="1:26">
      <c r="A1681" s="81"/>
      <c r="F1681" s="81"/>
      <c r="G1681" s="82"/>
      <c r="H1681" s="82"/>
      <c r="I1681" s="82"/>
      <c r="J1681" s="82"/>
      <c r="K1681" s="82"/>
      <c r="L1681" s="82"/>
      <c r="M1681" s="82"/>
      <c r="N1681" s="82"/>
      <c r="O1681" s="82"/>
      <c r="P1681" s="82"/>
      <c r="Q1681" s="82"/>
      <c r="R1681" s="82"/>
      <c r="S1681" s="82"/>
      <c r="T1681" s="82"/>
      <c r="U1681" s="82"/>
      <c r="V1681" s="82"/>
      <c r="W1681" s="82"/>
      <c r="X1681" s="82"/>
      <c r="Y1681" s="82"/>
      <c r="Z1681" s="82"/>
    </row>
    <row r="1682" spans="1:26">
      <c r="A1682" s="81"/>
      <c r="F1682" s="81"/>
      <c r="G1682" s="82"/>
      <c r="H1682" s="82"/>
      <c r="I1682" s="82"/>
      <c r="J1682" s="82"/>
      <c r="K1682" s="82"/>
      <c r="L1682" s="82"/>
      <c r="M1682" s="82"/>
      <c r="N1682" s="82"/>
      <c r="O1682" s="82"/>
      <c r="P1682" s="82"/>
      <c r="Q1682" s="82"/>
      <c r="R1682" s="82"/>
      <c r="S1682" s="82"/>
      <c r="T1682" s="82"/>
      <c r="U1682" s="82"/>
      <c r="V1682" s="82"/>
      <c r="W1682" s="82"/>
      <c r="X1682" s="82"/>
      <c r="Y1682" s="82"/>
      <c r="Z1682" s="82"/>
    </row>
    <row r="1683" spans="1:26">
      <c r="A1683" s="81"/>
      <c r="F1683" s="81"/>
      <c r="G1683" s="82"/>
      <c r="H1683" s="82"/>
      <c r="I1683" s="82"/>
      <c r="J1683" s="82"/>
      <c r="K1683" s="82"/>
      <c r="L1683" s="82"/>
      <c r="M1683" s="82"/>
      <c r="N1683" s="82"/>
      <c r="O1683" s="82"/>
      <c r="P1683" s="82"/>
      <c r="Q1683" s="82"/>
      <c r="R1683" s="82"/>
      <c r="S1683" s="82"/>
      <c r="T1683" s="82"/>
      <c r="U1683" s="82"/>
      <c r="V1683" s="82"/>
      <c r="W1683" s="82"/>
      <c r="X1683" s="82"/>
      <c r="Y1683" s="82"/>
      <c r="Z1683" s="82"/>
    </row>
    <row r="1684" spans="1:26">
      <c r="A1684" s="81"/>
      <c r="F1684" s="81"/>
      <c r="G1684" s="82"/>
      <c r="H1684" s="82"/>
      <c r="I1684" s="82"/>
      <c r="J1684" s="82"/>
      <c r="K1684" s="82"/>
      <c r="L1684" s="82"/>
      <c r="M1684" s="82"/>
      <c r="N1684" s="82"/>
      <c r="O1684" s="82"/>
      <c r="P1684" s="82"/>
      <c r="Q1684" s="82"/>
      <c r="R1684" s="82"/>
      <c r="S1684" s="82"/>
      <c r="T1684" s="82"/>
      <c r="U1684" s="82"/>
      <c r="V1684" s="82"/>
      <c r="W1684" s="82"/>
      <c r="X1684" s="82"/>
      <c r="Y1684" s="82"/>
      <c r="Z1684" s="82"/>
    </row>
    <row r="1685" spans="1:26">
      <c r="A1685" s="81"/>
      <c r="F1685" s="81"/>
      <c r="G1685" s="82"/>
      <c r="H1685" s="82"/>
      <c r="I1685" s="82"/>
      <c r="J1685" s="82"/>
      <c r="K1685" s="82"/>
      <c r="L1685" s="82"/>
      <c r="M1685" s="82"/>
      <c r="N1685" s="82"/>
      <c r="O1685" s="82"/>
      <c r="P1685" s="82"/>
      <c r="Q1685" s="82"/>
      <c r="R1685" s="82"/>
      <c r="S1685" s="82"/>
      <c r="T1685" s="82"/>
      <c r="U1685" s="82"/>
      <c r="V1685" s="82"/>
      <c r="W1685" s="82"/>
      <c r="X1685" s="82"/>
      <c r="Y1685" s="82"/>
      <c r="Z1685" s="82"/>
    </row>
    <row r="1686" spans="1:26">
      <c r="A1686" s="81"/>
      <c r="F1686" s="81"/>
      <c r="G1686" s="82"/>
      <c r="H1686" s="82"/>
      <c r="I1686" s="82"/>
      <c r="J1686" s="82"/>
      <c r="K1686" s="82"/>
      <c r="L1686" s="82"/>
      <c r="M1686" s="82"/>
      <c r="N1686" s="82"/>
      <c r="O1686" s="82"/>
      <c r="P1686" s="82"/>
      <c r="Q1686" s="82"/>
      <c r="R1686" s="82"/>
      <c r="S1686" s="82"/>
      <c r="T1686" s="82"/>
      <c r="U1686" s="82"/>
      <c r="V1686" s="82"/>
      <c r="W1686" s="82"/>
      <c r="X1686" s="82"/>
      <c r="Y1686" s="82"/>
      <c r="Z1686" s="82"/>
    </row>
    <row r="1687" spans="1:26">
      <c r="A1687" s="81"/>
      <c r="F1687" s="81"/>
      <c r="G1687" s="82"/>
      <c r="H1687" s="82"/>
      <c r="I1687" s="82"/>
      <c r="J1687" s="82"/>
      <c r="K1687" s="82"/>
      <c r="L1687" s="82"/>
      <c r="M1687" s="82"/>
      <c r="N1687" s="82"/>
      <c r="O1687" s="82"/>
      <c r="P1687" s="82"/>
      <c r="Q1687" s="82"/>
      <c r="R1687" s="82"/>
      <c r="S1687" s="82"/>
      <c r="T1687" s="82"/>
      <c r="U1687" s="82"/>
      <c r="V1687" s="82"/>
      <c r="W1687" s="82"/>
      <c r="X1687" s="82"/>
      <c r="Y1687" s="82"/>
      <c r="Z1687" s="82"/>
    </row>
    <row r="1688" spans="1:26">
      <c r="A1688" s="81"/>
      <c r="F1688" s="81"/>
      <c r="G1688" s="82"/>
      <c r="H1688" s="82"/>
      <c r="I1688" s="82"/>
      <c r="J1688" s="82"/>
      <c r="K1688" s="82"/>
      <c r="L1688" s="82"/>
      <c r="M1688" s="82"/>
      <c r="N1688" s="82"/>
      <c r="O1688" s="82"/>
      <c r="P1688" s="82"/>
      <c r="Q1688" s="82"/>
      <c r="R1688" s="82"/>
      <c r="S1688" s="82"/>
      <c r="T1688" s="82"/>
      <c r="U1688" s="82"/>
      <c r="V1688" s="82"/>
      <c r="W1688" s="82"/>
      <c r="X1688" s="82"/>
      <c r="Y1688" s="82"/>
      <c r="Z1688" s="82"/>
    </row>
    <row r="1689" spans="1:26">
      <c r="A1689" s="81"/>
      <c r="F1689" s="81"/>
      <c r="G1689" s="82"/>
      <c r="H1689" s="82"/>
      <c r="I1689" s="82"/>
      <c r="J1689" s="82"/>
      <c r="K1689" s="82"/>
      <c r="L1689" s="82"/>
      <c r="M1689" s="82"/>
      <c r="N1689" s="82"/>
      <c r="O1689" s="82"/>
      <c r="P1689" s="82"/>
      <c r="Q1689" s="82"/>
      <c r="R1689" s="82"/>
      <c r="S1689" s="82"/>
      <c r="T1689" s="82"/>
      <c r="U1689" s="82"/>
      <c r="V1689" s="82"/>
      <c r="W1689" s="82"/>
      <c r="X1689" s="82"/>
      <c r="Y1689" s="82"/>
      <c r="Z1689" s="82"/>
    </row>
    <row r="1690" spans="1:26">
      <c r="A1690" s="81"/>
      <c r="F1690" s="81"/>
      <c r="G1690" s="82"/>
      <c r="H1690" s="82"/>
      <c r="I1690" s="82"/>
      <c r="J1690" s="82"/>
      <c r="K1690" s="82"/>
      <c r="L1690" s="82"/>
      <c r="M1690" s="82"/>
      <c r="N1690" s="82"/>
      <c r="O1690" s="82"/>
      <c r="P1690" s="82"/>
      <c r="Q1690" s="82"/>
      <c r="R1690" s="82"/>
      <c r="S1690" s="82"/>
      <c r="T1690" s="82"/>
      <c r="U1690" s="82"/>
      <c r="V1690" s="82"/>
      <c r="W1690" s="82"/>
      <c r="X1690" s="82"/>
      <c r="Y1690" s="82"/>
      <c r="Z1690" s="82"/>
    </row>
    <row r="1691" spans="1:26">
      <c r="A1691" s="81"/>
      <c r="F1691" s="81"/>
      <c r="G1691" s="82"/>
      <c r="H1691" s="82"/>
      <c r="I1691" s="82"/>
      <c r="J1691" s="82"/>
      <c r="K1691" s="82"/>
      <c r="L1691" s="82"/>
      <c r="M1691" s="82"/>
      <c r="N1691" s="82"/>
      <c r="O1691" s="82"/>
      <c r="P1691" s="82"/>
      <c r="Q1691" s="82"/>
      <c r="R1691" s="82"/>
      <c r="S1691" s="82"/>
      <c r="T1691" s="82"/>
      <c r="U1691" s="82"/>
      <c r="V1691" s="82"/>
      <c r="W1691" s="82"/>
      <c r="X1691" s="82"/>
      <c r="Y1691" s="82"/>
      <c r="Z1691" s="82"/>
    </row>
    <row r="1692" spans="1:26">
      <c r="A1692" s="81"/>
      <c r="F1692" s="81"/>
      <c r="G1692" s="82"/>
      <c r="H1692" s="82"/>
      <c r="I1692" s="82"/>
      <c r="J1692" s="82"/>
      <c r="K1692" s="82"/>
      <c r="L1692" s="82"/>
      <c r="M1692" s="82"/>
      <c r="N1692" s="82"/>
      <c r="O1692" s="82"/>
      <c r="P1692" s="82"/>
      <c r="Q1692" s="82"/>
      <c r="R1692" s="82"/>
      <c r="S1692" s="82"/>
      <c r="T1692" s="82"/>
      <c r="U1692" s="82"/>
      <c r="V1692" s="82"/>
      <c r="W1692" s="82"/>
      <c r="X1692" s="82"/>
      <c r="Y1692" s="82"/>
      <c r="Z1692" s="82"/>
    </row>
    <row r="1693" spans="1:26">
      <c r="A1693" s="81"/>
      <c r="F1693" s="81"/>
      <c r="G1693" s="82"/>
      <c r="H1693" s="82"/>
      <c r="I1693" s="82"/>
      <c r="J1693" s="82"/>
      <c r="K1693" s="82"/>
      <c r="L1693" s="82"/>
      <c r="M1693" s="82"/>
      <c r="N1693" s="82"/>
      <c r="O1693" s="82"/>
      <c r="P1693" s="82"/>
      <c r="Q1693" s="82"/>
      <c r="R1693" s="82"/>
      <c r="S1693" s="82"/>
      <c r="T1693" s="82"/>
      <c r="U1693" s="82"/>
      <c r="V1693" s="82"/>
      <c r="W1693" s="82"/>
      <c r="X1693" s="82"/>
      <c r="Y1693" s="82"/>
      <c r="Z1693" s="82"/>
    </row>
    <row r="1694" spans="1:26">
      <c r="A1694" s="81"/>
      <c r="F1694" s="81"/>
      <c r="G1694" s="82"/>
      <c r="H1694" s="82"/>
      <c r="I1694" s="82"/>
      <c r="J1694" s="82"/>
      <c r="K1694" s="82"/>
      <c r="L1694" s="82"/>
      <c r="M1694" s="82"/>
      <c r="N1694" s="82"/>
      <c r="O1694" s="82"/>
      <c r="P1694" s="82"/>
      <c r="Q1694" s="82"/>
      <c r="R1694" s="82"/>
      <c r="S1694" s="82"/>
      <c r="T1694" s="82"/>
      <c r="U1694" s="82"/>
      <c r="V1694" s="82"/>
      <c r="W1694" s="82"/>
      <c r="X1694" s="82"/>
      <c r="Y1694" s="82"/>
      <c r="Z1694" s="82"/>
    </row>
    <row r="1695" spans="1:26">
      <c r="A1695" s="81"/>
      <c r="F1695" s="81"/>
      <c r="G1695" s="82"/>
      <c r="H1695" s="82"/>
      <c r="I1695" s="82"/>
      <c r="J1695" s="82"/>
      <c r="K1695" s="82"/>
      <c r="L1695" s="82"/>
      <c r="M1695" s="82"/>
      <c r="N1695" s="82"/>
      <c r="O1695" s="82"/>
      <c r="P1695" s="82"/>
      <c r="Q1695" s="82"/>
      <c r="R1695" s="82"/>
      <c r="S1695" s="82"/>
      <c r="T1695" s="82"/>
      <c r="U1695" s="82"/>
      <c r="V1695" s="82"/>
      <c r="W1695" s="82"/>
      <c r="X1695" s="82"/>
      <c r="Y1695" s="82"/>
      <c r="Z1695" s="82"/>
    </row>
    <row r="1696" spans="1:26">
      <c r="A1696" s="81"/>
      <c r="F1696" s="81"/>
      <c r="G1696" s="82"/>
      <c r="H1696" s="82"/>
      <c r="I1696" s="82"/>
      <c r="J1696" s="82"/>
      <c r="K1696" s="82"/>
      <c r="L1696" s="82"/>
      <c r="M1696" s="82"/>
      <c r="N1696" s="82"/>
      <c r="O1696" s="82"/>
      <c r="P1696" s="82"/>
      <c r="Q1696" s="82"/>
      <c r="R1696" s="82"/>
      <c r="S1696" s="82"/>
      <c r="T1696" s="82"/>
      <c r="U1696" s="82"/>
      <c r="V1696" s="82"/>
      <c r="W1696" s="82"/>
      <c r="X1696" s="82"/>
      <c r="Y1696" s="82"/>
      <c r="Z1696" s="82"/>
    </row>
    <row r="1697" spans="1:26">
      <c r="A1697" s="81"/>
      <c r="F1697" s="81"/>
      <c r="G1697" s="82"/>
      <c r="H1697" s="82"/>
      <c r="I1697" s="82"/>
      <c r="J1697" s="82"/>
      <c r="K1697" s="82"/>
      <c r="L1697" s="82"/>
      <c r="M1697" s="82"/>
      <c r="N1697" s="82"/>
      <c r="O1697" s="82"/>
      <c r="P1697" s="82"/>
      <c r="Q1697" s="82"/>
      <c r="R1697" s="82"/>
      <c r="S1697" s="82"/>
      <c r="T1697" s="82"/>
      <c r="U1697" s="82"/>
      <c r="V1697" s="82"/>
      <c r="W1697" s="82"/>
      <c r="X1697" s="82"/>
      <c r="Y1697" s="82"/>
      <c r="Z1697" s="82"/>
    </row>
    <row r="1698" spans="1:26">
      <c r="A1698" s="81"/>
      <c r="F1698" s="81"/>
      <c r="G1698" s="82"/>
      <c r="H1698" s="82"/>
      <c r="I1698" s="82"/>
      <c r="J1698" s="82"/>
      <c r="K1698" s="82"/>
      <c r="L1698" s="82"/>
      <c r="M1698" s="82"/>
      <c r="N1698" s="82"/>
      <c r="O1698" s="82"/>
      <c r="P1698" s="82"/>
      <c r="Q1698" s="82"/>
      <c r="R1698" s="82"/>
      <c r="S1698" s="82"/>
      <c r="T1698" s="82"/>
      <c r="U1698" s="82"/>
      <c r="V1698" s="82"/>
      <c r="W1698" s="82"/>
      <c r="X1698" s="82"/>
      <c r="Y1698" s="82"/>
      <c r="Z1698" s="82"/>
    </row>
    <row r="1699" spans="1:26">
      <c r="A1699" s="81"/>
      <c r="F1699" s="81"/>
      <c r="G1699" s="82"/>
      <c r="H1699" s="82"/>
      <c r="I1699" s="82"/>
      <c r="J1699" s="82"/>
      <c r="K1699" s="82"/>
      <c r="L1699" s="82"/>
      <c r="M1699" s="82"/>
      <c r="N1699" s="82"/>
      <c r="O1699" s="82"/>
      <c r="P1699" s="82"/>
      <c r="Q1699" s="82"/>
      <c r="R1699" s="82"/>
      <c r="S1699" s="82"/>
      <c r="T1699" s="82"/>
      <c r="U1699" s="82"/>
      <c r="V1699" s="82"/>
      <c r="W1699" s="82"/>
      <c r="X1699" s="82"/>
      <c r="Y1699" s="82"/>
      <c r="Z1699" s="82"/>
    </row>
    <row r="1700" spans="1:26">
      <c r="A1700" s="81"/>
      <c r="F1700" s="81"/>
      <c r="G1700" s="82"/>
      <c r="H1700" s="82"/>
      <c r="I1700" s="82"/>
      <c r="J1700" s="82"/>
      <c r="K1700" s="82"/>
      <c r="L1700" s="82"/>
      <c r="M1700" s="82"/>
      <c r="N1700" s="82"/>
      <c r="O1700" s="82"/>
      <c r="P1700" s="82"/>
      <c r="Q1700" s="82"/>
      <c r="R1700" s="82"/>
      <c r="S1700" s="82"/>
      <c r="T1700" s="82"/>
      <c r="U1700" s="82"/>
      <c r="V1700" s="82"/>
      <c r="W1700" s="82"/>
      <c r="X1700" s="82"/>
      <c r="Y1700" s="82"/>
      <c r="Z1700" s="82"/>
    </row>
    <row r="1701" spans="1:26">
      <c r="A1701" s="81"/>
      <c r="F1701" s="81"/>
      <c r="G1701" s="82"/>
      <c r="H1701" s="82"/>
      <c r="I1701" s="82"/>
      <c r="J1701" s="82"/>
      <c r="K1701" s="82"/>
      <c r="L1701" s="82"/>
      <c r="M1701" s="82"/>
      <c r="N1701" s="82"/>
      <c r="O1701" s="82"/>
      <c r="P1701" s="82"/>
      <c r="Q1701" s="82"/>
      <c r="R1701" s="82"/>
      <c r="S1701" s="82"/>
      <c r="T1701" s="82"/>
      <c r="U1701" s="82"/>
      <c r="V1701" s="82"/>
      <c r="W1701" s="82"/>
      <c r="X1701" s="82"/>
      <c r="Y1701" s="82"/>
      <c r="Z1701" s="82"/>
    </row>
    <row r="1702" spans="1:26">
      <c r="A1702" s="81"/>
      <c r="F1702" s="81"/>
      <c r="G1702" s="82"/>
      <c r="H1702" s="82"/>
      <c r="I1702" s="82"/>
      <c r="J1702" s="82"/>
      <c r="K1702" s="82"/>
      <c r="L1702" s="82"/>
      <c r="M1702" s="82"/>
      <c r="N1702" s="82"/>
      <c r="O1702" s="82"/>
      <c r="P1702" s="82"/>
      <c r="Q1702" s="82"/>
      <c r="R1702" s="82"/>
      <c r="S1702" s="82"/>
      <c r="T1702" s="82"/>
      <c r="U1702" s="82"/>
      <c r="V1702" s="82"/>
      <c r="W1702" s="82"/>
      <c r="X1702" s="82"/>
      <c r="Y1702" s="82"/>
      <c r="Z1702" s="82"/>
    </row>
    <row r="1703" spans="1:26">
      <c r="A1703" s="81"/>
      <c r="F1703" s="81"/>
      <c r="G1703" s="82"/>
      <c r="H1703" s="82"/>
      <c r="I1703" s="82"/>
      <c r="J1703" s="82"/>
      <c r="K1703" s="82"/>
      <c r="L1703" s="82"/>
      <c r="M1703" s="82"/>
      <c r="N1703" s="82"/>
      <c r="O1703" s="82"/>
      <c r="P1703" s="82"/>
      <c r="Q1703" s="82"/>
      <c r="R1703" s="82"/>
      <c r="S1703" s="82"/>
      <c r="T1703" s="82"/>
      <c r="U1703" s="82"/>
      <c r="V1703" s="82"/>
      <c r="W1703" s="82"/>
      <c r="X1703" s="82"/>
      <c r="Y1703" s="82"/>
      <c r="Z1703" s="82"/>
    </row>
    <row r="1704" spans="1:26">
      <c r="A1704" s="81"/>
      <c r="F1704" s="81"/>
      <c r="G1704" s="82"/>
      <c r="H1704" s="82"/>
      <c r="I1704" s="82"/>
      <c r="J1704" s="82"/>
      <c r="K1704" s="82"/>
      <c r="L1704" s="82"/>
      <c r="M1704" s="82"/>
      <c r="N1704" s="82"/>
      <c r="O1704" s="82"/>
      <c r="P1704" s="82"/>
      <c r="Q1704" s="82"/>
      <c r="R1704" s="82"/>
      <c r="S1704" s="82"/>
      <c r="T1704" s="82"/>
      <c r="U1704" s="82"/>
      <c r="V1704" s="82"/>
      <c r="W1704" s="82"/>
      <c r="X1704" s="82"/>
      <c r="Y1704" s="82"/>
      <c r="Z1704" s="82"/>
    </row>
    <row r="1705" spans="1:26">
      <c r="A1705" s="81"/>
      <c r="F1705" s="81"/>
      <c r="G1705" s="82"/>
      <c r="H1705" s="82"/>
      <c r="I1705" s="82"/>
      <c r="J1705" s="82"/>
      <c r="K1705" s="82"/>
      <c r="L1705" s="82"/>
      <c r="M1705" s="82"/>
      <c r="N1705" s="82"/>
      <c r="O1705" s="82"/>
      <c r="P1705" s="82"/>
      <c r="Q1705" s="82"/>
      <c r="R1705" s="82"/>
      <c r="S1705" s="82"/>
      <c r="T1705" s="82"/>
      <c r="U1705" s="82"/>
      <c r="V1705" s="82"/>
      <c r="W1705" s="82"/>
      <c r="X1705" s="82"/>
      <c r="Y1705" s="82"/>
      <c r="Z1705" s="82"/>
    </row>
    <row r="1706" spans="1:26">
      <c r="A1706" s="81"/>
      <c r="F1706" s="81"/>
      <c r="G1706" s="82"/>
      <c r="H1706" s="82"/>
      <c r="I1706" s="82"/>
      <c r="J1706" s="82"/>
      <c r="K1706" s="82"/>
      <c r="L1706" s="82"/>
      <c r="M1706" s="82"/>
      <c r="N1706" s="82"/>
      <c r="O1706" s="82"/>
      <c r="P1706" s="82"/>
      <c r="Q1706" s="82"/>
      <c r="R1706" s="82"/>
      <c r="S1706" s="82"/>
      <c r="T1706" s="82"/>
      <c r="U1706" s="82"/>
      <c r="V1706" s="82"/>
      <c r="W1706" s="82"/>
      <c r="X1706" s="82"/>
      <c r="Y1706" s="82"/>
      <c r="Z1706" s="82"/>
    </row>
    <row r="1707" spans="1:26">
      <c r="A1707" s="81"/>
      <c r="F1707" s="81"/>
      <c r="G1707" s="82"/>
      <c r="H1707" s="82"/>
      <c r="I1707" s="82"/>
      <c r="J1707" s="82"/>
      <c r="K1707" s="82"/>
      <c r="L1707" s="82"/>
      <c r="M1707" s="82"/>
      <c r="N1707" s="82"/>
      <c r="O1707" s="82"/>
      <c r="P1707" s="82"/>
      <c r="Q1707" s="82"/>
      <c r="R1707" s="82"/>
      <c r="S1707" s="82"/>
      <c r="T1707" s="82"/>
      <c r="U1707" s="82"/>
      <c r="V1707" s="82"/>
      <c r="W1707" s="82"/>
      <c r="X1707" s="82"/>
      <c r="Y1707" s="82"/>
      <c r="Z1707" s="82"/>
    </row>
    <row r="1708" spans="1:26">
      <c r="A1708" s="81"/>
      <c r="F1708" s="81"/>
      <c r="G1708" s="82"/>
      <c r="H1708" s="82"/>
      <c r="I1708" s="82"/>
      <c r="J1708" s="82"/>
      <c r="K1708" s="82"/>
      <c r="L1708" s="82"/>
      <c r="M1708" s="82"/>
      <c r="N1708" s="82"/>
      <c r="O1708" s="82"/>
      <c r="P1708" s="82"/>
      <c r="Q1708" s="82"/>
      <c r="R1708" s="82"/>
      <c r="S1708" s="82"/>
      <c r="T1708" s="82"/>
      <c r="U1708" s="82"/>
      <c r="V1708" s="82"/>
      <c r="W1708" s="82"/>
      <c r="X1708" s="82"/>
      <c r="Y1708" s="82"/>
      <c r="Z1708" s="82"/>
    </row>
    <row r="1709" spans="1:26">
      <c r="A1709" s="81"/>
      <c r="F1709" s="81"/>
      <c r="G1709" s="82"/>
      <c r="H1709" s="82"/>
      <c r="I1709" s="82"/>
      <c r="J1709" s="82"/>
      <c r="K1709" s="82"/>
      <c r="L1709" s="82"/>
      <c r="M1709" s="82"/>
      <c r="N1709" s="82"/>
      <c r="O1709" s="82"/>
      <c r="P1709" s="82"/>
      <c r="Q1709" s="82"/>
      <c r="R1709" s="82"/>
      <c r="S1709" s="82"/>
      <c r="T1709" s="82"/>
      <c r="U1709" s="82"/>
      <c r="V1709" s="82"/>
      <c r="W1709" s="82"/>
      <c r="X1709" s="82"/>
      <c r="Y1709" s="82"/>
      <c r="Z1709" s="82"/>
    </row>
    <row r="1710" spans="1:26">
      <c r="A1710" s="81"/>
      <c r="F1710" s="81"/>
      <c r="G1710" s="82"/>
      <c r="H1710" s="82"/>
      <c r="I1710" s="82"/>
      <c r="J1710" s="82"/>
      <c r="K1710" s="82"/>
      <c r="L1710" s="82"/>
      <c r="M1710" s="82"/>
      <c r="N1710" s="82"/>
      <c r="O1710" s="82"/>
      <c r="P1710" s="82"/>
      <c r="Q1710" s="82"/>
      <c r="R1710" s="82"/>
      <c r="S1710" s="82"/>
      <c r="T1710" s="82"/>
      <c r="U1710" s="82"/>
      <c r="V1710" s="82"/>
      <c r="W1710" s="82"/>
      <c r="X1710" s="82"/>
      <c r="Y1710" s="82"/>
      <c r="Z1710" s="82"/>
    </row>
    <row r="1711" spans="1:26">
      <c r="A1711" s="81"/>
      <c r="F1711" s="81"/>
      <c r="G1711" s="82"/>
      <c r="H1711" s="82"/>
      <c r="I1711" s="82"/>
      <c r="J1711" s="82"/>
      <c r="K1711" s="82"/>
      <c r="L1711" s="82"/>
      <c r="M1711" s="82"/>
      <c r="N1711" s="82"/>
      <c r="O1711" s="82"/>
      <c r="P1711" s="82"/>
      <c r="Q1711" s="82"/>
      <c r="R1711" s="82"/>
      <c r="S1711" s="82"/>
      <c r="T1711" s="82"/>
      <c r="U1711" s="82"/>
      <c r="V1711" s="82"/>
      <c r="W1711" s="82"/>
      <c r="X1711" s="82"/>
      <c r="Y1711" s="82"/>
      <c r="Z1711" s="82"/>
    </row>
    <row r="1712" spans="1:26">
      <c r="A1712" s="81"/>
      <c r="F1712" s="81"/>
      <c r="G1712" s="82"/>
      <c r="H1712" s="82"/>
      <c r="I1712" s="82"/>
      <c r="J1712" s="82"/>
      <c r="K1712" s="82"/>
      <c r="L1712" s="82"/>
      <c r="M1712" s="82"/>
      <c r="N1712" s="82"/>
      <c r="O1712" s="82"/>
      <c r="P1712" s="82"/>
      <c r="Q1712" s="82"/>
      <c r="R1712" s="82"/>
      <c r="S1712" s="82"/>
      <c r="T1712" s="82"/>
      <c r="U1712" s="82"/>
      <c r="V1712" s="82"/>
      <c r="W1712" s="82"/>
      <c r="X1712" s="82"/>
      <c r="Y1712" s="82"/>
      <c r="Z1712" s="82"/>
    </row>
    <row r="1713" spans="1:26">
      <c r="A1713" s="81"/>
      <c r="F1713" s="81"/>
      <c r="G1713" s="82"/>
      <c r="H1713" s="82"/>
      <c r="I1713" s="82"/>
      <c r="J1713" s="82"/>
      <c r="K1713" s="82"/>
      <c r="L1713" s="82"/>
      <c r="M1713" s="82"/>
      <c r="N1713" s="82"/>
      <c r="O1713" s="82"/>
      <c r="P1713" s="82"/>
      <c r="Q1713" s="82"/>
      <c r="R1713" s="82"/>
      <c r="S1713" s="82"/>
      <c r="T1713" s="82"/>
      <c r="U1713" s="82"/>
      <c r="V1713" s="82"/>
      <c r="W1713" s="82"/>
      <c r="X1713" s="82"/>
      <c r="Y1713" s="82"/>
      <c r="Z1713" s="82"/>
    </row>
    <row r="1714" spans="1:26">
      <c r="A1714" s="81"/>
      <c r="F1714" s="81"/>
      <c r="G1714" s="82"/>
      <c r="H1714" s="82"/>
      <c r="I1714" s="82"/>
      <c r="J1714" s="82"/>
      <c r="K1714" s="82"/>
      <c r="L1714" s="82"/>
      <c r="M1714" s="82"/>
      <c r="N1714" s="82"/>
      <c r="O1714" s="82"/>
      <c r="P1714" s="82"/>
      <c r="Q1714" s="82"/>
      <c r="R1714" s="82"/>
      <c r="S1714" s="82"/>
      <c r="T1714" s="82"/>
      <c r="U1714" s="82"/>
      <c r="V1714" s="82"/>
      <c r="W1714" s="82"/>
      <c r="X1714" s="82"/>
      <c r="Y1714" s="82"/>
      <c r="Z1714" s="82"/>
    </row>
    <row r="1715" spans="1:26">
      <c r="A1715" s="81"/>
      <c r="F1715" s="81"/>
      <c r="G1715" s="82"/>
      <c r="H1715" s="82"/>
      <c r="I1715" s="82"/>
      <c r="J1715" s="82"/>
      <c r="K1715" s="82"/>
      <c r="L1715" s="82"/>
      <c r="M1715" s="82"/>
      <c r="N1715" s="82"/>
      <c r="O1715" s="82"/>
      <c r="P1715" s="82"/>
      <c r="Q1715" s="82"/>
      <c r="R1715" s="82"/>
      <c r="S1715" s="82"/>
      <c r="T1715" s="82"/>
      <c r="U1715" s="82"/>
      <c r="V1715" s="82"/>
      <c r="W1715" s="82"/>
      <c r="X1715" s="82"/>
      <c r="Y1715" s="82"/>
      <c r="Z1715" s="82"/>
    </row>
    <row r="1716" spans="1:26">
      <c r="A1716" s="81"/>
      <c r="F1716" s="81"/>
      <c r="G1716" s="82"/>
      <c r="H1716" s="82"/>
      <c r="I1716" s="82"/>
      <c r="J1716" s="82"/>
      <c r="K1716" s="82"/>
      <c r="L1716" s="82"/>
      <c r="M1716" s="82"/>
      <c r="N1716" s="82"/>
      <c r="O1716" s="82"/>
      <c r="P1716" s="82"/>
      <c r="Q1716" s="82"/>
      <c r="R1716" s="82"/>
      <c r="S1716" s="82"/>
      <c r="T1716" s="82"/>
      <c r="U1716" s="82"/>
      <c r="V1716" s="82"/>
      <c r="W1716" s="82"/>
      <c r="X1716" s="82"/>
      <c r="Y1716" s="82"/>
      <c r="Z1716" s="82"/>
    </row>
    <row r="1717" spans="1:26">
      <c r="A1717" s="81"/>
      <c r="F1717" s="81"/>
      <c r="G1717" s="82"/>
      <c r="H1717" s="82"/>
      <c r="I1717" s="82"/>
      <c r="J1717" s="82"/>
      <c r="K1717" s="82"/>
      <c r="L1717" s="82"/>
      <c r="M1717" s="82"/>
      <c r="N1717" s="82"/>
      <c r="O1717" s="82"/>
      <c r="P1717" s="82"/>
      <c r="Q1717" s="82"/>
      <c r="R1717" s="82"/>
      <c r="S1717" s="82"/>
      <c r="T1717" s="82"/>
      <c r="U1717" s="82"/>
      <c r="V1717" s="82"/>
      <c r="W1717" s="82"/>
      <c r="X1717" s="82"/>
      <c r="Y1717" s="82"/>
      <c r="Z1717" s="82"/>
    </row>
    <row r="1718" spans="1:26">
      <c r="A1718" s="81"/>
      <c r="F1718" s="81"/>
      <c r="G1718" s="82"/>
      <c r="H1718" s="82"/>
      <c r="I1718" s="82"/>
      <c r="J1718" s="82"/>
      <c r="K1718" s="82"/>
      <c r="L1718" s="82"/>
      <c r="M1718" s="82"/>
      <c r="N1718" s="82"/>
      <c r="O1718" s="82"/>
      <c r="P1718" s="82"/>
      <c r="Q1718" s="82"/>
      <c r="R1718" s="82"/>
      <c r="S1718" s="82"/>
      <c r="T1718" s="82"/>
      <c r="U1718" s="82"/>
      <c r="V1718" s="82"/>
      <c r="W1718" s="82"/>
      <c r="X1718" s="82"/>
      <c r="Y1718" s="82"/>
      <c r="Z1718" s="82"/>
    </row>
    <row r="1719" spans="1:26">
      <c r="A1719" s="81"/>
      <c r="F1719" s="81"/>
      <c r="G1719" s="82"/>
      <c r="H1719" s="82"/>
      <c r="I1719" s="82"/>
      <c r="J1719" s="82"/>
      <c r="K1719" s="82"/>
      <c r="L1719" s="82"/>
      <c r="M1719" s="82"/>
      <c r="N1719" s="82"/>
      <c r="O1719" s="82"/>
      <c r="P1719" s="82"/>
      <c r="Q1719" s="82"/>
      <c r="R1719" s="82"/>
      <c r="S1719" s="82"/>
      <c r="T1719" s="82"/>
      <c r="U1719" s="82"/>
      <c r="V1719" s="82"/>
      <c r="W1719" s="82"/>
      <c r="X1719" s="82"/>
      <c r="Y1719" s="82"/>
      <c r="Z1719" s="82"/>
    </row>
    <row r="1720" spans="1:26">
      <c r="A1720" s="81"/>
      <c r="F1720" s="81"/>
      <c r="G1720" s="82"/>
      <c r="H1720" s="82"/>
      <c r="I1720" s="82"/>
      <c r="J1720" s="82"/>
      <c r="K1720" s="82"/>
      <c r="L1720" s="82"/>
      <c r="M1720" s="82"/>
      <c r="N1720" s="82"/>
      <c r="O1720" s="82"/>
      <c r="P1720" s="82"/>
      <c r="Q1720" s="82"/>
      <c r="R1720" s="82"/>
      <c r="S1720" s="82"/>
      <c r="T1720" s="82"/>
      <c r="U1720" s="82"/>
      <c r="V1720" s="82"/>
      <c r="W1720" s="82"/>
      <c r="X1720" s="82"/>
      <c r="Y1720" s="82"/>
      <c r="Z1720" s="82"/>
    </row>
    <row r="1721" spans="1:26">
      <c r="A1721" s="81"/>
      <c r="F1721" s="81"/>
      <c r="G1721" s="82"/>
      <c r="H1721" s="82"/>
      <c r="I1721" s="82"/>
      <c r="J1721" s="82"/>
      <c r="K1721" s="82"/>
      <c r="L1721" s="82"/>
      <c r="M1721" s="82"/>
      <c r="N1721" s="82"/>
      <c r="O1721" s="82"/>
      <c r="P1721" s="82"/>
      <c r="Q1721" s="82"/>
      <c r="R1721" s="82"/>
      <c r="S1721" s="82"/>
      <c r="T1721" s="82"/>
      <c r="U1721" s="82"/>
      <c r="V1721" s="82"/>
      <c r="W1721" s="82"/>
      <c r="X1721" s="82"/>
      <c r="Y1721" s="82"/>
      <c r="Z1721" s="82"/>
    </row>
    <row r="1722" spans="1:26">
      <c r="A1722" s="81"/>
      <c r="F1722" s="81"/>
      <c r="G1722" s="82"/>
      <c r="H1722" s="82"/>
      <c r="I1722" s="82"/>
      <c r="J1722" s="82"/>
      <c r="K1722" s="82"/>
      <c r="L1722" s="82"/>
      <c r="M1722" s="82"/>
      <c r="N1722" s="82"/>
      <c r="O1722" s="82"/>
      <c r="P1722" s="82"/>
      <c r="Q1722" s="82"/>
      <c r="R1722" s="82"/>
      <c r="S1722" s="82"/>
      <c r="T1722" s="82"/>
      <c r="U1722" s="82"/>
      <c r="V1722" s="82"/>
      <c r="W1722" s="82"/>
      <c r="X1722" s="82"/>
      <c r="Y1722" s="82"/>
      <c r="Z1722" s="82"/>
    </row>
    <row r="1723" spans="1:26">
      <c r="A1723" s="81"/>
      <c r="F1723" s="81"/>
      <c r="G1723" s="82"/>
      <c r="H1723" s="82"/>
      <c r="I1723" s="82"/>
      <c r="J1723" s="82"/>
      <c r="K1723" s="82"/>
      <c r="L1723" s="82"/>
      <c r="M1723" s="82"/>
      <c r="N1723" s="82"/>
      <c r="O1723" s="82"/>
      <c r="P1723" s="82"/>
      <c r="Q1723" s="82"/>
      <c r="R1723" s="82"/>
      <c r="S1723" s="82"/>
      <c r="T1723" s="82"/>
      <c r="U1723" s="82"/>
      <c r="V1723" s="82"/>
      <c r="W1723" s="82"/>
      <c r="X1723" s="82"/>
      <c r="Y1723" s="82"/>
      <c r="Z1723" s="82"/>
    </row>
    <row r="1724" spans="1:26">
      <c r="A1724" s="81"/>
      <c r="F1724" s="81"/>
      <c r="G1724" s="82"/>
      <c r="H1724" s="82"/>
      <c r="I1724" s="82"/>
      <c r="J1724" s="82"/>
      <c r="K1724" s="82"/>
      <c r="L1724" s="82"/>
      <c r="M1724" s="82"/>
      <c r="N1724" s="82"/>
      <c r="O1724" s="82"/>
      <c r="P1724" s="82"/>
      <c r="Q1724" s="82"/>
      <c r="R1724" s="82"/>
      <c r="S1724" s="82"/>
      <c r="T1724" s="82"/>
      <c r="U1724" s="82"/>
      <c r="V1724" s="82"/>
      <c r="W1724" s="82"/>
      <c r="X1724" s="82"/>
      <c r="Y1724" s="82"/>
      <c r="Z1724" s="82"/>
    </row>
    <row r="1725" spans="1:26">
      <c r="A1725" s="81"/>
      <c r="F1725" s="81"/>
      <c r="G1725" s="82"/>
      <c r="H1725" s="82"/>
      <c r="I1725" s="82"/>
      <c r="J1725" s="82"/>
      <c r="K1725" s="82"/>
      <c r="L1725" s="82"/>
      <c r="M1725" s="82"/>
      <c r="N1725" s="82"/>
      <c r="O1725" s="82"/>
      <c r="P1725" s="82"/>
      <c r="Q1725" s="82"/>
      <c r="R1725" s="82"/>
      <c r="S1725" s="82"/>
      <c r="T1725" s="82"/>
      <c r="U1725" s="82"/>
      <c r="V1725" s="82"/>
      <c r="W1725" s="82"/>
      <c r="X1725" s="82"/>
      <c r="Y1725" s="82"/>
      <c r="Z1725" s="82"/>
    </row>
    <row r="1726" spans="1:26">
      <c r="A1726" s="81"/>
      <c r="F1726" s="81"/>
      <c r="G1726" s="82"/>
      <c r="H1726" s="82"/>
      <c r="I1726" s="82"/>
      <c r="J1726" s="82"/>
      <c r="K1726" s="82"/>
      <c r="L1726" s="82"/>
      <c r="M1726" s="82"/>
      <c r="N1726" s="82"/>
      <c r="O1726" s="82"/>
      <c r="P1726" s="82"/>
      <c r="Q1726" s="82"/>
      <c r="R1726" s="82"/>
      <c r="S1726" s="82"/>
      <c r="T1726" s="82"/>
      <c r="U1726" s="82"/>
      <c r="V1726" s="82"/>
      <c r="W1726" s="82"/>
      <c r="X1726" s="82"/>
      <c r="Y1726" s="82"/>
      <c r="Z1726" s="82"/>
    </row>
    <row r="1727" spans="1:26">
      <c r="A1727" s="81"/>
      <c r="F1727" s="81"/>
      <c r="G1727" s="82"/>
      <c r="H1727" s="82"/>
      <c r="I1727" s="82"/>
      <c r="J1727" s="82"/>
      <c r="K1727" s="82"/>
      <c r="L1727" s="82"/>
      <c r="M1727" s="82"/>
      <c r="N1727" s="82"/>
      <c r="O1727" s="82"/>
      <c r="P1727" s="82"/>
      <c r="Q1727" s="82"/>
      <c r="R1727" s="82"/>
      <c r="S1727" s="82"/>
      <c r="T1727" s="82"/>
      <c r="U1727" s="82"/>
      <c r="V1727" s="82"/>
      <c r="W1727" s="82"/>
      <c r="X1727" s="82"/>
      <c r="Y1727" s="82"/>
      <c r="Z1727" s="82"/>
    </row>
    <row r="1728" spans="1:26">
      <c r="A1728" s="81"/>
      <c r="F1728" s="81"/>
      <c r="G1728" s="82"/>
      <c r="H1728" s="82"/>
      <c r="I1728" s="82"/>
      <c r="J1728" s="82"/>
      <c r="K1728" s="82"/>
      <c r="L1728" s="82"/>
      <c r="M1728" s="82"/>
      <c r="N1728" s="82"/>
      <c r="O1728" s="82"/>
      <c r="P1728" s="82"/>
      <c r="Q1728" s="82"/>
      <c r="R1728" s="82"/>
      <c r="S1728" s="82"/>
      <c r="T1728" s="82"/>
      <c r="U1728" s="82"/>
      <c r="V1728" s="82"/>
      <c r="W1728" s="82"/>
      <c r="X1728" s="82"/>
      <c r="Y1728" s="82"/>
      <c r="Z1728" s="82"/>
    </row>
    <row r="1729" spans="1:26">
      <c r="A1729" s="81"/>
      <c r="F1729" s="81"/>
      <c r="G1729" s="82"/>
      <c r="H1729" s="82"/>
      <c r="I1729" s="82"/>
      <c r="J1729" s="82"/>
      <c r="K1729" s="82"/>
      <c r="L1729" s="82"/>
      <c r="M1729" s="82"/>
      <c r="N1729" s="82"/>
      <c r="O1729" s="82"/>
      <c r="P1729" s="82"/>
      <c r="Q1729" s="82"/>
      <c r="R1729" s="82"/>
      <c r="S1729" s="82"/>
      <c r="T1729" s="82"/>
      <c r="U1729" s="82"/>
      <c r="V1729" s="82"/>
      <c r="W1729" s="82"/>
      <c r="X1729" s="82"/>
      <c r="Y1729" s="82"/>
      <c r="Z1729" s="82"/>
    </row>
    <row r="1730" spans="1:26">
      <c r="A1730" s="81"/>
      <c r="F1730" s="81"/>
      <c r="G1730" s="82"/>
      <c r="H1730" s="82"/>
      <c r="I1730" s="82"/>
      <c r="J1730" s="82"/>
      <c r="K1730" s="82"/>
      <c r="L1730" s="82"/>
      <c r="M1730" s="82"/>
      <c r="N1730" s="82"/>
      <c r="O1730" s="82"/>
      <c r="P1730" s="82"/>
      <c r="Q1730" s="82"/>
      <c r="R1730" s="82"/>
      <c r="S1730" s="82"/>
      <c r="T1730" s="82"/>
      <c r="U1730" s="82"/>
      <c r="V1730" s="82"/>
      <c r="W1730" s="82"/>
      <c r="X1730" s="82"/>
      <c r="Y1730" s="82"/>
      <c r="Z1730" s="82"/>
    </row>
    <row r="1731" spans="1:26">
      <c r="A1731" s="81"/>
      <c r="F1731" s="81"/>
      <c r="G1731" s="82"/>
      <c r="H1731" s="82"/>
      <c r="I1731" s="82"/>
      <c r="J1731" s="82"/>
      <c r="K1731" s="82"/>
      <c r="L1731" s="82"/>
      <c r="M1731" s="82"/>
      <c r="N1731" s="82"/>
      <c r="O1731" s="82"/>
      <c r="P1731" s="82"/>
      <c r="Q1731" s="82"/>
      <c r="R1731" s="82"/>
      <c r="S1731" s="82"/>
      <c r="T1731" s="82"/>
      <c r="U1731" s="82"/>
      <c r="V1731" s="82"/>
      <c r="W1731" s="82"/>
      <c r="X1731" s="82"/>
      <c r="Y1731" s="82"/>
      <c r="Z1731" s="82"/>
    </row>
    <row r="1732" spans="1:26">
      <c r="A1732" s="81"/>
      <c r="F1732" s="81"/>
      <c r="G1732" s="82"/>
      <c r="H1732" s="82"/>
      <c r="I1732" s="82"/>
      <c r="J1732" s="82"/>
      <c r="K1732" s="82"/>
      <c r="L1732" s="82"/>
      <c r="M1732" s="82"/>
      <c r="N1732" s="82"/>
      <c r="O1732" s="82"/>
      <c r="P1732" s="82"/>
      <c r="Q1732" s="82"/>
      <c r="R1732" s="82"/>
      <c r="S1732" s="82"/>
      <c r="T1732" s="82"/>
      <c r="U1732" s="82"/>
      <c r="V1732" s="82"/>
      <c r="W1732" s="82"/>
      <c r="X1732" s="82"/>
      <c r="Y1732" s="82"/>
      <c r="Z1732" s="82"/>
    </row>
    <row r="1733" spans="1:26">
      <c r="A1733" s="81"/>
      <c r="F1733" s="81"/>
      <c r="G1733" s="82"/>
      <c r="H1733" s="82"/>
      <c r="I1733" s="82"/>
      <c r="J1733" s="82"/>
      <c r="K1733" s="82"/>
      <c r="L1733" s="82"/>
      <c r="M1733" s="82"/>
      <c r="N1733" s="82"/>
      <c r="O1733" s="82"/>
      <c r="P1733" s="82"/>
      <c r="Q1733" s="82"/>
      <c r="R1733" s="82"/>
      <c r="S1733" s="82"/>
      <c r="T1733" s="82"/>
      <c r="U1733" s="82"/>
      <c r="V1733" s="82"/>
      <c r="W1733" s="82"/>
      <c r="X1733" s="82"/>
      <c r="Y1733" s="82"/>
      <c r="Z1733" s="82"/>
    </row>
    <row r="1734" spans="1:26">
      <c r="A1734" s="81"/>
      <c r="F1734" s="81"/>
      <c r="G1734" s="82"/>
      <c r="H1734" s="82"/>
      <c r="I1734" s="82"/>
      <c r="J1734" s="82"/>
      <c r="K1734" s="82"/>
      <c r="L1734" s="82"/>
      <c r="M1734" s="82"/>
      <c r="N1734" s="82"/>
      <c r="O1734" s="82"/>
      <c r="P1734" s="82"/>
      <c r="Q1734" s="82"/>
      <c r="R1734" s="82"/>
      <c r="S1734" s="82"/>
      <c r="T1734" s="82"/>
      <c r="U1734" s="82"/>
      <c r="V1734" s="82"/>
      <c r="W1734" s="82"/>
      <c r="X1734" s="82"/>
      <c r="Y1734" s="82"/>
      <c r="Z1734" s="82"/>
    </row>
    <row r="1735" spans="1:26">
      <c r="A1735" s="81"/>
      <c r="F1735" s="81"/>
      <c r="G1735" s="82"/>
      <c r="H1735" s="82"/>
      <c r="I1735" s="82"/>
      <c r="J1735" s="82"/>
      <c r="K1735" s="82"/>
      <c r="L1735" s="82"/>
      <c r="M1735" s="82"/>
      <c r="N1735" s="82"/>
      <c r="O1735" s="82"/>
      <c r="P1735" s="82"/>
      <c r="Q1735" s="82"/>
      <c r="R1735" s="82"/>
      <c r="S1735" s="82"/>
      <c r="T1735" s="82"/>
      <c r="U1735" s="82"/>
      <c r="V1735" s="82"/>
      <c r="W1735" s="82"/>
      <c r="X1735" s="82"/>
      <c r="Y1735" s="82"/>
      <c r="Z1735" s="82"/>
    </row>
    <row r="1736" spans="1:26">
      <c r="A1736" s="81"/>
      <c r="F1736" s="81"/>
      <c r="G1736" s="82"/>
      <c r="H1736" s="82"/>
      <c r="I1736" s="82"/>
      <c r="J1736" s="82"/>
      <c r="K1736" s="82"/>
      <c r="L1736" s="82"/>
      <c r="M1736" s="82"/>
      <c r="N1736" s="82"/>
      <c r="O1736" s="82"/>
      <c r="P1736" s="82"/>
      <c r="Q1736" s="82"/>
      <c r="R1736" s="82"/>
      <c r="S1736" s="82"/>
      <c r="T1736" s="82"/>
      <c r="U1736" s="82"/>
      <c r="V1736" s="82"/>
      <c r="W1736" s="82"/>
      <c r="X1736" s="82"/>
      <c r="Y1736" s="82"/>
      <c r="Z1736" s="82"/>
    </row>
    <row r="1737" spans="1:26">
      <c r="A1737" s="81"/>
      <c r="F1737" s="81"/>
      <c r="G1737" s="82"/>
      <c r="H1737" s="82"/>
      <c r="I1737" s="82"/>
      <c r="J1737" s="82"/>
      <c r="K1737" s="82"/>
      <c r="L1737" s="82"/>
      <c r="M1737" s="82"/>
      <c r="N1737" s="82"/>
      <c r="O1737" s="82"/>
      <c r="P1737" s="82"/>
      <c r="Q1737" s="82"/>
      <c r="R1737" s="82"/>
      <c r="S1737" s="82"/>
      <c r="T1737" s="82"/>
      <c r="U1737" s="82"/>
      <c r="V1737" s="82"/>
      <c r="W1737" s="82"/>
      <c r="X1737" s="82"/>
      <c r="Y1737" s="82"/>
      <c r="Z1737" s="82"/>
    </row>
    <row r="1738" spans="1:26">
      <c r="A1738" s="81"/>
      <c r="F1738" s="81"/>
      <c r="G1738" s="82"/>
      <c r="H1738" s="82"/>
      <c r="I1738" s="82"/>
      <c r="J1738" s="82"/>
      <c r="K1738" s="82"/>
      <c r="L1738" s="82"/>
      <c r="M1738" s="82"/>
      <c r="N1738" s="82"/>
      <c r="O1738" s="82"/>
      <c r="P1738" s="82"/>
      <c r="Q1738" s="82"/>
      <c r="R1738" s="82"/>
      <c r="S1738" s="82"/>
      <c r="T1738" s="82"/>
      <c r="U1738" s="82"/>
      <c r="V1738" s="82"/>
      <c r="W1738" s="82"/>
      <c r="X1738" s="82"/>
      <c r="Y1738" s="82"/>
      <c r="Z1738" s="82"/>
    </row>
    <row r="1739" spans="1:26">
      <c r="A1739" s="81"/>
      <c r="F1739" s="81"/>
      <c r="G1739" s="82"/>
      <c r="H1739" s="82"/>
      <c r="I1739" s="82"/>
      <c r="J1739" s="82"/>
      <c r="K1739" s="82"/>
      <c r="L1739" s="82"/>
      <c r="M1739" s="82"/>
      <c r="N1739" s="82"/>
      <c r="O1739" s="82"/>
      <c r="P1739" s="82"/>
      <c r="Q1739" s="82"/>
      <c r="R1739" s="82"/>
      <c r="S1739" s="82"/>
      <c r="T1739" s="82"/>
      <c r="U1739" s="82"/>
      <c r="V1739" s="82"/>
      <c r="W1739" s="82"/>
      <c r="X1739" s="82"/>
      <c r="Y1739" s="82"/>
      <c r="Z1739" s="82"/>
    </row>
    <row r="1740" spans="1:26">
      <c r="A1740" s="81"/>
      <c r="F1740" s="81"/>
      <c r="G1740" s="82"/>
      <c r="H1740" s="82"/>
      <c r="I1740" s="82"/>
      <c r="J1740" s="82"/>
      <c r="K1740" s="82"/>
      <c r="L1740" s="82"/>
      <c r="M1740" s="82"/>
      <c r="N1740" s="82"/>
      <c r="O1740" s="82"/>
      <c r="P1740" s="82"/>
      <c r="Q1740" s="82"/>
      <c r="R1740" s="82"/>
      <c r="S1740" s="82"/>
      <c r="T1740" s="82"/>
      <c r="U1740" s="82"/>
      <c r="V1740" s="82"/>
      <c r="W1740" s="82"/>
      <c r="X1740" s="82"/>
      <c r="Y1740" s="82"/>
      <c r="Z1740" s="82"/>
    </row>
    <row r="1741" spans="1:26">
      <c r="A1741" s="81"/>
      <c r="F1741" s="81"/>
      <c r="G1741" s="82"/>
      <c r="H1741" s="82"/>
      <c r="I1741" s="82"/>
      <c r="J1741" s="82"/>
      <c r="K1741" s="82"/>
      <c r="L1741" s="82"/>
      <c r="M1741" s="82"/>
      <c r="N1741" s="82"/>
      <c r="O1741" s="82"/>
      <c r="P1741" s="82"/>
      <c r="Q1741" s="82"/>
      <c r="R1741" s="82"/>
      <c r="S1741" s="82"/>
      <c r="T1741" s="82"/>
      <c r="U1741" s="82"/>
      <c r="V1741" s="82"/>
      <c r="W1741" s="82"/>
      <c r="X1741" s="82"/>
      <c r="Y1741" s="82"/>
      <c r="Z1741" s="82"/>
    </row>
    <row r="1742" spans="1:26">
      <c r="A1742" s="81"/>
      <c r="F1742" s="81"/>
      <c r="G1742" s="82"/>
      <c r="H1742" s="82"/>
      <c r="I1742" s="82"/>
      <c r="J1742" s="82"/>
      <c r="K1742" s="82"/>
      <c r="L1742" s="82"/>
      <c r="M1742" s="82"/>
      <c r="N1742" s="82"/>
      <c r="O1742" s="82"/>
      <c r="P1742" s="82"/>
      <c r="Q1742" s="82"/>
      <c r="R1742" s="82"/>
      <c r="S1742" s="82"/>
      <c r="T1742" s="82"/>
      <c r="U1742" s="82"/>
      <c r="V1742" s="82"/>
      <c r="W1742" s="82"/>
      <c r="X1742" s="82"/>
      <c r="Y1742" s="82"/>
      <c r="Z1742" s="82"/>
    </row>
    <row r="1743" spans="1:26">
      <c r="A1743" s="81"/>
      <c r="F1743" s="81"/>
      <c r="G1743" s="82"/>
      <c r="H1743" s="82"/>
      <c r="I1743" s="82"/>
      <c r="J1743" s="82"/>
      <c r="K1743" s="82"/>
      <c r="L1743" s="82"/>
      <c r="M1743" s="82"/>
      <c r="N1743" s="82"/>
      <c r="O1743" s="82"/>
      <c r="P1743" s="82"/>
      <c r="Q1743" s="82"/>
      <c r="R1743" s="82"/>
      <c r="S1743" s="82"/>
      <c r="T1743" s="82"/>
      <c r="U1743" s="82"/>
      <c r="V1743" s="82"/>
      <c r="W1743" s="82"/>
      <c r="X1743" s="82"/>
      <c r="Y1743" s="82"/>
      <c r="Z1743" s="82"/>
    </row>
    <row r="1744" spans="1:26">
      <c r="A1744" s="81"/>
      <c r="F1744" s="81"/>
      <c r="G1744" s="82"/>
      <c r="H1744" s="82"/>
      <c r="I1744" s="82"/>
      <c r="J1744" s="82"/>
      <c r="K1744" s="82"/>
      <c r="L1744" s="82"/>
      <c r="M1744" s="82"/>
      <c r="N1744" s="82"/>
      <c r="O1744" s="82"/>
      <c r="P1744" s="82"/>
      <c r="Q1744" s="82"/>
      <c r="R1744" s="82"/>
      <c r="S1744" s="82"/>
      <c r="T1744" s="82"/>
      <c r="U1744" s="82"/>
      <c r="V1744" s="82"/>
      <c r="W1744" s="82"/>
      <c r="X1744" s="82"/>
      <c r="Y1744" s="82"/>
      <c r="Z1744" s="82"/>
    </row>
    <row r="1745" spans="1:26">
      <c r="A1745" s="81"/>
      <c r="F1745" s="81"/>
      <c r="G1745" s="82"/>
      <c r="H1745" s="82"/>
      <c r="I1745" s="82"/>
      <c r="J1745" s="82"/>
      <c r="K1745" s="82"/>
      <c r="L1745" s="82"/>
      <c r="M1745" s="82"/>
      <c r="N1745" s="82"/>
      <c r="O1745" s="82"/>
      <c r="P1745" s="82"/>
      <c r="Q1745" s="82"/>
      <c r="R1745" s="82"/>
      <c r="S1745" s="82"/>
      <c r="T1745" s="82"/>
      <c r="U1745" s="82"/>
      <c r="V1745" s="82"/>
      <c r="W1745" s="82"/>
      <c r="X1745" s="82"/>
      <c r="Y1745" s="82"/>
      <c r="Z1745" s="82"/>
    </row>
    <row r="1746" spans="1:26">
      <c r="A1746" s="81"/>
      <c r="F1746" s="81"/>
      <c r="G1746" s="82"/>
      <c r="H1746" s="82"/>
      <c r="I1746" s="82"/>
      <c r="J1746" s="82"/>
      <c r="K1746" s="82"/>
      <c r="L1746" s="82"/>
      <c r="M1746" s="82"/>
      <c r="N1746" s="82"/>
      <c r="O1746" s="82"/>
      <c r="P1746" s="82"/>
      <c r="Q1746" s="82"/>
      <c r="R1746" s="82"/>
      <c r="S1746" s="82"/>
      <c r="T1746" s="82"/>
      <c r="U1746" s="82"/>
      <c r="V1746" s="82"/>
      <c r="W1746" s="82"/>
      <c r="X1746" s="82"/>
      <c r="Y1746" s="82"/>
      <c r="Z1746" s="82"/>
    </row>
    <row r="1747" spans="1:26">
      <c r="A1747" s="81"/>
      <c r="F1747" s="81"/>
      <c r="G1747" s="82"/>
      <c r="H1747" s="82"/>
      <c r="I1747" s="82"/>
      <c r="J1747" s="82"/>
      <c r="K1747" s="82"/>
      <c r="L1747" s="82"/>
      <c r="M1747" s="82"/>
      <c r="N1747" s="82"/>
      <c r="O1747" s="82"/>
      <c r="P1747" s="82"/>
      <c r="Q1747" s="82"/>
      <c r="R1747" s="82"/>
      <c r="S1747" s="82"/>
      <c r="T1747" s="82"/>
      <c r="U1747" s="82"/>
      <c r="V1747" s="82"/>
      <c r="W1747" s="82"/>
      <c r="X1747" s="82"/>
      <c r="Y1747" s="82"/>
      <c r="Z1747" s="82"/>
    </row>
    <row r="1748" spans="1:26">
      <c r="A1748" s="81"/>
      <c r="F1748" s="81"/>
      <c r="G1748" s="82"/>
      <c r="H1748" s="82"/>
      <c r="I1748" s="82"/>
      <c r="J1748" s="82"/>
      <c r="K1748" s="82"/>
      <c r="L1748" s="82"/>
      <c r="M1748" s="82"/>
      <c r="N1748" s="82"/>
      <c r="O1748" s="82"/>
      <c r="P1748" s="82"/>
      <c r="Q1748" s="82"/>
      <c r="R1748" s="82"/>
      <c r="S1748" s="82"/>
      <c r="T1748" s="82"/>
      <c r="U1748" s="82"/>
      <c r="V1748" s="82"/>
      <c r="W1748" s="82"/>
      <c r="X1748" s="82"/>
      <c r="Y1748" s="82"/>
      <c r="Z1748" s="82"/>
    </row>
    <row r="1749" spans="1:26">
      <c r="A1749" s="81"/>
      <c r="F1749" s="81"/>
      <c r="G1749" s="82"/>
      <c r="H1749" s="82"/>
      <c r="I1749" s="82"/>
      <c r="J1749" s="82"/>
      <c r="K1749" s="82"/>
      <c r="L1749" s="82"/>
      <c r="M1749" s="82"/>
      <c r="N1749" s="82"/>
      <c r="O1749" s="82"/>
      <c r="P1749" s="82"/>
      <c r="Q1749" s="82"/>
      <c r="R1749" s="82"/>
      <c r="S1749" s="82"/>
      <c r="T1749" s="82"/>
      <c r="U1749" s="82"/>
      <c r="V1749" s="82"/>
      <c r="W1749" s="82"/>
      <c r="X1749" s="82"/>
      <c r="Y1749" s="82"/>
      <c r="Z1749" s="82"/>
    </row>
    <row r="1750" spans="1:26">
      <c r="A1750" s="81"/>
      <c r="F1750" s="81"/>
      <c r="G1750" s="82"/>
      <c r="H1750" s="82"/>
      <c r="I1750" s="82"/>
      <c r="J1750" s="82"/>
      <c r="K1750" s="82"/>
      <c r="L1750" s="82"/>
      <c r="M1750" s="82"/>
      <c r="N1750" s="82"/>
      <c r="O1750" s="82"/>
      <c r="P1750" s="82"/>
      <c r="Q1750" s="82"/>
      <c r="R1750" s="82"/>
      <c r="S1750" s="82"/>
      <c r="T1750" s="82"/>
      <c r="U1750" s="82"/>
      <c r="V1750" s="82"/>
      <c r="W1750" s="82"/>
      <c r="X1750" s="82"/>
      <c r="Y1750" s="82"/>
      <c r="Z1750" s="82"/>
    </row>
    <row r="1751" spans="1:26">
      <c r="A1751" s="81"/>
      <c r="F1751" s="81"/>
      <c r="G1751" s="82"/>
      <c r="H1751" s="82"/>
      <c r="I1751" s="82"/>
      <c r="J1751" s="82"/>
      <c r="K1751" s="82"/>
      <c r="L1751" s="82"/>
      <c r="M1751" s="82"/>
      <c r="N1751" s="82"/>
      <c r="O1751" s="82"/>
      <c r="P1751" s="82"/>
      <c r="Q1751" s="82"/>
      <c r="R1751" s="82"/>
      <c r="S1751" s="82"/>
      <c r="T1751" s="82"/>
      <c r="U1751" s="82"/>
      <c r="V1751" s="82"/>
      <c r="W1751" s="82"/>
      <c r="X1751" s="82"/>
      <c r="Y1751" s="82"/>
      <c r="Z1751" s="82"/>
    </row>
    <row r="1752" spans="1:26">
      <c r="A1752" s="81"/>
      <c r="F1752" s="81"/>
      <c r="G1752" s="82"/>
      <c r="H1752" s="82"/>
      <c r="I1752" s="82"/>
      <c r="J1752" s="82"/>
      <c r="K1752" s="82"/>
      <c r="L1752" s="82"/>
      <c r="M1752" s="82"/>
      <c r="N1752" s="82"/>
      <c r="O1752" s="82"/>
      <c r="P1752" s="82"/>
      <c r="Q1752" s="82"/>
      <c r="R1752" s="82"/>
      <c r="S1752" s="82"/>
      <c r="T1752" s="82"/>
      <c r="U1752" s="82"/>
      <c r="V1752" s="82"/>
      <c r="W1752" s="82"/>
      <c r="X1752" s="82"/>
      <c r="Y1752" s="82"/>
      <c r="Z1752" s="82"/>
    </row>
    <row r="1753" spans="1:26">
      <c r="A1753" s="81"/>
      <c r="F1753" s="81"/>
      <c r="G1753" s="82"/>
      <c r="H1753" s="82"/>
      <c r="I1753" s="82"/>
      <c r="J1753" s="82"/>
      <c r="K1753" s="82"/>
      <c r="L1753" s="82"/>
      <c r="M1753" s="82"/>
      <c r="N1753" s="82"/>
      <c r="O1753" s="82"/>
      <c r="P1753" s="82"/>
      <c r="Q1753" s="82"/>
      <c r="R1753" s="82"/>
      <c r="S1753" s="82"/>
      <c r="T1753" s="82"/>
      <c r="U1753" s="82"/>
      <c r="V1753" s="82"/>
      <c r="W1753" s="82"/>
      <c r="X1753" s="82"/>
      <c r="Y1753" s="82"/>
      <c r="Z1753" s="82"/>
    </row>
    <row r="1754" spans="1:26">
      <c r="A1754" s="81"/>
      <c r="F1754" s="81"/>
      <c r="G1754" s="82"/>
      <c r="H1754" s="82"/>
      <c r="I1754" s="82"/>
      <c r="J1754" s="82"/>
      <c r="K1754" s="82"/>
      <c r="L1754" s="82"/>
      <c r="M1754" s="82"/>
      <c r="N1754" s="82"/>
      <c r="O1754" s="82"/>
      <c r="P1754" s="82"/>
      <c r="Q1754" s="82"/>
      <c r="R1754" s="82"/>
      <c r="S1754" s="82"/>
      <c r="T1754" s="82"/>
      <c r="U1754" s="82"/>
      <c r="V1754" s="82"/>
      <c r="W1754" s="82"/>
      <c r="X1754" s="82"/>
      <c r="Y1754" s="82"/>
      <c r="Z1754" s="82"/>
    </row>
    <row r="1755" spans="1:26">
      <c r="A1755" s="81"/>
      <c r="F1755" s="81"/>
      <c r="G1755" s="82"/>
      <c r="H1755" s="82"/>
      <c r="I1755" s="82"/>
      <c r="J1755" s="82"/>
      <c r="K1755" s="82"/>
      <c r="L1755" s="82"/>
      <c r="M1755" s="82"/>
      <c r="N1755" s="82"/>
      <c r="O1755" s="82"/>
      <c r="P1755" s="82"/>
      <c r="Q1755" s="82"/>
      <c r="R1755" s="82"/>
      <c r="S1755" s="82"/>
      <c r="T1755" s="82"/>
      <c r="U1755" s="82"/>
      <c r="V1755" s="82"/>
      <c r="W1755" s="82"/>
      <c r="X1755" s="82"/>
      <c r="Y1755" s="82"/>
      <c r="Z1755" s="82"/>
    </row>
    <row r="1756" spans="1:26">
      <c r="A1756" s="81"/>
      <c r="F1756" s="81"/>
      <c r="G1756" s="82"/>
      <c r="H1756" s="82"/>
      <c r="I1756" s="82"/>
      <c r="J1756" s="82"/>
      <c r="K1756" s="82"/>
      <c r="L1756" s="82"/>
      <c r="M1756" s="82"/>
      <c r="N1756" s="82"/>
      <c r="O1756" s="82"/>
      <c r="P1756" s="82"/>
      <c r="Q1756" s="82"/>
      <c r="R1756" s="82"/>
      <c r="S1756" s="82"/>
      <c r="T1756" s="82"/>
      <c r="U1756" s="82"/>
      <c r="V1756" s="82"/>
      <c r="W1756" s="82"/>
      <c r="X1756" s="82"/>
      <c r="Y1756" s="82"/>
      <c r="Z1756" s="82"/>
    </row>
    <row r="1757" spans="1:26">
      <c r="A1757" s="81"/>
      <c r="F1757" s="81"/>
      <c r="G1757" s="82"/>
      <c r="H1757" s="82"/>
      <c r="I1757" s="82"/>
      <c r="J1757" s="82"/>
      <c r="K1757" s="82"/>
      <c r="L1757" s="82"/>
      <c r="M1757" s="82"/>
      <c r="N1757" s="82"/>
      <c r="O1757" s="82"/>
      <c r="P1757" s="82"/>
      <c r="Q1757" s="82"/>
      <c r="R1757" s="82"/>
      <c r="S1757" s="82"/>
      <c r="T1757" s="82"/>
      <c r="U1757" s="82"/>
      <c r="V1757" s="82"/>
      <c r="W1757" s="82"/>
      <c r="X1757" s="82"/>
      <c r="Y1757" s="82"/>
      <c r="Z1757" s="82"/>
    </row>
    <row r="1758" spans="1:26">
      <c r="A1758" s="81"/>
      <c r="F1758" s="81"/>
      <c r="G1758" s="82"/>
      <c r="H1758" s="82"/>
      <c r="I1758" s="82"/>
      <c r="J1758" s="82"/>
      <c r="K1758" s="82"/>
      <c r="L1758" s="82"/>
      <c r="M1758" s="82"/>
      <c r="N1758" s="82"/>
      <c r="O1758" s="82"/>
      <c r="P1758" s="82"/>
      <c r="Q1758" s="82"/>
      <c r="R1758" s="82"/>
      <c r="S1758" s="82"/>
      <c r="T1758" s="82"/>
      <c r="U1758" s="82"/>
      <c r="V1758" s="82"/>
      <c r="W1758" s="82"/>
      <c r="X1758" s="82"/>
      <c r="Y1758" s="82"/>
      <c r="Z1758" s="82"/>
    </row>
    <row r="1759" spans="1:26">
      <c r="A1759" s="81"/>
      <c r="F1759" s="81"/>
      <c r="G1759" s="82"/>
      <c r="H1759" s="82"/>
      <c r="I1759" s="82"/>
      <c r="J1759" s="82"/>
      <c r="K1759" s="82"/>
      <c r="L1759" s="82"/>
      <c r="M1759" s="82"/>
      <c r="N1759" s="82"/>
      <c r="O1759" s="82"/>
      <c r="P1759" s="82"/>
      <c r="Q1759" s="82"/>
      <c r="R1759" s="82"/>
      <c r="S1759" s="82"/>
      <c r="T1759" s="82"/>
      <c r="U1759" s="82"/>
      <c r="V1759" s="82"/>
      <c r="W1759" s="82"/>
      <c r="X1759" s="82"/>
      <c r="Y1759" s="82"/>
      <c r="Z1759" s="82"/>
    </row>
    <row r="1760" spans="1:26">
      <c r="A1760" s="81"/>
      <c r="F1760" s="81"/>
      <c r="G1760" s="82"/>
      <c r="H1760" s="82"/>
      <c r="I1760" s="82"/>
      <c r="J1760" s="82"/>
      <c r="K1760" s="82"/>
      <c r="L1760" s="82"/>
      <c r="M1760" s="82"/>
      <c r="N1760" s="82"/>
      <c r="O1760" s="82"/>
      <c r="P1760" s="82"/>
      <c r="Q1760" s="82"/>
      <c r="R1760" s="82"/>
      <c r="S1760" s="82"/>
      <c r="T1760" s="82"/>
      <c r="U1760" s="82"/>
      <c r="V1760" s="82"/>
      <c r="W1760" s="82"/>
      <c r="X1760" s="82"/>
      <c r="Y1760" s="82"/>
      <c r="Z1760" s="82"/>
    </row>
    <row r="1761" spans="1:26">
      <c r="A1761" s="81"/>
      <c r="F1761" s="81"/>
      <c r="G1761" s="82"/>
      <c r="H1761" s="82"/>
      <c r="I1761" s="82"/>
      <c r="J1761" s="82"/>
      <c r="K1761" s="82"/>
      <c r="L1761" s="82"/>
      <c r="M1761" s="82"/>
      <c r="N1761" s="82"/>
      <c r="O1761" s="82"/>
      <c r="P1761" s="82"/>
      <c r="Q1761" s="82"/>
      <c r="R1761" s="82"/>
      <c r="S1761" s="82"/>
      <c r="T1761" s="82"/>
      <c r="U1761" s="82"/>
      <c r="V1761" s="82"/>
      <c r="W1761" s="82"/>
      <c r="X1761" s="82"/>
      <c r="Y1761" s="82"/>
      <c r="Z1761" s="82"/>
    </row>
    <row r="1762" spans="1:26">
      <c r="A1762" s="81"/>
      <c r="F1762" s="81"/>
      <c r="G1762" s="82"/>
      <c r="H1762" s="82"/>
      <c r="I1762" s="82"/>
      <c r="J1762" s="82"/>
      <c r="K1762" s="82"/>
      <c r="L1762" s="82"/>
      <c r="M1762" s="82"/>
      <c r="N1762" s="82"/>
      <c r="O1762" s="82"/>
      <c r="P1762" s="82"/>
      <c r="Q1762" s="82"/>
      <c r="R1762" s="82"/>
      <c r="S1762" s="82"/>
      <c r="T1762" s="82"/>
      <c r="U1762" s="82"/>
      <c r="V1762" s="82"/>
      <c r="W1762" s="82"/>
      <c r="X1762" s="82"/>
      <c r="Y1762" s="82"/>
      <c r="Z1762" s="82"/>
    </row>
    <row r="1763" spans="1:26">
      <c r="A1763" s="81"/>
      <c r="F1763" s="81"/>
      <c r="G1763" s="82"/>
      <c r="H1763" s="82"/>
      <c r="I1763" s="82"/>
      <c r="J1763" s="82"/>
      <c r="K1763" s="82"/>
      <c r="L1763" s="82"/>
      <c r="M1763" s="82"/>
      <c r="N1763" s="82"/>
      <c r="O1763" s="82"/>
      <c r="P1763" s="82"/>
      <c r="Q1763" s="82"/>
      <c r="R1763" s="82"/>
      <c r="S1763" s="82"/>
      <c r="T1763" s="82"/>
      <c r="U1763" s="82"/>
      <c r="V1763" s="82"/>
      <c r="W1763" s="82"/>
      <c r="X1763" s="82"/>
      <c r="Y1763" s="82"/>
      <c r="Z1763" s="82"/>
    </row>
    <row r="1764" spans="1:26">
      <c r="A1764" s="81"/>
      <c r="F1764" s="81"/>
      <c r="G1764" s="82"/>
      <c r="H1764" s="82"/>
      <c r="I1764" s="82"/>
      <c r="J1764" s="82"/>
      <c r="K1764" s="82"/>
      <c r="L1764" s="82"/>
      <c r="M1764" s="82"/>
      <c r="N1764" s="82"/>
      <c r="O1764" s="82"/>
      <c r="P1764" s="82"/>
      <c r="Q1764" s="82"/>
      <c r="R1764" s="82"/>
      <c r="S1764" s="82"/>
      <c r="T1764" s="82"/>
      <c r="U1764" s="82"/>
      <c r="V1764" s="82"/>
      <c r="W1764" s="82"/>
      <c r="X1764" s="82"/>
      <c r="Y1764" s="82"/>
      <c r="Z1764" s="82"/>
    </row>
    <row r="1765" spans="1:26">
      <c r="A1765" s="81"/>
      <c r="F1765" s="81"/>
      <c r="G1765" s="82"/>
      <c r="H1765" s="82"/>
      <c r="I1765" s="82"/>
      <c r="J1765" s="82"/>
      <c r="K1765" s="82"/>
      <c r="L1765" s="82"/>
      <c r="M1765" s="82"/>
      <c r="N1765" s="82"/>
      <c r="O1765" s="82"/>
      <c r="P1765" s="82"/>
      <c r="Q1765" s="82"/>
      <c r="R1765" s="82"/>
      <c r="S1765" s="82"/>
      <c r="T1765" s="82"/>
      <c r="U1765" s="82"/>
      <c r="V1765" s="82"/>
      <c r="W1765" s="82"/>
      <c r="X1765" s="82"/>
      <c r="Y1765" s="82"/>
      <c r="Z1765" s="82"/>
    </row>
    <row r="1766" spans="1:26">
      <c r="A1766" s="81"/>
      <c r="F1766" s="81"/>
      <c r="G1766" s="82"/>
      <c r="H1766" s="82"/>
      <c r="I1766" s="82"/>
      <c r="J1766" s="82"/>
      <c r="K1766" s="82"/>
      <c r="L1766" s="82"/>
      <c r="M1766" s="82"/>
      <c r="N1766" s="82"/>
      <c r="O1766" s="82"/>
      <c r="P1766" s="82"/>
      <c r="Q1766" s="82"/>
      <c r="R1766" s="82"/>
      <c r="S1766" s="82"/>
      <c r="T1766" s="82"/>
      <c r="U1766" s="82"/>
      <c r="V1766" s="82"/>
      <c r="W1766" s="82"/>
      <c r="X1766" s="82"/>
      <c r="Y1766" s="82"/>
      <c r="Z1766" s="82"/>
    </row>
    <row r="1767" spans="1:26">
      <c r="A1767" s="81"/>
      <c r="F1767" s="81"/>
      <c r="G1767" s="82"/>
      <c r="H1767" s="82"/>
      <c r="I1767" s="82"/>
      <c r="J1767" s="82"/>
      <c r="K1767" s="82"/>
      <c r="L1767" s="82"/>
      <c r="M1767" s="82"/>
      <c r="N1767" s="82"/>
      <c r="O1767" s="82"/>
      <c r="P1767" s="82"/>
      <c r="Q1767" s="82"/>
      <c r="R1767" s="82"/>
      <c r="S1767" s="82"/>
      <c r="T1767" s="82"/>
      <c r="U1767" s="82"/>
      <c r="V1767" s="82"/>
      <c r="W1767" s="82"/>
      <c r="X1767" s="82"/>
      <c r="Y1767" s="82"/>
      <c r="Z1767" s="82"/>
    </row>
    <row r="1768" spans="1:26">
      <c r="A1768" s="81"/>
      <c r="F1768" s="81"/>
      <c r="G1768" s="82"/>
      <c r="H1768" s="82"/>
      <c r="I1768" s="82"/>
      <c r="J1768" s="82"/>
      <c r="K1768" s="82"/>
      <c r="L1768" s="82"/>
      <c r="M1768" s="82"/>
      <c r="N1768" s="82"/>
      <c r="O1768" s="82"/>
      <c r="P1768" s="82"/>
      <c r="Q1768" s="82"/>
      <c r="R1768" s="82"/>
      <c r="S1768" s="82"/>
      <c r="T1768" s="82"/>
      <c r="U1768" s="82"/>
      <c r="V1768" s="82"/>
      <c r="W1768" s="82"/>
      <c r="X1768" s="82"/>
      <c r="Y1768" s="82"/>
      <c r="Z1768" s="82"/>
    </row>
    <row r="1769" spans="1:26">
      <c r="A1769" s="81"/>
      <c r="F1769" s="81"/>
      <c r="G1769" s="82"/>
      <c r="H1769" s="82"/>
      <c r="I1769" s="82"/>
      <c r="J1769" s="82"/>
      <c r="K1769" s="82"/>
      <c r="L1769" s="82"/>
      <c r="M1769" s="82"/>
      <c r="N1769" s="82"/>
      <c r="O1769" s="82"/>
      <c r="P1769" s="82"/>
      <c r="Q1769" s="82"/>
      <c r="R1769" s="82"/>
      <c r="S1769" s="82"/>
      <c r="T1769" s="82"/>
      <c r="U1769" s="82"/>
      <c r="V1769" s="82"/>
      <c r="W1769" s="82"/>
      <c r="X1769" s="82"/>
      <c r="Y1769" s="82"/>
      <c r="Z1769" s="82"/>
    </row>
    <row r="1770" spans="1:26">
      <c r="A1770" s="81"/>
      <c r="F1770" s="81"/>
      <c r="G1770" s="82"/>
      <c r="H1770" s="82"/>
      <c r="I1770" s="82"/>
      <c r="J1770" s="82"/>
      <c r="K1770" s="82"/>
      <c r="L1770" s="82"/>
      <c r="M1770" s="82"/>
      <c r="N1770" s="82"/>
      <c r="O1770" s="82"/>
      <c r="P1770" s="82"/>
      <c r="Q1770" s="82"/>
      <c r="R1770" s="82"/>
      <c r="S1770" s="82"/>
      <c r="T1770" s="82"/>
      <c r="U1770" s="82"/>
      <c r="V1770" s="82"/>
      <c r="W1770" s="82"/>
      <c r="X1770" s="82"/>
      <c r="Y1770" s="82"/>
      <c r="Z1770" s="82"/>
    </row>
    <row r="1771" spans="1:26">
      <c r="A1771" s="81"/>
      <c r="F1771" s="81"/>
      <c r="G1771" s="82"/>
      <c r="H1771" s="82"/>
      <c r="I1771" s="82"/>
      <c r="J1771" s="82"/>
      <c r="K1771" s="82"/>
      <c r="L1771" s="82"/>
      <c r="M1771" s="82"/>
      <c r="N1771" s="82"/>
      <c r="O1771" s="82"/>
      <c r="P1771" s="82"/>
      <c r="Q1771" s="82"/>
      <c r="R1771" s="82"/>
      <c r="S1771" s="82"/>
      <c r="T1771" s="82"/>
      <c r="U1771" s="82"/>
      <c r="V1771" s="82"/>
      <c r="W1771" s="82"/>
      <c r="X1771" s="82"/>
      <c r="Y1771" s="82"/>
      <c r="Z1771" s="82"/>
    </row>
    <row r="1772" spans="1:26">
      <c r="A1772" s="81"/>
      <c r="F1772" s="81"/>
      <c r="G1772" s="82"/>
      <c r="H1772" s="82"/>
      <c r="I1772" s="82"/>
      <c r="J1772" s="82"/>
      <c r="K1772" s="82"/>
      <c r="L1772" s="82"/>
      <c r="M1772" s="82"/>
      <c r="N1772" s="82"/>
      <c r="O1772" s="82"/>
      <c r="P1772" s="82"/>
      <c r="Q1772" s="82"/>
      <c r="R1772" s="82"/>
      <c r="S1772" s="82"/>
      <c r="T1772" s="82"/>
      <c r="U1772" s="82"/>
      <c r="V1772" s="82"/>
      <c r="W1772" s="82"/>
      <c r="X1772" s="82"/>
      <c r="Y1772" s="82"/>
      <c r="Z1772" s="82"/>
    </row>
    <row r="1773" spans="1:26">
      <c r="A1773" s="81"/>
      <c r="F1773" s="81"/>
      <c r="G1773" s="82"/>
      <c r="H1773" s="82"/>
      <c r="I1773" s="82"/>
      <c r="J1773" s="82"/>
      <c r="K1773" s="82"/>
      <c r="L1773" s="82"/>
      <c r="M1773" s="82"/>
      <c r="N1773" s="82"/>
      <c r="O1773" s="82"/>
      <c r="P1773" s="82"/>
      <c r="Q1773" s="82"/>
      <c r="R1773" s="82"/>
      <c r="S1773" s="82"/>
      <c r="T1773" s="82"/>
      <c r="U1773" s="82"/>
      <c r="V1773" s="82"/>
      <c r="W1773" s="82"/>
      <c r="X1773" s="82"/>
      <c r="Y1773" s="82"/>
      <c r="Z1773" s="82"/>
    </row>
    <row r="1774" spans="1:26">
      <c r="A1774" s="81"/>
      <c r="F1774" s="81"/>
      <c r="G1774" s="82"/>
      <c r="H1774" s="82"/>
      <c r="I1774" s="82"/>
      <c r="J1774" s="82"/>
      <c r="K1774" s="82"/>
      <c r="L1774" s="82"/>
      <c r="M1774" s="82"/>
      <c r="N1774" s="82"/>
      <c r="O1774" s="82"/>
      <c r="P1774" s="82"/>
      <c r="Q1774" s="82"/>
      <c r="R1774" s="82"/>
      <c r="S1774" s="82"/>
      <c r="T1774" s="82"/>
      <c r="U1774" s="82"/>
      <c r="V1774" s="82"/>
      <c r="W1774" s="82"/>
      <c r="X1774" s="82"/>
      <c r="Y1774" s="82"/>
      <c r="Z1774" s="82"/>
    </row>
    <row r="1775" spans="1:26">
      <c r="A1775" s="81"/>
      <c r="F1775" s="81"/>
      <c r="G1775" s="82"/>
      <c r="H1775" s="82"/>
      <c r="I1775" s="82"/>
      <c r="J1775" s="82"/>
      <c r="K1775" s="82"/>
      <c r="L1775" s="82"/>
      <c r="M1775" s="82"/>
      <c r="N1775" s="82"/>
      <c r="O1775" s="82"/>
      <c r="P1775" s="82"/>
      <c r="Q1775" s="82"/>
      <c r="R1775" s="82"/>
      <c r="S1775" s="82"/>
      <c r="T1775" s="82"/>
      <c r="U1775" s="82"/>
      <c r="V1775" s="82"/>
      <c r="W1775" s="82"/>
      <c r="X1775" s="82"/>
      <c r="Y1775" s="82"/>
      <c r="Z1775" s="82"/>
    </row>
    <row r="1776" spans="1:26">
      <c r="A1776" s="81"/>
      <c r="F1776" s="81"/>
      <c r="G1776" s="82"/>
      <c r="H1776" s="82"/>
      <c r="I1776" s="82"/>
      <c r="J1776" s="82"/>
      <c r="K1776" s="82"/>
      <c r="L1776" s="82"/>
      <c r="M1776" s="82"/>
      <c r="N1776" s="82"/>
      <c r="O1776" s="82"/>
      <c r="P1776" s="82"/>
      <c r="Q1776" s="82"/>
      <c r="R1776" s="82"/>
      <c r="S1776" s="82"/>
      <c r="T1776" s="82"/>
      <c r="U1776" s="82"/>
      <c r="V1776" s="82"/>
      <c r="W1776" s="82"/>
      <c r="X1776" s="82"/>
      <c r="Y1776" s="82"/>
      <c r="Z1776" s="82"/>
    </row>
    <row r="1777" spans="1:26">
      <c r="A1777" s="81"/>
      <c r="F1777" s="81"/>
      <c r="G1777" s="82"/>
      <c r="H1777" s="82"/>
      <c r="I1777" s="82"/>
      <c r="J1777" s="82"/>
      <c r="K1777" s="82"/>
      <c r="L1777" s="82"/>
      <c r="M1777" s="82"/>
      <c r="N1777" s="82"/>
      <c r="O1777" s="82"/>
      <c r="P1777" s="82"/>
      <c r="Q1777" s="82"/>
      <c r="R1777" s="82"/>
      <c r="S1777" s="82"/>
      <c r="T1777" s="82"/>
      <c r="U1777" s="82"/>
      <c r="V1777" s="82"/>
      <c r="W1777" s="82"/>
      <c r="X1777" s="82"/>
      <c r="Y1777" s="82"/>
      <c r="Z1777" s="82"/>
    </row>
    <row r="1778" spans="1:26">
      <c r="A1778" s="81"/>
      <c r="F1778" s="81"/>
      <c r="G1778" s="82"/>
      <c r="H1778" s="82"/>
      <c r="I1778" s="82"/>
      <c r="J1778" s="82"/>
      <c r="K1778" s="82"/>
      <c r="L1778" s="82"/>
      <c r="M1778" s="82"/>
      <c r="N1778" s="82"/>
      <c r="O1778" s="82"/>
      <c r="P1778" s="82"/>
      <c r="Q1778" s="82"/>
      <c r="R1778" s="82"/>
      <c r="S1778" s="82"/>
      <c r="T1778" s="82"/>
      <c r="U1778" s="82"/>
      <c r="V1778" s="82"/>
      <c r="W1778" s="82"/>
      <c r="X1778" s="82"/>
      <c r="Y1778" s="82"/>
      <c r="Z1778" s="82"/>
    </row>
    <row r="1779" spans="1:26">
      <c r="A1779" s="81"/>
      <c r="F1779" s="81"/>
      <c r="G1779" s="82"/>
      <c r="H1779" s="82"/>
      <c r="I1779" s="82"/>
      <c r="J1779" s="82"/>
      <c r="K1779" s="82"/>
      <c r="L1779" s="82"/>
      <c r="M1779" s="82"/>
      <c r="N1779" s="82"/>
      <c r="O1779" s="82"/>
      <c r="P1779" s="82"/>
      <c r="Q1779" s="82"/>
      <c r="R1779" s="82"/>
      <c r="S1779" s="82"/>
      <c r="T1779" s="82"/>
      <c r="U1779" s="82"/>
      <c r="V1779" s="82"/>
      <c r="W1779" s="82"/>
      <c r="X1779" s="82"/>
      <c r="Y1779" s="82"/>
      <c r="Z1779" s="82"/>
    </row>
    <row r="1780" spans="1:26">
      <c r="A1780" s="81"/>
      <c r="F1780" s="81"/>
      <c r="G1780" s="82"/>
      <c r="H1780" s="82"/>
      <c r="I1780" s="82"/>
      <c r="J1780" s="82"/>
      <c r="K1780" s="82"/>
      <c r="L1780" s="82"/>
      <c r="M1780" s="82"/>
      <c r="N1780" s="82"/>
      <c r="O1780" s="82"/>
      <c r="P1780" s="82"/>
      <c r="Q1780" s="82"/>
      <c r="R1780" s="82"/>
      <c r="S1780" s="82"/>
      <c r="T1780" s="82"/>
      <c r="U1780" s="82"/>
      <c r="V1780" s="82"/>
      <c r="W1780" s="82"/>
      <c r="X1780" s="82"/>
      <c r="Y1780" s="82"/>
      <c r="Z1780" s="82"/>
    </row>
    <row r="1781" spans="1:26">
      <c r="A1781" s="81"/>
      <c r="F1781" s="81"/>
      <c r="G1781" s="82"/>
      <c r="H1781" s="82"/>
      <c r="I1781" s="82"/>
      <c r="J1781" s="82"/>
      <c r="K1781" s="82"/>
      <c r="L1781" s="82"/>
      <c r="M1781" s="82"/>
      <c r="N1781" s="82"/>
      <c r="O1781" s="82"/>
      <c r="P1781" s="82"/>
      <c r="Q1781" s="82"/>
      <c r="R1781" s="82"/>
      <c r="S1781" s="82"/>
      <c r="T1781" s="82"/>
      <c r="U1781" s="82"/>
      <c r="V1781" s="82"/>
      <c r="W1781" s="82"/>
      <c r="X1781" s="82"/>
      <c r="Y1781" s="82"/>
      <c r="Z1781" s="82"/>
    </row>
    <row r="1782" spans="1:26">
      <c r="A1782" s="81"/>
      <c r="F1782" s="81"/>
      <c r="G1782" s="82"/>
      <c r="H1782" s="82"/>
      <c r="I1782" s="82"/>
      <c r="J1782" s="82"/>
      <c r="K1782" s="82"/>
      <c r="L1782" s="82"/>
      <c r="M1782" s="82"/>
      <c r="N1782" s="82"/>
      <c r="O1782" s="82"/>
      <c r="P1782" s="82"/>
      <c r="Q1782" s="82"/>
      <c r="R1782" s="82"/>
      <c r="S1782" s="82"/>
      <c r="T1782" s="82"/>
      <c r="U1782" s="82"/>
      <c r="V1782" s="82"/>
      <c r="W1782" s="82"/>
      <c r="X1782" s="82"/>
      <c r="Y1782" s="82"/>
      <c r="Z1782" s="82"/>
    </row>
    <row r="1783" spans="1:26">
      <c r="A1783" s="81"/>
      <c r="F1783" s="81"/>
      <c r="G1783" s="82"/>
      <c r="H1783" s="82"/>
      <c r="I1783" s="82"/>
      <c r="J1783" s="82"/>
      <c r="K1783" s="82"/>
      <c r="L1783" s="82"/>
      <c r="M1783" s="82"/>
      <c r="N1783" s="82"/>
      <c r="O1783" s="82"/>
      <c r="P1783" s="82"/>
      <c r="Q1783" s="82"/>
      <c r="R1783" s="82"/>
      <c r="S1783" s="82"/>
      <c r="T1783" s="82"/>
      <c r="U1783" s="82"/>
      <c r="V1783" s="82"/>
      <c r="W1783" s="82"/>
      <c r="X1783" s="82"/>
      <c r="Y1783" s="82"/>
      <c r="Z1783" s="82"/>
    </row>
    <row r="1784" spans="1:26">
      <c r="A1784" s="81"/>
      <c r="F1784" s="81"/>
      <c r="G1784" s="82"/>
      <c r="H1784" s="82"/>
      <c r="I1784" s="82"/>
      <c r="J1784" s="82"/>
      <c r="K1784" s="82"/>
      <c r="L1784" s="82"/>
      <c r="M1784" s="82"/>
      <c r="N1784" s="82"/>
      <c r="O1784" s="82"/>
      <c r="P1784" s="82"/>
      <c r="Q1784" s="82"/>
      <c r="R1784" s="82"/>
      <c r="S1784" s="82"/>
      <c r="T1784" s="82"/>
      <c r="U1784" s="82"/>
      <c r="V1784" s="82"/>
      <c r="W1784" s="82"/>
      <c r="X1784" s="82"/>
      <c r="Y1784" s="82"/>
      <c r="Z1784" s="82"/>
    </row>
    <row r="1785" spans="1:26">
      <c r="A1785" s="81"/>
      <c r="F1785" s="81"/>
      <c r="G1785" s="82"/>
      <c r="H1785" s="82"/>
      <c r="I1785" s="82"/>
      <c r="J1785" s="82"/>
      <c r="K1785" s="82"/>
      <c r="L1785" s="82"/>
      <c r="M1785" s="82"/>
      <c r="N1785" s="82"/>
      <c r="O1785" s="82"/>
      <c r="P1785" s="82"/>
      <c r="Q1785" s="82"/>
      <c r="R1785" s="82"/>
      <c r="S1785" s="82"/>
      <c r="T1785" s="82"/>
      <c r="U1785" s="82"/>
      <c r="V1785" s="82"/>
      <c r="W1785" s="82"/>
      <c r="X1785" s="82"/>
      <c r="Y1785" s="82"/>
      <c r="Z1785" s="82"/>
    </row>
    <row r="1786" spans="1:26">
      <c r="A1786" s="81"/>
      <c r="F1786" s="81"/>
      <c r="G1786" s="82"/>
      <c r="H1786" s="82"/>
      <c r="I1786" s="82"/>
      <c r="J1786" s="82"/>
      <c r="K1786" s="82"/>
      <c r="L1786" s="82"/>
      <c r="M1786" s="82"/>
      <c r="N1786" s="82"/>
      <c r="O1786" s="82"/>
      <c r="P1786" s="82"/>
      <c r="Q1786" s="82"/>
      <c r="R1786" s="82"/>
      <c r="S1786" s="82"/>
      <c r="T1786" s="82"/>
      <c r="U1786" s="82"/>
      <c r="V1786" s="82"/>
      <c r="W1786" s="82"/>
      <c r="X1786" s="82"/>
      <c r="Y1786" s="82"/>
      <c r="Z1786" s="82"/>
    </row>
    <row r="1787" spans="1:26">
      <c r="A1787" s="81"/>
      <c r="F1787" s="81"/>
      <c r="G1787" s="82"/>
      <c r="H1787" s="82"/>
      <c r="I1787" s="82"/>
      <c r="J1787" s="82"/>
      <c r="K1787" s="82"/>
      <c r="L1787" s="82"/>
      <c r="M1787" s="82"/>
      <c r="N1787" s="82"/>
      <c r="O1787" s="82"/>
      <c r="P1787" s="82"/>
      <c r="Q1787" s="82"/>
      <c r="R1787" s="82"/>
      <c r="S1787" s="82"/>
      <c r="T1787" s="82"/>
      <c r="U1787" s="82"/>
      <c r="V1787" s="82"/>
      <c r="W1787" s="82"/>
      <c r="X1787" s="82"/>
      <c r="Y1787" s="82"/>
      <c r="Z1787" s="82"/>
    </row>
    <row r="1788" spans="1:26">
      <c r="A1788" s="81"/>
      <c r="F1788" s="81"/>
      <c r="G1788" s="82"/>
      <c r="H1788" s="82"/>
      <c r="I1788" s="82"/>
      <c r="J1788" s="82"/>
      <c r="K1788" s="82"/>
      <c r="L1788" s="82"/>
      <c r="M1788" s="82"/>
      <c r="N1788" s="82"/>
      <c r="O1788" s="82"/>
      <c r="P1788" s="82"/>
      <c r="Q1788" s="82"/>
      <c r="R1788" s="82"/>
      <c r="S1788" s="82"/>
      <c r="T1788" s="82"/>
      <c r="U1788" s="82"/>
      <c r="V1788" s="82"/>
      <c r="W1788" s="82"/>
      <c r="X1788" s="82"/>
      <c r="Y1788" s="82"/>
      <c r="Z1788" s="82"/>
    </row>
    <row r="1789" spans="1:26">
      <c r="A1789" s="81"/>
      <c r="F1789" s="81"/>
      <c r="G1789" s="82"/>
      <c r="H1789" s="82"/>
      <c r="I1789" s="82"/>
      <c r="J1789" s="82"/>
      <c r="K1789" s="82"/>
      <c r="L1789" s="82"/>
      <c r="M1789" s="82"/>
      <c r="N1789" s="82"/>
      <c r="O1789" s="82"/>
      <c r="P1789" s="82"/>
      <c r="Q1789" s="82"/>
      <c r="R1789" s="82"/>
      <c r="S1789" s="82"/>
      <c r="T1789" s="82"/>
      <c r="U1789" s="82"/>
      <c r="V1789" s="82"/>
      <c r="W1789" s="82"/>
      <c r="X1789" s="82"/>
      <c r="Y1789" s="82"/>
      <c r="Z1789" s="82"/>
    </row>
    <row r="1790" spans="1:26">
      <c r="A1790" s="81"/>
      <c r="F1790" s="81"/>
      <c r="G1790" s="82"/>
      <c r="H1790" s="82"/>
      <c r="I1790" s="82"/>
      <c r="J1790" s="82"/>
      <c r="K1790" s="82"/>
      <c r="L1790" s="82"/>
      <c r="M1790" s="82"/>
      <c r="N1790" s="82"/>
      <c r="O1790" s="82"/>
      <c r="P1790" s="82"/>
      <c r="Q1790" s="82"/>
      <c r="R1790" s="82"/>
      <c r="S1790" s="82"/>
      <c r="T1790" s="82"/>
      <c r="U1790" s="82"/>
      <c r="V1790" s="82"/>
      <c r="W1790" s="82"/>
      <c r="X1790" s="82"/>
      <c r="Y1790" s="82"/>
      <c r="Z1790" s="82"/>
    </row>
    <row r="1791" spans="1:26">
      <c r="A1791" s="81"/>
      <c r="F1791" s="81"/>
      <c r="G1791" s="82"/>
      <c r="H1791" s="82"/>
      <c r="I1791" s="82"/>
      <c r="J1791" s="82"/>
      <c r="K1791" s="82"/>
      <c r="L1791" s="82"/>
      <c r="M1791" s="82"/>
      <c r="N1791" s="82"/>
      <c r="O1791" s="82"/>
      <c r="P1791" s="82"/>
      <c r="Q1791" s="82"/>
      <c r="R1791" s="82"/>
      <c r="S1791" s="82"/>
      <c r="T1791" s="82"/>
      <c r="U1791" s="82"/>
      <c r="V1791" s="82"/>
      <c r="W1791" s="82"/>
      <c r="X1791" s="82"/>
      <c r="Y1791" s="82"/>
      <c r="Z1791" s="82"/>
    </row>
    <row r="1792" spans="1:26">
      <c r="A1792" s="81"/>
      <c r="F1792" s="81"/>
      <c r="G1792" s="82"/>
      <c r="H1792" s="82"/>
      <c r="I1792" s="82"/>
      <c r="J1792" s="82"/>
      <c r="K1792" s="82"/>
      <c r="L1792" s="82"/>
      <c r="M1792" s="82"/>
      <c r="N1792" s="82"/>
      <c r="O1792" s="82"/>
      <c r="P1792" s="82"/>
      <c r="Q1792" s="82"/>
      <c r="R1792" s="82"/>
      <c r="S1792" s="82"/>
      <c r="T1792" s="82"/>
      <c r="U1792" s="82"/>
      <c r="V1792" s="82"/>
      <c r="W1792" s="82"/>
      <c r="X1792" s="82"/>
      <c r="Y1792" s="82"/>
      <c r="Z1792" s="82"/>
    </row>
    <row r="1793" spans="1:26">
      <c r="A1793" s="81"/>
      <c r="F1793" s="81"/>
      <c r="G1793" s="82"/>
      <c r="H1793" s="82"/>
      <c r="I1793" s="82"/>
      <c r="J1793" s="82"/>
      <c r="K1793" s="82"/>
      <c r="L1793" s="82"/>
      <c r="M1793" s="82"/>
      <c r="N1793" s="82"/>
      <c r="O1793" s="82"/>
      <c r="P1793" s="82"/>
      <c r="Q1793" s="82"/>
      <c r="R1793" s="82"/>
      <c r="S1793" s="82"/>
      <c r="T1793" s="82"/>
      <c r="U1793" s="82"/>
      <c r="V1793" s="82"/>
      <c r="W1793" s="82"/>
      <c r="X1793" s="82"/>
      <c r="Y1793" s="82"/>
      <c r="Z1793" s="82"/>
    </row>
    <row r="1794" spans="1:26">
      <c r="A1794" s="81"/>
      <c r="F1794" s="81"/>
      <c r="G1794" s="82"/>
      <c r="H1794" s="82"/>
      <c r="I1794" s="82"/>
      <c r="J1794" s="82"/>
      <c r="K1794" s="82"/>
      <c r="L1794" s="82"/>
      <c r="M1794" s="82"/>
      <c r="N1794" s="82"/>
      <c r="O1794" s="82"/>
      <c r="P1794" s="82"/>
      <c r="Q1794" s="82"/>
      <c r="R1794" s="82"/>
      <c r="S1794" s="82"/>
      <c r="T1794" s="82"/>
      <c r="U1794" s="82"/>
      <c r="V1794" s="82"/>
      <c r="W1794" s="82"/>
      <c r="X1794" s="82"/>
      <c r="Y1794" s="82"/>
      <c r="Z1794" s="82"/>
    </row>
    <row r="1795" spans="1:26">
      <c r="A1795" s="81"/>
      <c r="F1795" s="81"/>
      <c r="G1795" s="82"/>
      <c r="H1795" s="82"/>
      <c r="I1795" s="82"/>
      <c r="J1795" s="82"/>
      <c r="K1795" s="82"/>
      <c r="L1795" s="82"/>
      <c r="M1795" s="82"/>
      <c r="N1795" s="82"/>
      <c r="O1795" s="82"/>
      <c r="P1795" s="82"/>
      <c r="Q1795" s="82"/>
      <c r="R1795" s="82"/>
      <c r="S1795" s="82"/>
      <c r="T1795" s="82"/>
      <c r="U1795" s="82"/>
      <c r="V1795" s="82"/>
      <c r="W1795" s="82"/>
      <c r="X1795" s="82"/>
      <c r="Y1795" s="82"/>
      <c r="Z1795" s="82"/>
    </row>
    <row r="1796" spans="1:26">
      <c r="A1796" s="81"/>
      <c r="F1796" s="81"/>
      <c r="G1796" s="82"/>
      <c r="H1796" s="82"/>
      <c r="I1796" s="82"/>
      <c r="J1796" s="82"/>
      <c r="K1796" s="82"/>
      <c r="L1796" s="82"/>
      <c r="M1796" s="82"/>
      <c r="N1796" s="82"/>
      <c r="O1796" s="82"/>
      <c r="P1796" s="82"/>
      <c r="Q1796" s="82"/>
      <c r="R1796" s="82"/>
      <c r="S1796" s="82"/>
      <c r="T1796" s="82"/>
      <c r="U1796" s="82"/>
      <c r="V1796" s="82"/>
      <c r="W1796" s="82"/>
      <c r="X1796" s="82"/>
      <c r="Y1796" s="82"/>
      <c r="Z1796" s="82"/>
    </row>
    <row r="1797" spans="1:26">
      <c r="A1797" s="81"/>
      <c r="F1797" s="81"/>
      <c r="G1797" s="82"/>
      <c r="H1797" s="82"/>
      <c r="I1797" s="82"/>
      <c r="J1797" s="82"/>
      <c r="K1797" s="82"/>
      <c r="L1797" s="82"/>
      <c r="M1797" s="82"/>
      <c r="N1797" s="82"/>
      <c r="O1797" s="82"/>
      <c r="P1797" s="82"/>
      <c r="Q1797" s="82"/>
      <c r="R1797" s="82"/>
      <c r="S1797" s="82"/>
      <c r="T1797" s="82"/>
      <c r="U1797" s="82"/>
      <c r="V1797" s="82"/>
      <c r="W1797" s="82"/>
      <c r="X1797" s="82"/>
      <c r="Y1797" s="82"/>
      <c r="Z1797" s="82"/>
    </row>
    <row r="1798" spans="1:26">
      <c r="A1798" s="81"/>
      <c r="F1798" s="81"/>
      <c r="G1798" s="82"/>
      <c r="H1798" s="82"/>
      <c r="I1798" s="82"/>
      <c r="J1798" s="82"/>
      <c r="K1798" s="82"/>
      <c r="L1798" s="82"/>
      <c r="M1798" s="82"/>
      <c r="N1798" s="82"/>
      <c r="O1798" s="82"/>
      <c r="P1798" s="82"/>
      <c r="Q1798" s="82"/>
      <c r="R1798" s="82"/>
      <c r="S1798" s="82"/>
      <c r="T1798" s="82"/>
      <c r="U1798" s="82"/>
      <c r="V1798" s="82"/>
      <c r="W1798" s="82"/>
      <c r="X1798" s="82"/>
      <c r="Y1798" s="82"/>
      <c r="Z1798" s="82"/>
    </row>
    <row r="1799" spans="1:26">
      <c r="A1799" s="81"/>
      <c r="F1799" s="81"/>
      <c r="G1799" s="82"/>
      <c r="H1799" s="82"/>
      <c r="I1799" s="82"/>
      <c r="J1799" s="82"/>
      <c r="K1799" s="82"/>
      <c r="L1799" s="82"/>
      <c r="M1799" s="82"/>
      <c r="N1799" s="82"/>
      <c r="O1799" s="82"/>
      <c r="P1799" s="82"/>
      <c r="Q1799" s="82"/>
      <c r="R1799" s="82"/>
      <c r="S1799" s="82"/>
      <c r="T1799" s="82"/>
      <c r="U1799" s="82"/>
      <c r="V1799" s="82"/>
      <c r="W1799" s="82"/>
      <c r="X1799" s="82"/>
      <c r="Y1799" s="82"/>
      <c r="Z1799" s="82"/>
    </row>
    <row r="1800" spans="1:26">
      <c r="A1800" s="81"/>
      <c r="F1800" s="81"/>
      <c r="G1800" s="82"/>
      <c r="H1800" s="82"/>
      <c r="I1800" s="82"/>
      <c r="J1800" s="82"/>
      <c r="K1800" s="82"/>
      <c r="L1800" s="82"/>
      <c r="M1800" s="82"/>
      <c r="N1800" s="82"/>
      <c r="O1800" s="82"/>
      <c r="P1800" s="82"/>
      <c r="Q1800" s="82"/>
      <c r="R1800" s="82"/>
      <c r="S1800" s="82"/>
      <c r="T1800" s="82"/>
      <c r="U1800" s="82"/>
      <c r="V1800" s="82"/>
      <c r="W1800" s="82"/>
      <c r="X1800" s="82"/>
      <c r="Y1800" s="82"/>
      <c r="Z1800" s="82"/>
    </row>
    <row r="1801" spans="1:26">
      <c r="A1801" s="81"/>
      <c r="F1801" s="81"/>
      <c r="G1801" s="82"/>
      <c r="H1801" s="82"/>
      <c r="I1801" s="82"/>
      <c r="J1801" s="82"/>
      <c r="K1801" s="82"/>
      <c r="L1801" s="82"/>
      <c r="M1801" s="82"/>
      <c r="N1801" s="82"/>
      <c r="O1801" s="82"/>
      <c r="P1801" s="82"/>
      <c r="Q1801" s="82"/>
      <c r="R1801" s="82"/>
      <c r="S1801" s="82"/>
      <c r="T1801" s="82"/>
      <c r="U1801" s="82"/>
      <c r="V1801" s="82"/>
      <c r="W1801" s="82"/>
      <c r="X1801" s="82"/>
      <c r="Y1801" s="82"/>
      <c r="Z1801" s="82"/>
    </row>
    <row r="1802" spans="1:26">
      <c r="A1802" s="81"/>
      <c r="F1802" s="81"/>
      <c r="G1802" s="82"/>
      <c r="H1802" s="82"/>
      <c r="I1802" s="82"/>
      <c r="J1802" s="82"/>
      <c r="K1802" s="82"/>
      <c r="L1802" s="82"/>
      <c r="M1802" s="82"/>
      <c r="N1802" s="82"/>
      <c r="O1802" s="82"/>
      <c r="P1802" s="82"/>
      <c r="Q1802" s="82"/>
      <c r="R1802" s="82"/>
      <c r="S1802" s="82"/>
      <c r="T1802" s="82"/>
      <c r="U1802" s="82"/>
      <c r="V1802" s="82"/>
      <c r="W1802" s="82"/>
      <c r="X1802" s="82"/>
      <c r="Y1802" s="82"/>
      <c r="Z1802" s="82"/>
    </row>
    <row r="1803" spans="1:26">
      <c r="A1803" s="81"/>
      <c r="F1803" s="81"/>
      <c r="G1803" s="82"/>
      <c r="H1803" s="82"/>
      <c r="I1803" s="82"/>
      <c r="J1803" s="82"/>
      <c r="K1803" s="82"/>
      <c r="L1803" s="82"/>
      <c r="M1803" s="82"/>
      <c r="N1803" s="82"/>
      <c r="O1803" s="82"/>
      <c r="P1803" s="82"/>
      <c r="Q1803" s="82"/>
      <c r="R1803" s="82"/>
      <c r="S1803" s="82"/>
      <c r="T1803" s="82"/>
      <c r="U1803" s="82"/>
      <c r="V1803" s="82"/>
      <c r="W1803" s="82"/>
      <c r="X1803" s="82"/>
      <c r="Y1803" s="82"/>
      <c r="Z1803" s="82"/>
    </row>
    <row r="1804" spans="1:26">
      <c r="A1804" s="81"/>
      <c r="F1804" s="81"/>
      <c r="G1804" s="82"/>
      <c r="H1804" s="82"/>
      <c r="I1804" s="82"/>
      <c r="J1804" s="82"/>
      <c r="K1804" s="82"/>
      <c r="L1804" s="82"/>
      <c r="M1804" s="82"/>
      <c r="N1804" s="82"/>
      <c r="O1804" s="82"/>
      <c r="P1804" s="82"/>
      <c r="Q1804" s="82"/>
      <c r="R1804" s="82"/>
      <c r="S1804" s="82"/>
      <c r="T1804" s="82"/>
      <c r="U1804" s="82"/>
      <c r="V1804" s="82"/>
      <c r="W1804" s="82"/>
      <c r="X1804" s="82"/>
      <c r="Y1804" s="82"/>
      <c r="Z1804" s="82"/>
    </row>
    <row r="1805" spans="1:26">
      <c r="A1805" s="81"/>
      <c r="F1805" s="81"/>
      <c r="G1805" s="82"/>
      <c r="H1805" s="82"/>
      <c r="I1805" s="82"/>
      <c r="J1805" s="82"/>
      <c r="K1805" s="82"/>
      <c r="L1805" s="82"/>
      <c r="M1805" s="82"/>
      <c r="N1805" s="82"/>
      <c r="O1805" s="82"/>
      <c r="P1805" s="82"/>
      <c r="Q1805" s="82"/>
      <c r="R1805" s="82"/>
      <c r="S1805" s="82"/>
      <c r="T1805" s="82"/>
      <c r="U1805" s="82"/>
      <c r="V1805" s="82"/>
      <c r="W1805" s="82"/>
      <c r="X1805" s="82"/>
      <c r="Y1805" s="82"/>
      <c r="Z1805" s="82"/>
    </row>
    <row r="1806" spans="1:26">
      <c r="A1806" s="81"/>
      <c r="F1806" s="81"/>
      <c r="G1806" s="82"/>
      <c r="H1806" s="82"/>
      <c r="I1806" s="82"/>
      <c r="J1806" s="82"/>
      <c r="K1806" s="82"/>
      <c r="L1806" s="82"/>
      <c r="M1806" s="82"/>
      <c r="N1806" s="82"/>
      <c r="O1806" s="82"/>
      <c r="P1806" s="82"/>
      <c r="Q1806" s="82"/>
      <c r="R1806" s="82"/>
      <c r="S1806" s="82"/>
      <c r="T1806" s="82"/>
      <c r="U1806" s="82"/>
      <c r="V1806" s="82"/>
      <c r="W1806" s="82"/>
      <c r="X1806" s="82"/>
      <c r="Y1806" s="82"/>
      <c r="Z1806" s="82"/>
    </row>
    <row r="1807" spans="1:26">
      <c r="A1807" s="81"/>
      <c r="F1807" s="81"/>
      <c r="G1807" s="82"/>
      <c r="H1807" s="82"/>
      <c r="I1807" s="82"/>
      <c r="J1807" s="82"/>
      <c r="K1807" s="82"/>
      <c r="L1807" s="82"/>
      <c r="M1807" s="82"/>
      <c r="N1807" s="82"/>
      <c r="O1807" s="82"/>
      <c r="P1807" s="82"/>
      <c r="Q1807" s="82"/>
      <c r="R1807" s="82"/>
      <c r="S1807" s="82"/>
      <c r="T1807" s="82"/>
      <c r="U1807" s="82"/>
      <c r="V1807" s="82"/>
      <c r="W1807" s="82"/>
      <c r="X1807" s="82"/>
      <c r="Y1807" s="82"/>
      <c r="Z1807" s="82"/>
    </row>
    <row r="1808" spans="1:26">
      <c r="A1808" s="81"/>
      <c r="F1808" s="81"/>
      <c r="G1808" s="82"/>
      <c r="H1808" s="82"/>
      <c r="I1808" s="82"/>
      <c r="J1808" s="82"/>
      <c r="K1808" s="82"/>
      <c r="L1808" s="82"/>
      <c r="M1808" s="82"/>
      <c r="N1808" s="82"/>
      <c r="O1808" s="82"/>
      <c r="P1808" s="82"/>
      <c r="Q1808" s="82"/>
      <c r="R1808" s="82"/>
      <c r="S1808" s="82"/>
      <c r="T1808" s="82"/>
      <c r="U1808" s="82"/>
      <c r="V1808" s="82"/>
      <c r="W1808" s="82"/>
      <c r="X1808" s="82"/>
      <c r="Y1808" s="82"/>
      <c r="Z1808" s="82"/>
    </row>
    <row r="1809" spans="1:26">
      <c r="A1809" s="81"/>
      <c r="F1809" s="81"/>
      <c r="G1809" s="82"/>
      <c r="H1809" s="82"/>
      <c r="I1809" s="82"/>
      <c r="J1809" s="82"/>
      <c r="K1809" s="82"/>
      <c r="L1809" s="82"/>
      <c r="M1809" s="82"/>
      <c r="N1809" s="82"/>
      <c r="O1809" s="82"/>
      <c r="P1809" s="82"/>
      <c r="Q1809" s="82"/>
      <c r="R1809" s="82"/>
      <c r="S1809" s="82"/>
      <c r="T1809" s="82"/>
      <c r="U1809" s="82"/>
      <c r="V1809" s="82"/>
      <c r="W1809" s="82"/>
      <c r="X1809" s="82"/>
      <c r="Y1809" s="82"/>
      <c r="Z1809" s="82"/>
    </row>
    <row r="1810" spans="1:26">
      <c r="A1810" s="81"/>
      <c r="F1810" s="81"/>
      <c r="G1810" s="82"/>
      <c r="H1810" s="82"/>
      <c r="I1810" s="82"/>
      <c r="J1810" s="82"/>
      <c r="K1810" s="82"/>
      <c r="L1810" s="82"/>
      <c r="M1810" s="82"/>
      <c r="N1810" s="82"/>
      <c r="O1810" s="82"/>
      <c r="P1810" s="82"/>
      <c r="Q1810" s="82"/>
      <c r="R1810" s="82"/>
      <c r="S1810" s="82"/>
      <c r="T1810" s="82"/>
      <c r="U1810" s="82"/>
      <c r="V1810" s="82"/>
      <c r="W1810" s="82"/>
      <c r="X1810" s="82"/>
      <c r="Y1810" s="82"/>
      <c r="Z1810" s="82"/>
    </row>
    <row r="1811" spans="1:26">
      <c r="A1811" s="81"/>
      <c r="F1811" s="81"/>
      <c r="G1811" s="82"/>
      <c r="H1811" s="82"/>
      <c r="I1811" s="82"/>
      <c r="J1811" s="82"/>
      <c r="K1811" s="82"/>
      <c r="L1811" s="82"/>
      <c r="M1811" s="82"/>
      <c r="N1811" s="82"/>
      <c r="O1811" s="82"/>
      <c r="P1811" s="82"/>
      <c r="Q1811" s="82"/>
      <c r="R1811" s="82"/>
      <c r="S1811" s="82"/>
      <c r="T1811" s="82"/>
      <c r="U1811" s="82"/>
      <c r="V1811" s="82"/>
      <c r="W1811" s="82"/>
      <c r="X1811" s="82"/>
      <c r="Y1811" s="82"/>
      <c r="Z1811" s="82"/>
    </row>
    <row r="1812" spans="1:26">
      <c r="A1812" s="81"/>
      <c r="F1812" s="81"/>
      <c r="G1812" s="82"/>
      <c r="H1812" s="82"/>
      <c r="I1812" s="82"/>
      <c r="J1812" s="82"/>
      <c r="K1812" s="82"/>
      <c r="L1812" s="82"/>
      <c r="M1812" s="82"/>
      <c r="N1812" s="82"/>
      <c r="O1812" s="82"/>
      <c r="P1812" s="82"/>
      <c r="Q1812" s="82"/>
      <c r="R1812" s="82"/>
      <c r="S1812" s="82"/>
      <c r="T1812" s="82"/>
      <c r="U1812" s="82"/>
      <c r="V1812" s="82"/>
      <c r="W1812" s="82"/>
      <c r="X1812" s="82"/>
      <c r="Y1812" s="82"/>
      <c r="Z1812" s="82"/>
    </row>
    <row r="1813" spans="1:26">
      <c r="A1813" s="81"/>
      <c r="F1813" s="81"/>
      <c r="G1813" s="82"/>
      <c r="H1813" s="82"/>
      <c r="I1813" s="82"/>
      <c r="J1813" s="82"/>
      <c r="K1813" s="82"/>
      <c r="L1813" s="82"/>
      <c r="M1813" s="82"/>
      <c r="N1813" s="82"/>
      <c r="O1813" s="82"/>
      <c r="P1813" s="82"/>
      <c r="Q1813" s="82"/>
      <c r="R1813" s="82"/>
      <c r="S1813" s="82"/>
      <c r="T1813" s="82"/>
      <c r="U1813" s="82"/>
      <c r="V1813" s="82"/>
      <c r="W1813" s="82"/>
      <c r="X1813" s="82"/>
      <c r="Y1813" s="82"/>
      <c r="Z1813" s="82"/>
    </row>
    <row r="1814" spans="1:26">
      <c r="A1814" s="81"/>
      <c r="F1814" s="81"/>
      <c r="G1814" s="82"/>
      <c r="H1814" s="82"/>
      <c r="I1814" s="82"/>
      <c r="J1814" s="82"/>
      <c r="K1814" s="82"/>
      <c r="L1814" s="82"/>
      <c r="M1814" s="82"/>
      <c r="N1814" s="82"/>
      <c r="O1814" s="82"/>
      <c r="P1814" s="82"/>
      <c r="Q1814" s="82"/>
      <c r="R1814" s="82"/>
      <c r="S1814" s="82"/>
      <c r="T1814" s="82"/>
      <c r="U1814" s="82"/>
      <c r="V1814" s="82"/>
      <c r="W1814" s="82"/>
      <c r="X1814" s="82"/>
      <c r="Y1814" s="82"/>
      <c r="Z1814" s="82"/>
    </row>
    <row r="1815" spans="1:26">
      <c r="A1815" s="81"/>
      <c r="F1815" s="81"/>
      <c r="G1815" s="82"/>
      <c r="H1815" s="82"/>
      <c r="I1815" s="82"/>
      <c r="J1815" s="82"/>
      <c r="K1815" s="82"/>
      <c r="L1815" s="82"/>
      <c r="M1815" s="82"/>
      <c r="N1815" s="82"/>
      <c r="O1815" s="82"/>
      <c r="P1815" s="82"/>
      <c r="Q1815" s="82"/>
      <c r="R1815" s="82"/>
      <c r="S1815" s="82"/>
      <c r="T1815" s="82"/>
      <c r="U1815" s="82"/>
      <c r="V1815" s="82"/>
      <c r="W1815" s="82"/>
      <c r="X1815" s="82"/>
      <c r="Y1815" s="82"/>
      <c r="Z1815" s="82"/>
    </row>
    <row r="1816" spans="1:26">
      <c r="A1816" s="81"/>
      <c r="F1816" s="81"/>
      <c r="G1816" s="82"/>
      <c r="H1816" s="82"/>
      <c r="I1816" s="82"/>
      <c r="J1816" s="82"/>
      <c r="K1816" s="82"/>
      <c r="L1816" s="82"/>
      <c r="M1816" s="82"/>
      <c r="N1816" s="82"/>
      <c r="O1816" s="82"/>
      <c r="P1816" s="82"/>
      <c r="Q1816" s="82"/>
      <c r="R1816" s="82"/>
      <c r="S1816" s="82"/>
      <c r="T1816" s="82"/>
      <c r="U1816" s="82"/>
      <c r="V1816" s="82"/>
      <c r="W1816" s="82"/>
      <c r="X1816" s="82"/>
      <c r="Y1816" s="82"/>
      <c r="Z1816" s="82"/>
    </row>
    <row r="1817" spans="1:26">
      <c r="A1817" s="81"/>
      <c r="F1817" s="81"/>
      <c r="G1817" s="82"/>
      <c r="H1817" s="82"/>
      <c r="I1817" s="82"/>
      <c r="J1817" s="82"/>
      <c r="K1817" s="82"/>
      <c r="L1817" s="82"/>
      <c r="M1817" s="82"/>
      <c r="N1817" s="82"/>
      <c r="O1817" s="82"/>
      <c r="P1817" s="82"/>
      <c r="Q1817" s="82"/>
      <c r="R1817" s="82"/>
      <c r="S1817" s="82"/>
      <c r="T1817" s="82"/>
      <c r="U1817" s="82"/>
      <c r="V1817" s="82"/>
      <c r="W1817" s="82"/>
      <c r="X1817" s="82"/>
      <c r="Y1817" s="82"/>
      <c r="Z1817" s="82"/>
    </row>
    <row r="1818" spans="1:26">
      <c r="A1818" s="81"/>
      <c r="F1818" s="81"/>
      <c r="G1818" s="82"/>
      <c r="H1818" s="82"/>
      <c r="I1818" s="82"/>
      <c r="J1818" s="82"/>
      <c r="K1818" s="82"/>
      <c r="L1818" s="82"/>
      <c r="M1818" s="82"/>
      <c r="N1818" s="82"/>
      <c r="O1818" s="82"/>
      <c r="P1818" s="82"/>
      <c r="Q1818" s="82"/>
      <c r="R1818" s="82"/>
      <c r="S1818" s="82"/>
      <c r="T1818" s="82"/>
      <c r="U1818" s="82"/>
      <c r="V1818" s="82"/>
      <c r="W1818" s="82"/>
      <c r="X1818" s="82"/>
      <c r="Y1818" s="82"/>
      <c r="Z1818" s="82"/>
    </row>
    <row r="1819" spans="1:26">
      <c r="A1819" s="81"/>
      <c r="F1819" s="81"/>
      <c r="G1819" s="82"/>
      <c r="H1819" s="82"/>
      <c r="I1819" s="82"/>
      <c r="J1819" s="82"/>
      <c r="K1819" s="82"/>
      <c r="L1819" s="82"/>
      <c r="M1819" s="82"/>
      <c r="N1819" s="82"/>
      <c r="O1819" s="82"/>
      <c r="P1819" s="82"/>
      <c r="Q1819" s="82"/>
      <c r="R1819" s="82"/>
      <c r="S1819" s="82"/>
      <c r="T1819" s="82"/>
      <c r="U1819" s="82"/>
      <c r="V1819" s="82"/>
      <c r="W1819" s="82"/>
      <c r="X1819" s="82"/>
      <c r="Y1819" s="82"/>
      <c r="Z1819" s="82"/>
    </row>
    <row r="1820" spans="1:26">
      <c r="A1820" s="81"/>
      <c r="F1820" s="81"/>
      <c r="G1820" s="82"/>
      <c r="H1820" s="82"/>
      <c r="I1820" s="82"/>
      <c r="J1820" s="82"/>
      <c r="K1820" s="82"/>
      <c r="L1820" s="82"/>
      <c r="M1820" s="82"/>
      <c r="N1820" s="82"/>
      <c r="O1820" s="82"/>
      <c r="P1820" s="82"/>
      <c r="Q1820" s="82"/>
      <c r="R1820" s="82"/>
      <c r="S1820" s="82"/>
      <c r="T1820" s="82"/>
      <c r="U1820" s="82"/>
      <c r="V1820" s="82"/>
      <c r="W1820" s="82"/>
      <c r="X1820" s="82"/>
      <c r="Y1820" s="82"/>
      <c r="Z1820" s="82"/>
    </row>
    <row r="1821" spans="1:26">
      <c r="A1821" s="81"/>
      <c r="F1821" s="81"/>
      <c r="G1821" s="82"/>
      <c r="H1821" s="82"/>
      <c r="I1821" s="82"/>
      <c r="J1821" s="82"/>
      <c r="K1821" s="82"/>
      <c r="L1821" s="82"/>
      <c r="M1821" s="82"/>
      <c r="N1821" s="82"/>
      <c r="O1821" s="82"/>
      <c r="P1821" s="82"/>
      <c r="Q1821" s="82"/>
      <c r="R1821" s="82"/>
      <c r="S1821" s="82"/>
      <c r="T1821" s="82"/>
      <c r="U1821" s="82"/>
      <c r="V1821" s="82"/>
      <c r="W1821" s="82"/>
      <c r="X1821" s="82"/>
      <c r="Y1821" s="82"/>
      <c r="Z1821" s="82"/>
    </row>
    <row r="1822" spans="1:26">
      <c r="A1822" s="81"/>
      <c r="F1822" s="81"/>
      <c r="G1822" s="82"/>
      <c r="H1822" s="82"/>
      <c r="I1822" s="82"/>
      <c r="J1822" s="82"/>
      <c r="K1822" s="82"/>
      <c r="L1822" s="82"/>
      <c r="M1822" s="82"/>
      <c r="N1822" s="82"/>
      <c r="O1822" s="82"/>
      <c r="P1822" s="82"/>
      <c r="Q1822" s="82"/>
      <c r="R1822" s="82"/>
      <c r="S1822" s="82"/>
      <c r="T1822" s="82"/>
      <c r="U1822" s="82"/>
      <c r="V1822" s="82"/>
      <c r="W1822" s="82"/>
      <c r="X1822" s="82"/>
      <c r="Y1822" s="82"/>
      <c r="Z1822" s="82"/>
    </row>
    <row r="1823" spans="1:26">
      <c r="A1823" s="81"/>
      <c r="F1823" s="81"/>
      <c r="G1823" s="82"/>
      <c r="H1823" s="82"/>
      <c r="I1823" s="82"/>
      <c r="J1823" s="82"/>
      <c r="K1823" s="82"/>
      <c r="L1823" s="82"/>
      <c r="M1823" s="82"/>
      <c r="N1823" s="82"/>
      <c r="O1823" s="82"/>
      <c r="P1823" s="82"/>
      <c r="Q1823" s="82"/>
      <c r="R1823" s="82"/>
      <c r="S1823" s="82"/>
      <c r="T1823" s="82"/>
      <c r="U1823" s="82"/>
      <c r="V1823" s="82"/>
      <c r="W1823" s="82"/>
      <c r="X1823" s="82"/>
      <c r="Y1823" s="82"/>
      <c r="Z1823" s="82"/>
    </row>
    <row r="1824" spans="1:26">
      <c r="A1824" s="81"/>
      <c r="F1824" s="81"/>
      <c r="G1824" s="82"/>
      <c r="H1824" s="82"/>
      <c r="I1824" s="82"/>
      <c r="J1824" s="82"/>
      <c r="K1824" s="82"/>
      <c r="L1824" s="82"/>
      <c r="M1824" s="82"/>
      <c r="N1824" s="82"/>
      <c r="O1824" s="82"/>
      <c r="P1824" s="82"/>
      <c r="Q1824" s="82"/>
      <c r="R1824" s="82"/>
      <c r="S1824" s="82"/>
      <c r="T1824" s="82"/>
      <c r="U1824" s="82"/>
      <c r="V1824" s="82"/>
      <c r="W1824" s="82"/>
      <c r="X1824" s="82"/>
      <c r="Y1824" s="82"/>
      <c r="Z1824" s="82"/>
    </row>
    <row r="1825" spans="1:26">
      <c r="A1825" s="81"/>
      <c r="F1825" s="81"/>
      <c r="G1825" s="82"/>
      <c r="H1825" s="82"/>
      <c r="I1825" s="82"/>
      <c r="J1825" s="82"/>
      <c r="K1825" s="82"/>
      <c r="L1825" s="82"/>
      <c r="M1825" s="82"/>
      <c r="N1825" s="82"/>
      <c r="O1825" s="82"/>
      <c r="P1825" s="82"/>
      <c r="Q1825" s="82"/>
      <c r="R1825" s="82"/>
      <c r="S1825" s="82"/>
      <c r="T1825" s="82"/>
      <c r="U1825" s="82"/>
      <c r="V1825" s="82"/>
      <c r="W1825" s="82"/>
      <c r="X1825" s="82"/>
      <c r="Y1825" s="82"/>
      <c r="Z1825" s="82"/>
    </row>
    <row r="1826" spans="1:26">
      <c r="A1826" s="81"/>
      <c r="F1826" s="81"/>
      <c r="G1826" s="82"/>
      <c r="H1826" s="82"/>
      <c r="I1826" s="82"/>
      <c r="J1826" s="82"/>
      <c r="K1826" s="82"/>
      <c r="L1826" s="82"/>
      <c r="M1826" s="82"/>
      <c r="N1826" s="82"/>
      <c r="O1826" s="82"/>
      <c r="P1826" s="82"/>
      <c r="Q1826" s="82"/>
      <c r="R1826" s="82"/>
      <c r="S1826" s="82"/>
      <c r="T1826" s="82"/>
      <c r="U1826" s="82"/>
      <c r="V1826" s="82"/>
      <c r="W1826" s="82"/>
      <c r="X1826" s="82"/>
      <c r="Y1826" s="82"/>
      <c r="Z1826" s="82"/>
    </row>
    <row r="1827" spans="1:26">
      <c r="A1827" s="81"/>
      <c r="F1827" s="81"/>
      <c r="G1827" s="82"/>
      <c r="H1827" s="82"/>
      <c r="I1827" s="82"/>
      <c r="J1827" s="82"/>
      <c r="K1827" s="82"/>
      <c r="L1827" s="82"/>
      <c r="M1827" s="82"/>
      <c r="N1827" s="82"/>
      <c r="O1827" s="82"/>
      <c r="P1827" s="82"/>
      <c r="Q1827" s="82"/>
      <c r="R1827" s="82"/>
      <c r="S1827" s="82"/>
      <c r="T1827" s="82"/>
      <c r="U1827" s="82"/>
      <c r="V1827" s="82"/>
      <c r="W1827" s="82"/>
      <c r="X1827" s="82"/>
      <c r="Y1827" s="82"/>
      <c r="Z1827" s="82"/>
    </row>
    <row r="1828" spans="1:26">
      <c r="A1828" s="81"/>
      <c r="F1828" s="81"/>
      <c r="G1828" s="82"/>
      <c r="H1828" s="82"/>
      <c r="I1828" s="82"/>
      <c r="J1828" s="82"/>
      <c r="K1828" s="82"/>
      <c r="L1828" s="82"/>
      <c r="M1828" s="82"/>
      <c r="N1828" s="82"/>
      <c r="O1828" s="82"/>
      <c r="P1828" s="82"/>
      <c r="Q1828" s="82"/>
      <c r="R1828" s="82"/>
      <c r="S1828" s="82"/>
      <c r="T1828" s="82"/>
      <c r="U1828" s="82"/>
      <c r="V1828" s="82"/>
      <c r="W1828" s="82"/>
      <c r="X1828" s="82"/>
      <c r="Y1828" s="82"/>
      <c r="Z1828" s="82"/>
    </row>
    <row r="1829" spans="1:26">
      <c r="A1829" s="81"/>
      <c r="F1829" s="81"/>
      <c r="G1829" s="82"/>
      <c r="H1829" s="82"/>
      <c r="I1829" s="82"/>
      <c r="J1829" s="82"/>
      <c r="K1829" s="82"/>
      <c r="L1829" s="82"/>
      <c r="M1829" s="82"/>
      <c r="N1829" s="82"/>
      <c r="O1829" s="82"/>
      <c r="P1829" s="82"/>
      <c r="Q1829" s="82"/>
      <c r="R1829" s="82"/>
      <c r="S1829" s="82"/>
      <c r="T1829" s="82"/>
      <c r="U1829" s="82"/>
      <c r="V1829" s="82"/>
      <c r="W1829" s="82"/>
      <c r="X1829" s="82"/>
      <c r="Y1829" s="82"/>
      <c r="Z1829" s="82"/>
    </row>
    <row r="1830" spans="1:26">
      <c r="A1830" s="81"/>
      <c r="F1830" s="81"/>
      <c r="G1830" s="82"/>
      <c r="H1830" s="82"/>
      <c r="I1830" s="82"/>
      <c r="J1830" s="82"/>
      <c r="K1830" s="82"/>
      <c r="L1830" s="82"/>
      <c r="M1830" s="82"/>
      <c r="N1830" s="82"/>
      <c r="O1830" s="82"/>
      <c r="P1830" s="82"/>
      <c r="Q1830" s="82"/>
      <c r="R1830" s="82"/>
      <c r="S1830" s="82"/>
      <c r="T1830" s="82"/>
      <c r="U1830" s="82"/>
      <c r="V1830" s="82"/>
      <c r="W1830" s="82"/>
      <c r="X1830" s="82"/>
      <c r="Y1830" s="82"/>
      <c r="Z1830" s="82"/>
    </row>
    <row r="1831" spans="1:26">
      <c r="A1831" s="81"/>
      <c r="F1831" s="81"/>
      <c r="G1831" s="82"/>
      <c r="H1831" s="82"/>
      <c r="I1831" s="82"/>
      <c r="J1831" s="82"/>
      <c r="K1831" s="82"/>
      <c r="L1831" s="82"/>
      <c r="M1831" s="82"/>
      <c r="N1831" s="82"/>
      <c r="O1831" s="82"/>
      <c r="P1831" s="82"/>
      <c r="Q1831" s="82"/>
      <c r="R1831" s="82"/>
      <c r="S1831" s="82"/>
      <c r="T1831" s="82"/>
      <c r="U1831" s="82"/>
      <c r="V1831" s="82"/>
      <c r="W1831" s="82"/>
      <c r="X1831" s="82"/>
      <c r="Y1831" s="82"/>
      <c r="Z1831" s="82"/>
    </row>
    <row r="1832" spans="1:26">
      <c r="A1832" s="81"/>
      <c r="F1832" s="81"/>
      <c r="G1832" s="82"/>
      <c r="H1832" s="82"/>
      <c r="I1832" s="82"/>
      <c r="J1832" s="82"/>
      <c r="K1832" s="82"/>
      <c r="L1832" s="82"/>
      <c r="M1832" s="82"/>
      <c r="N1832" s="82"/>
      <c r="O1832" s="82"/>
      <c r="P1832" s="82"/>
      <c r="Q1832" s="82"/>
      <c r="R1832" s="82"/>
      <c r="S1832" s="82"/>
      <c r="T1832" s="82"/>
      <c r="U1832" s="82"/>
      <c r="V1832" s="82"/>
      <c r="W1832" s="82"/>
      <c r="X1832" s="82"/>
      <c r="Y1832" s="82"/>
      <c r="Z1832" s="82"/>
    </row>
    <row r="1833" spans="1:26">
      <c r="A1833" s="81"/>
      <c r="F1833" s="81"/>
      <c r="G1833" s="82"/>
      <c r="H1833" s="82"/>
      <c r="I1833" s="82"/>
      <c r="J1833" s="82"/>
      <c r="K1833" s="82"/>
      <c r="L1833" s="82"/>
      <c r="M1833" s="82"/>
      <c r="N1833" s="82"/>
      <c r="O1833" s="82"/>
      <c r="P1833" s="82"/>
      <c r="Q1833" s="82"/>
      <c r="R1833" s="82"/>
      <c r="S1833" s="82"/>
      <c r="T1833" s="82"/>
      <c r="U1833" s="82"/>
      <c r="V1833" s="82"/>
      <c r="W1833" s="82"/>
      <c r="X1833" s="82"/>
      <c r="Y1833" s="82"/>
      <c r="Z1833" s="82"/>
    </row>
    <row r="1834" spans="1:26">
      <c r="A1834" s="81"/>
      <c r="F1834" s="81"/>
      <c r="G1834" s="82"/>
      <c r="H1834" s="82"/>
      <c r="I1834" s="82"/>
      <c r="J1834" s="82"/>
      <c r="K1834" s="82"/>
      <c r="L1834" s="82"/>
      <c r="M1834" s="82"/>
      <c r="N1834" s="82"/>
      <c r="O1834" s="82"/>
      <c r="P1834" s="82"/>
      <c r="Q1834" s="82"/>
      <c r="R1834" s="82"/>
      <c r="S1834" s="82"/>
      <c r="T1834" s="82"/>
      <c r="U1834" s="82"/>
      <c r="V1834" s="82"/>
      <c r="W1834" s="82"/>
      <c r="X1834" s="82"/>
      <c r="Y1834" s="82"/>
      <c r="Z1834" s="82"/>
    </row>
    <row r="1835" spans="1:26">
      <c r="A1835" s="81"/>
      <c r="F1835" s="81"/>
      <c r="G1835" s="82"/>
      <c r="H1835" s="82"/>
      <c r="I1835" s="82"/>
      <c r="J1835" s="82"/>
      <c r="K1835" s="82"/>
      <c r="L1835" s="82"/>
      <c r="M1835" s="82"/>
      <c r="N1835" s="82"/>
      <c r="O1835" s="82"/>
      <c r="P1835" s="82"/>
      <c r="Q1835" s="82"/>
      <c r="R1835" s="82"/>
      <c r="S1835" s="82"/>
      <c r="T1835" s="82"/>
      <c r="U1835" s="82"/>
      <c r="V1835" s="82"/>
      <c r="W1835" s="82"/>
      <c r="X1835" s="82"/>
      <c r="Y1835" s="82"/>
      <c r="Z1835" s="82"/>
    </row>
    <row r="1836" spans="1:26">
      <c r="A1836" s="81"/>
      <c r="F1836" s="81"/>
      <c r="G1836" s="82"/>
      <c r="H1836" s="82"/>
      <c r="I1836" s="82"/>
      <c r="J1836" s="82"/>
      <c r="K1836" s="82"/>
      <c r="L1836" s="82"/>
      <c r="M1836" s="82"/>
      <c r="N1836" s="82"/>
      <c r="O1836" s="82"/>
      <c r="P1836" s="82"/>
      <c r="Q1836" s="82"/>
      <c r="R1836" s="82"/>
      <c r="S1836" s="82"/>
      <c r="T1836" s="82"/>
      <c r="U1836" s="82"/>
      <c r="V1836" s="82"/>
      <c r="W1836" s="82"/>
      <c r="X1836" s="82"/>
      <c r="Y1836" s="82"/>
      <c r="Z1836" s="82"/>
    </row>
    <row r="1837" spans="1:26">
      <c r="A1837" s="81"/>
      <c r="F1837" s="81"/>
      <c r="G1837" s="82"/>
      <c r="H1837" s="82"/>
      <c r="I1837" s="82"/>
      <c r="J1837" s="82"/>
      <c r="K1837" s="82"/>
      <c r="L1837" s="82"/>
      <c r="M1837" s="82"/>
      <c r="N1837" s="82"/>
      <c r="O1837" s="82"/>
      <c r="P1837" s="82"/>
      <c r="Q1837" s="82"/>
      <c r="R1837" s="82"/>
      <c r="S1837" s="82"/>
      <c r="T1837" s="82"/>
      <c r="U1837" s="82"/>
      <c r="V1837" s="82"/>
      <c r="W1837" s="82"/>
      <c r="X1837" s="82"/>
      <c r="Y1837" s="82"/>
      <c r="Z1837" s="82"/>
    </row>
    <row r="1838" spans="1:26">
      <c r="A1838" s="81"/>
      <c r="F1838" s="81"/>
      <c r="G1838" s="82"/>
      <c r="H1838" s="82"/>
      <c r="I1838" s="82"/>
      <c r="J1838" s="82"/>
      <c r="K1838" s="82"/>
      <c r="L1838" s="82"/>
      <c r="M1838" s="82"/>
      <c r="N1838" s="82"/>
      <c r="O1838" s="82"/>
      <c r="P1838" s="82"/>
      <c r="Q1838" s="82"/>
      <c r="R1838" s="82"/>
      <c r="S1838" s="82"/>
      <c r="T1838" s="82"/>
      <c r="U1838" s="82"/>
      <c r="V1838" s="82"/>
      <c r="W1838" s="82"/>
      <c r="X1838" s="82"/>
      <c r="Y1838" s="82"/>
      <c r="Z1838" s="82"/>
    </row>
    <row r="1839" spans="1:26">
      <c r="A1839" s="81"/>
      <c r="F1839" s="81"/>
      <c r="G1839" s="82"/>
      <c r="H1839" s="82"/>
      <c r="I1839" s="82"/>
      <c r="J1839" s="82"/>
      <c r="K1839" s="82"/>
      <c r="L1839" s="82"/>
      <c r="M1839" s="82"/>
      <c r="N1839" s="82"/>
      <c r="O1839" s="82"/>
      <c r="P1839" s="82"/>
      <c r="Q1839" s="82"/>
      <c r="R1839" s="82"/>
      <c r="S1839" s="82"/>
      <c r="T1839" s="82"/>
      <c r="U1839" s="82"/>
      <c r="V1839" s="82"/>
      <c r="W1839" s="82"/>
      <c r="X1839" s="82"/>
      <c r="Y1839" s="82"/>
      <c r="Z1839" s="82"/>
    </row>
    <row r="1840" spans="1:26">
      <c r="A1840" s="81"/>
      <c r="F1840" s="81"/>
      <c r="G1840" s="82"/>
      <c r="H1840" s="82"/>
      <c r="I1840" s="82"/>
      <c r="J1840" s="82"/>
      <c r="K1840" s="82"/>
      <c r="L1840" s="82"/>
      <c r="M1840" s="82"/>
      <c r="N1840" s="82"/>
      <c r="O1840" s="82"/>
      <c r="P1840" s="82"/>
      <c r="Q1840" s="82"/>
      <c r="R1840" s="82"/>
      <c r="S1840" s="82"/>
      <c r="T1840" s="82"/>
      <c r="U1840" s="82"/>
      <c r="V1840" s="82"/>
      <c r="W1840" s="82"/>
      <c r="X1840" s="82"/>
      <c r="Y1840" s="82"/>
      <c r="Z1840" s="82"/>
    </row>
    <row r="1841" spans="1:26">
      <c r="A1841" s="81"/>
      <c r="F1841" s="81"/>
      <c r="G1841" s="82"/>
      <c r="H1841" s="82"/>
      <c r="I1841" s="82"/>
      <c r="J1841" s="82"/>
      <c r="K1841" s="82"/>
      <c r="L1841" s="82"/>
      <c r="M1841" s="82"/>
      <c r="N1841" s="82"/>
      <c r="O1841" s="82"/>
      <c r="P1841" s="82"/>
      <c r="Q1841" s="82"/>
      <c r="R1841" s="82"/>
      <c r="S1841" s="82"/>
      <c r="T1841" s="82"/>
      <c r="U1841" s="82"/>
      <c r="V1841" s="82"/>
      <c r="W1841" s="82"/>
      <c r="X1841" s="82"/>
      <c r="Y1841" s="82"/>
      <c r="Z1841" s="82"/>
    </row>
    <row r="1842" spans="1:26">
      <c r="A1842" s="81"/>
      <c r="F1842" s="81"/>
      <c r="G1842" s="82"/>
      <c r="H1842" s="82"/>
      <c r="I1842" s="82"/>
      <c r="J1842" s="82"/>
      <c r="K1842" s="82"/>
      <c r="L1842" s="82"/>
      <c r="M1842" s="82"/>
      <c r="N1842" s="82"/>
      <c r="O1842" s="82"/>
      <c r="P1842" s="82"/>
      <c r="Q1842" s="82"/>
      <c r="R1842" s="82"/>
      <c r="S1842" s="82"/>
      <c r="T1842" s="82"/>
      <c r="U1842" s="82"/>
      <c r="V1842" s="82"/>
      <c r="W1842" s="82"/>
      <c r="X1842" s="82"/>
      <c r="Y1842" s="82"/>
      <c r="Z1842" s="82"/>
    </row>
    <row r="1843" spans="1:26">
      <c r="A1843" s="81"/>
      <c r="F1843" s="81"/>
      <c r="G1843" s="82"/>
      <c r="H1843" s="82"/>
      <c r="I1843" s="82"/>
      <c r="J1843" s="82"/>
      <c r="K1843" s="82"/>
      <c r="L1843" s="82"/>
      <c r="M1843" s="82"/>
      <c r="N1843" s="82"/>
      <c r="O1843" s="82"/>
      <c r="P1843" s="82"/>
      <c r="Q1843" s="82"/>
      <c r="R1843" s="82"/>
      <c r="S1843" s="82"/>
      <c r="T1843" s="82"/>
      <c r="U1843" s="82"/>
      <c r="V1843" s="82"/>
      <c r="W1843" s="82"/>
      <c r="X1843" s="82"/>
      <c r="Y1843" s="82"/>
      <c r="Z1843" s="82"/>
    </row>
    <row r="1844" spans="1:26">
      <c r="A1844" s="81"/>
      <c r="F1844" s="81"/>
      <c r="G1844" s="82"/>
      <c r="H1844" s="82"/>
      <c r="I1844" s="82"/>
      <c r="J1844" s="82"/>
      <c r="K1844" s="82"/>
      <c r="L1844" s="82"/>
      <c r="M1844" s="82"/>
      <c r="N1844" s="82"/>
      <c r="O1844" s="82"/>
      <c r="P1844" s="82"/>
      <c r="Q1844" s="82"/>
      <c r="R1844" s="82"/>
      <c r="S1844" s="82"/>
      <c r="T1844" s="82"/>
      <c r="U1844" s="82"/>
      <c r="V1844" s="82"/>
      <c r="W1844" s="82"/>
      <c r="X1844" s="82"/>
      <c r="Y1844" s="82"/>
      <c r="Z1844" s="82"/>
    </row>
    <row r="1845" spans="1:26">
      <c r="A1845" s="81"/>
      <c r="F1845" s="81"/>
      <c r="G1845" s="82"/>
      <c r="H1845" s="82"/>
      <c r="I1845" s="82"/>
      <c r="J1845" s="82"/>
      <c r="K1845" s="82"/>
      <c r="L1845" s="82"/>
      <c r="M1845" s="82"/>
      <c r="N1845" s="82"/>
      <c r="O1845" s="82"/>
      <c r="P1845" s="82"/>
      <c r="Q1845" s="82"/>
      <c r="R1845" s="82"/>
      <c r="S1845" s="82"/>
      <c r="T1845" s="82"/>
      <c r="U1845" s="82"/>
      <c r="V1845" s="82"/>
      <c r="W1845" s="82"/>
      <c r="X1845" s="82"/>
      <c r="Y1845" s="82"/>
      <c r="Z1845" s="82"/>
    </row>
    <row r="1846" spans="1:26">
      <c r="A1846" s="81"/>
      <c r="F1846" s="81"/>
      <c r="G1846" s="82"/>
      <c r="H1846" s="82"/>
      <c r="I1846" s="82"/>
      <c r="J1846" s="82"/>
      <c r="K1846" s="82"/>
      <c r="L1846" s="82"/>
      <c r="M1846" s="82"/>
      <c r="N1846" s="82"/>
      <c r="O1846" s="82"/>
      <c r="P1846" s="82"/>
      <c r="Q1846" s="82"/>
      <c r="R1846" s="82"/>
      <c r="S1846" s="82"/>
      <c r="T1846" s="82"/>
      <c r="U1846" s="82"/>
      <c r="V1846" s="82"/>
      <c r="W1846" s="82"/>
      <c r="X1846" s="82"/>
      <c r="Y1846" s="82"/>
      <c r="Z1846" s="82"/>
    </row>
    <row r="1847" spans="1:26">
      <c r="A1847" s="81"/>
      <c r="F1847" s="81"/>
      <c r="G1847" s="82"/>
      <c r="H1847" s="82"/>
      <c r="I1847" s="82"/>
      <c r="J1847" s="82"/>
      <c r="K1847" s="82"/>
      <c r="L1847" s="82"/>
      <c r="M1847" s="82"/>
      <c r="N1847" s="82"/>
      <c r="O1847" s="82"/>
      <c r="P1847" s="82"/>
      <c r="Q1847" s="82"/>
      <c r="R1847" s="82"/>
      <c r="S1847" s="82"/>
      <c r="T1847" s="82"/>
      <c r="U1847" s="82"/>
      <c r="V1847" s="82"/>
      <c r="W1847" s="82"/>
      <c r="X1847" s="82"/>
      <c r="Y1847" s="82"/>
      <c r="Z1847" s="82"/>
    </row>
    <row r="1848" spans="1:26">
      <c r="A1848" s="81"/>
      <c r="F1848" s="81"/>
      <c r="G1848" s="82"/>
      <c r="H1848" s="82"/>
      <c r="I1848" s="82"/>
      <c r="J1848" s="82"/>
      <c r="K1848" s="82"/>
      <c r="L1848" s="82"/>
      <c r="M1848" s="82"/>
      <c r="N1848" s="82"/>
      <c r="O1848" s="82"/>
      <c r="P1848" s="82"/>
      <c r="Q1848" s="82"/>
      <c r="R1848" s="82"/>
      <c r="S1848" s="82"/>
      <c r="T1848" s="82"/>
      <c r="U1848" s="82"/>
      <c r="V1848" s="82"/>
      <c r="W1848" s="82"/>
      <c r="X1848" s="82"/>
      <c r="Y1848" s="82"/>
      <c r="Z1848" s="82"/>
    </row>
    <row r="1849" spans="1:26">
      <c r="A1849" s="81"/>
      <c r="F1849" s="81"/>
      <c r="G1849" s="82"/>
      <c r="H1849" s="82"/>
      <c r="I1849" s="82"/>
      <c r="J1849" s="82"/>
      <c r="K1849" s="82"/>
      <c r="L1849" s="82"/>
      <c r="M1849" s="82"/>
      <c r="N1849" s="82"/>
      <c r="O1849" s="82"/>
      <c r="P1849" s="82"/>
      <c r="Q1849" s="82"/>
      <c r="R1849" s="82"/>
      <c r="S1849" s="82"/>
      <c r="T1849" s="82"/>
      <c r="U1849" s="82"/>
      <c r="V1849" s="82"/>
      <c r="W1849" s="82"/>
      <c r="X1849" s="82"/>
      <c r="Y1849" s="82"/>
      <c r="Z1849" s="82"/>
    </row>
    <row r="1850" spans="1:26">
      <c r="A1850" s="81"/>
      <c r="F1850" s="81"/>
      <c r="G1850" s="82"/>
      <c r="H1850" s="82"/>
      <c r="I1850" s="82"/>
      <c r="J1850" s="82"/>
      <c r="K1850" s="82"/>
      <c r="L1850" s="82"/>
      <c r="M1850" s="82"/>
      <c r="N1850" s="82"/>
      <c r="O1850" s="82"/>
      <c r="P1850" s="82"/>
      <c r="Q1850" s="82"/>
      <c r="R1850" s="82"/>
      <c r="S1850" s="82"/>
      <c r="T1850" s="82"/>
      <c r="U1850" s="82"/>
      <c r="V1850" s="82"/>
      <c r="W1850" s="82"/>
      <c r="X1850" s="82"/>
      <c r="Y1850" s="82"/>
      <c r="Z1850" s="82"/>
    </row>
    <row r="1851" spans="1:26">
      <c r="A1851" s="81"/>
      <c r="F1851" s="81"/>
      <c r="G1851" s="82"/>
      <c r="H1851" s="82"/>
      <c r="I1851" s="82"/>
      <c r="J1851" s="82"/>
      <c r="K1851" s="82"/>
      <c r="L1851" s="82"/>
      <c r="M1851" s="82"/>
      <c r="N1851" s="82"/>
      <c r="O1851" s="82"/>
      <c r="P1851" s="82"/>
      <c r="Q1851" s="82"/>
      <c r="R1851" s="82"/>
      <c r="S1851" s="82"/>
      <c r="T1851" s="82"/>
      <c r="U1851" s="82"/>
      <c r="V1851" s="82"/>
      <c r="W1851" s="82"/>
      <c r="X1851" s="82"/>
      <c r="Y1851" s="82"/>
      <c r="Z1851" s="82"/>
    </row>
    <row r="1852" spans="1:26">
      <c r="A1852" s="81"/>
      <c r="F1852" s="81"/>
      <c r="G1852" s="82"/>
      <c r="H1852" s="82"/>
      <c r="I1852" s="82"/>
      <c r="J1852" s="82"/>
      <c r="K1852" s="82"/>
      <c r="L1852" s="82"/>
      <c r="M1852" s="82"/>
      <c r="N1852" s="82"/>
      <c r="O1852" s="82"/>
      <c r="P1852" s="82"/>
      <c r="Q1852" s="82"/>
      <c r="R1852" s="82"/>
      <c r="S1852" s="82"/>
      <c r="T1852" s="82"/>
      <c r="U1852" s="82"/>
      <c r="V1852" s="82"/>
      <c r="W1852" s="82"/>
      <c r="X1852" s="82"/>
      <c r="Y1852" s="82"/>
      <c r="Z1852" s="82"/>
    </row>
    <row r="1853" spans="1:26">
      <c r="A1853" s="81"/>
      <c r="F1853" s="81"/>
      <c r="G1853" s="82"/>
      <c r="H1853" s="82"/>
      <c r="I1853" s="82"/>
      <c r="J1853" s="82"/>
      <c r="K1853" s="82"/>
      <c r="L1853" s="82"/>
      <c r="M1853" s="82"/>
      <c r="N1853" s="82"/>
      <c r="O1853" s="82"/>
      <c r="P1853" s="82"/>
      <c r="Q1853" s="82"/>
      <c r="R1853" s="82"/>
      <c r="S1853" s="82"/>
      <c r="T1853" s="82"/>
      <c r="U1853" s="82"/>
      <c r="V1853" s="82"/>
      <c r="W1853" s="82"/>
      <c r="X1853" s="82"/>
      <c r="Y1853" s="82"/>
      <c r="Z1853" s="82"/>
    </row>
    <row r="1854" spans="1:26">
      <c r="A1854" s="81"/>
      <c r="F1854" s="81"/>
      <c r="G1854" s="82"/>
      <c r="H1854" s="82"/>
      <c r="I1854" s="82"/>
      <c r="J1854" s="82"/>
      <c r="K1854" s="82"/>
      <c r="L1854" s="82"/>
      <c r="M1854" s="82"/>
      <c r="N1854" s="82"/>
      <c r="O1854" s="82"/>
      <c r="P1854" s="82"/>
      <c r="Q1854" s="82"/>
      <c r="R1854" s="82"/>
      <c r="S1854" s="82"/>
      <c r="T1854" s="82"/>
      <c r="U1854" s="82"/>
      <c r="V1854" s="82"/>
      <c r="W1854" s="82"/>
      <c r="X1854" s="82"/>
      <c r="Y1854" s="82"/>
      <c r="Z1854" s="82"/>
    </row>
    <row r="1855" spans="1:26">
      <c r="A1855" s="81"/>
      <c r="F1855" s="81"/>
      <c r="G1855" s="82"/>
      <c r="H1855" s="82"/>
      <c r="I1855" s="82"/>
      <c r="J1855" s="82"/>
      <c r="K1855" s="82"/>
      <c r="L1855" s="82"/>
      <c r="M1855" s="82"/>
      <c r="N1855" s="82"/>
      <c r="O1855" s="82"/>
      <c r="P1855" s="82"/>
      <c r="Q1855" s="82"/>
      <c r="R1855" s="82"/>
      <c r="S1855" s="82"/>
      <c r="T1855" s="82"/>
      <c r="U1855" s="82"/>
      <c r="V1855" s="82"/>
      <c r="W1855" s="82"/>
      <c r="X1855" s="82"/>
      <c r="Y1855" s="82"/>
      <c r="Z1855" s="82"/>
    </row>
    <row r="1856" spans="1:26">
      <c r="A1856" s="81"/>
      <c r="F1856" s="81"/>
      <c r="G1856" s="82"/>
      <c r="H1856" s="82"/>
      <c r="I1856" s="82"/>
      <c r="J1856" s="82"/>
      <c r="K1856" s="82"/>
      <c r="L1856" s="82"/>
      <c r="M1856" s="82"/>
      <c r="N1856" s="82"/>
      <c r="O1856" s="82"/>
      <c r="P1856" s="82"/>
      <c r="Q1856" s="82"/>
      <c r="R1856" s="82"/>
      <c r="S1856" s="82"/>
      <c r="T1856" s="82"/>
      <c r="U1856" s="82"/>
      <c r="V1856" s="82"/>
      <c r="W1856" s="82"/>
      <c r="X1856" s="82"/>
      <c r="Y1856" s="82"/>
      <c r="Z1856" s="82"/>
    </row>
    <row r="1857" spans="1:26">
      <c r="A1857" s="81"/>
      <c r="F1857" s="81"/>
      <c r="G1857" s="82"/>
      <c r="H1857" s="82"/>
      <c r="I1857" s="82"/>
      <c r="J1857" s="82"/>
      <c r="K1857" s="82"/>
      <c r="L1857" s="82"/>
      <c r="M1857" s="82"/>
      <c r="N1857" s="82"/>
      <c r="O1857" s="82"/>
      <c r="P1857" s="82"/>
      <c r="Q1857" s="82"/>
      <c r="R1857" s="82"/>
      <c r="S1857" s="82"/>
      <c r="T1857" s="82"/>
      <c r="U1857" s="82"/>
      <c r="V1857" s="82"/>
      <c r="W1857" s="82"/>
      <c r="X1857" s="82"/>
      <c r="Y1857" s="82"/>
      <c r="Z1857" s="82"/>
    </row>
    <row r="1858" spans="1:26">
      <c r="A1858" s="81"/>
      <c r="F1858" s="81"/>
      <c r="G1858" s="82"/>
      <c r="H1858" s="82"/>
      <c r="I1858" s="82"/>
      <c r="J1858" s="82"/>
      <c r="K1858" s="82"/>
      <c r="L1858" s="82"/>
      <c r="M1858" s="82"/>
      <c r="N1858" s="82"/>
      <c r="O1858" s="82"/>
      <c r="P1858" s="82"/>
      <c r="Q1858" s="82"/>
      <c r="R1858" s="82"/>
      <c r="S1858" s="82"/>
      <c r="T1858" s="82"/>
      <c r="U1858" s="82"/>
      <c r="V1858" s="82"/>
      <c r="W1858" s="82"/>
      <c r="X1858" s="82"/>
      <c r="Y1858" s="82"/>
      <c r="Z1858" s="82"/>
    </row>
    <row r="1859" spans="1:26">
      <c r="A1859" s="81"/>
      <c r="F1859" s="81"/>
      <c r="G1859" s="82"/>
      <c r="H1859" s="82"/>
      <c r="I1859" s="82"/>
      <c r="J1859" s="82"/>
      <c r="K1859" s="82"/>
      <c r="L1859" s="82"/>
      <c r="M1859" s="82"/>
      <c r="N1859" s="82"/>
      <c r="O1859" s="82"/>
      <c r="P1859" s="82"/>
      <c r="Q1859" s="82"/>
      <c r="R1859" s="82"/>
      <c r="S1859" s="82"/>
      <c r="T1859" s="82"/>
      <c r="U1859" s="82"/>
      <c r="V1859" s="82"/>
      <c r="W1859" s="82"/>
      <c r="X1859" s="82"/>
      <c r="Y1859" s="82"/>
      <c r="Z1859" s="82"/>
    </row>
    <row r="1860" spans="1:26">
      <c r="A1860" s="81"/>
      <c r="F1860" s="81"/>
      <c r="G1860" s="82"/>
      <c r="H1860" s="82"/>
      <c r="I1860" s="82"/>
      <c r="J1860" s="82"/>
      <c r="K1860" s="82"/>
      <c r="L1860" s="82"/>
      <c r="M1860" s="82"/>
      <c r="N1860" s="82"/>
      <c r="O1860" s="82"/>
      <c r="P1860" s="82"/>
      <c r="Q1860" s="82"/>
      <c r="R1860" s="82"/>
      <c r="S1860" s="82"/>
      <c r="T1860" s="82"/>
      <c r="U1860" s="82"/>
      <c r="V1860" s="82"/>
      <c r="W1860" s="82"/>
      <c r="X1860" s="82"/>
      <c r="Y1860" s="82"/>
      <c r="Z1860" s="82"/>
    </row>
    <row r="1861" spans="1:26">
      <c r="A1861" s="81"/>
      <c r="F1861" s="81"/>
      <c r="G1861" s="82"/>
      <c r="H1861" s="82"/>
      <c r="I1861" s="82"/>
      <c r="J1861" s="82"/>
      <c r="K1861" s="82"/>
      <c r="L1861" s="82"/>
      <c r="M1861" s="82"/>
      <c r="N1861" s="82"/>
      <c r="O1861" s="82"/>
      <c r="P1861" s="82"/>
      <c r="Q1861" s="82"/>
      <c r="R1861" s="82"/>
      <c r="S1861" s="82"/>
      <c r="T1861" s="82"/>
      <c r="U1861" s="82"/>
      <c r="V1861" s="82"/>
      <c r="W1861" s="82"/>
      <c r="X1861" s="82"/>
      <c r="Y1861" s="82"/>
      <c r="Z1861" s="82"/>
    </row>
    <row r="1862" spans="1:26">
      <c r="A1862" s="81"/>
      <c r="F1862" s="81"/>
      <c r="G1862" s="82"/>
      <c r="H1862" s="82"/>
      <c r="I1862" s="82"/>
      <c r="J1862" s="82"/>
      <c r="K1862" s="82"/>
      <c r="L1862" s="82"/>
      <c r="M1862" s="82"/>
      <c r="N1862" s="82"/>
      <c r="O1862" s="82"/>
      <c r="P1862" s="82"/>
      <c r="Q1862" s="82"/>
      <c r="R1862" s="82"/>
      <c r="S1862" s="82"/>
      <c r="T1862" s="82"/>
      <c r="U1862" s="82"/>
      <c r="V1862" s="82"/>
      <c r="W1862" s="82"/>
      <c r="X1862" s="82"/>
      <c r="Y1862" s="82"/>
      <c r="Z1862" s="82"/>
    </row>
    <row r="1863" spans="1:26">
      <c r="A1863" s="81"/>
      <c r="F1863" s="81"/>
      <c r="G1863" s="82"/>
      <c r="H1863" s="82"/>
      <c r="I1863" s="82"/>
      <c r="J1863" s="82"/>
      <c r="K1863" s="82"/>
      <c r="L1863" s="82"/>
      <c r="M1863" s="82"/>
      <c r="N1863" s="82"/>
      <c r="O1863" s="82"/>
      <c r="P1863" s="82"/>
      <c r="Q1863" s="82"/>
      <c r="R1863" s="82"/>
      <c r="S1863" s="82"/>
      <c r="T1863" s="82"/>
      <c r="U1863" s="82"/>
      <c r="V1863" s="82"/>
      <c r="W1863" s="82"/>
      <c r="X1863" s="82"/>
      <c r="Y1863" s="82"/>
      <c r="Z1863" s="82"/>
    </row>
    <row r="1864" spans="1:26">
      <c r="A1864" s="81"/>
      <c r="F1864" s="81"/>
      <c r="G1864" s="82"/>
      <c r="H1864" s="82"/>
      <c r="I1864" s="82"/>
      <c r="J1864" s="82"/>
      <c r="K1864" s="82"/>
      <c r="L1864" s="82"/>
      <c r="M1864" s="82"/>
      <c r="N1864" s="82"/>
      <c r="O1864" s="82"/>
      <c r="P1864" s="82"/>
      <c r="Q1864" s="82"/>
      <c r="R1864" s="82"/>
      <c r="S1864" s="82"/>
      <c r="T1864" s="82"/>
      <c r="U1864" s="82"/>
      <c r="V1864" s="82"/>
      <c r="W1864" s="82"/>
      <c r="X1864" s="82"/>
      <c r="Y1864" s="82"/>
      <c r="Z1864" s="82"/>
    </row>
    <row r="1865" spans="1:26">
      <c r="A1865" s="81"/>
      <c r="F1865" s="81"/>
      <c r="G1865" s="82"/>
      <c r="H1865" s="82"/>
      <c r="I1865" s="82"/>
      <c r="J1865" s="82"/>
      <c r="K1865" s="82"/>
      <c r="L1865" s="82"/>
      <c r="M1865" s="82"/>
      <c r="N1865" s="82"/>
      <c r="O1865" s="82"/>
      <c r="P1865" s="82"/>
      <c r="Q1865" s="82"/>
      <c r="R1865" s="82"/>
      <c r="S1865" s="82"/>
      <c r="T1865" s="82"/>
      <c r="U1865" s="82"/>
      <c r="V1865" s="82"/>
      <c r="W1865" s="82"/>
      <c r="X1865" s="82"/>
      <c r="Y1865" s="82"/>
      <c r="Z1865" s="82"/>
    </row>
    <row r="1866" spans="1:26">
      <c r="A1866" s="81"/>
      <c r="F1866" s="81"/>
      <c r="G1866" s="82"/>
      <c r="H1866" s="82"/>
      <c r="I1866" s="82"/>
      <c r="J1866" s="82"/>
      <c r="K1866" s="82"/>
      <c r="L1866" s="82"/>
      <c r="M1866" s="82"/>
      <c r="N1866" s="82"/>
      <c r="O1866" s="82"/>
      <c r="P1866" s="82"/>
      <c r="Q1866" s="82"/>
      <c r="R1866" s="82"/>
      <c r="S1866" s="82"/>
      <c r="T1866" s="82"/>
      <c r="U1866" s="82"/>
      <c r="V1866" s="82"/>
      <c r="W1866" s="82"/>
      <c r="X1866" s="82"/>
      <c r="Y1866" s="82"/>
      <c r="Z1866" s="82"/>
    </row>
    <row r="1867" spans="1:26">
      <c r="A1867" s="81"/>
      <c r="F1867" s="81"/>
      <c r="G1867" s="82"/>
      <c r="H1867" s="82"/>
      <c r="I1867" s="82"/>
      <c r="J1867" s="82"/>
      <c r="K1867" s="82"/>
      <c r="L1867" s="82"/>
      <c r="M1867" s="82"/>
      <c r="N1867" s="82"/>
      <c r="O1867" s="82"/>
      <c r="P1867" s="82"/>
      <c r="Q1867" s="82"/>
      <c r="R1867" s="82"/>
      <c r="S1867" s="82"/>
      <c r="T1867" s="82"/>
      <c r="U1867" s="82"/>
      <c r="V1867" s="82"/>
      <c r="W1867" s="82"/>
      <c r="X1867" s="82"/>
      <c r="Y1867" s="82"/>
      <c r="Z1867" s="82"/>
    </row>
    <row r="1868" spans="1:26">
      <c r="A1868" s="81"/>
      <c r="F1868" s="81"/>
      <c r="G1868" s="82"/>
      <c r="H1868" s="82"/>
      <c r="I1868" s="82"/>
      <c r="J1868" s="82"/>
      <c r="K1868" s="82"/>
      <c r="L1868" s="82"/>
      <c r="M1868" s="82"/>
      <c r="N1868" s="82"/>
      <c r="O1868" s="82"/>
      <c r="P1868" s="82"/>
      <c r="Q1868" s="82"/>
      <c r="R1868" s="82"/>
      <c r="S1868" s="82"/>
      <c r="T1868" s="82"/>
      <c r="U1868" s="82"/>
      <c r="V1868" s="82"/>
      <c r="W1868" s="82"/>
      <c r="X1868" s="82"/>
      <c r="Y1868" s="82"/>
      <c r="Z1868" s="82"/>
    </row>
    <row r="1869" spans="1:26">
      <c r="A1869" s="81"/>
      <c r="F1869" s="81"/>
      <c r="G1869" s="82"/>
      <c r="H1869" s="82"/>
      <c r="I1869" s="82"/>
      <c r="J1869" s="82"/>
      <c r="K1869" s="82"/>
      <c r="L1869" s="82"/>
      <c r="M1869" s="82"/>
      <c r="N1869" s="82"/>
      <c r="O1869" s="82"/>
      <c r="P1869" s="82"/>
      <c r="Q1869" s="82"/>
      <c r="R1869" s="82"/>
      <c r="S1869" s="82"/>
      <c r="T1869" s="82"/>
      <c r="U1869" s="82"/>
      <c r="V1869" s="82"/>
      <c r="W1869" s="82"/>
      <c r="X1869" s="82"/>
      <c r="Y1869" s="82"/>
      <c r="Z1869" s="82"/>
    </row>
    <row r="1870" spans="1:26">
      <c r="A1870" s="81"/>
      <c r="F1870" s="81"/>
      <c r="G1870" s="82"/>
      <c r="H1870" s="82"/>
      <c r="I1870" s="82"/>
      <c r="J1870" s="82"/>
      <c r="K1870" s="82"/>
      <c r="L1870" s="82"/>
      <c r="M1870" s="82"/>
      <c r="N1870" s="82"/>
      <c r="O1870" s="82"/>
      <c r="P1870" s="82"/>
      <c r="Q1870" s="82"/>
      <c r="R1870" s="82"/>
      <c r="S1870" s="82"/>
      <c r="T1870" s="82"/>
      <c r="U1870" s="82"/>
      <c r="V1870" s="82"/>
      <c r="W1870" s="82"/>
      <c r="X1870" s="82"/>
      <c r="Y1870" s="82"/>
      <c r="Z1870" s="82"/>
    </row>
    <row r="1871" spans="1:26">
      <c r="A1871" s="81"/>
      <c r="F1871" s="81"/>
      <c r="G1871" s="82"/>
      <c r="H1871" s="82"/>
      <c r="I1871" s="82"/>
      <c r="J1871" s="82"/>
      <c r="K1871" s="82"/>
      <c r="L1871" s="82"/>
      <c r="M1871" s="82"/>
      <c r="N1871" s="82"/>
      <c r="O1871" s="82"/>
      <c r="P1871" s="82"/>
      <c r="Q1871" s="82"/>
      <c r="R1871" s="82"/>
      <c r="S1871" s="82"/>
      <c r="T1871" s="82"/>
      <c r="U1871" s="82"/>
      <c r="V1871" s="82"/>
      <c r="W1871" s="82"/>
      <c r="X1871" s="82"/>
      <c r="Y1871" s="82"/>
      <c r="Z1871" s="82"/>
    </row>
    <row r="1872" spans="1:26">
      <c r="A1872" s="81"/>
      <c r="F1872" s="81"/>
      <c r="G1872" s="82"/>
      <c r="H1872" s="82"/>
      <c r="I1872" s="82"/>
      <c r="J1872" s="82"/>
      <c r="K1872" s="82"/>
      <c r="L1872" s="82"/>
      <c r="M1872" s="82"/>
      <c r="N1872" s="82"/>
      <c r="O1872" s="82"/>
      <c r="P1872" s="82"/>
      <c r="Q1872" s="82"/>
      <c r="R1872" s="82"/>
      <c r="S1872" s="82"/>
      <c r="T1872" s="82"/>
      <c r="U1872" s="82"/>
      <c r="V1872" s="82"/>
      <c r="W1872" s="82"/>
      <c r="X1872" s="82"/>
      <c r="Y1872" s="82"/>
      <c r="Z1872" s="82"/>
    </row>
    <row r="1873" spans="1:26">
      <c r="A1873" s="81"/>
      <c r="F1873" s="81"/>
      <c r="G1873" s="82"/>
      <c r="H1873" s="82"/>
      <c r="I1873" s="82"/>
      <c r="J1873" s="82"/>
      <c r="K1873" s="82"/>
      <c r="L1873" s="82"/>
      <c r="M1873" s="82"/>
      <c r="N1873" s="82"/>
      <c r="O1873" s="82"/>
      <c r="P1873" s="82"/>
      <c r="Q1873" s="82"/>
      <c r="R1873" s="82"/>
      <c r="S1873" s="82"/>
      <c r="T1873" s="82"/>
      <c r="U1873" s="82"/>
      <c r="V1873" s="82"/>
      <c r="W1873" s="82"/>
      <c r="X1873" s="82"/>
      <c r="Y1873" s="82"/>
      <c r="Z1873" s="82"/>
    </row>
    <row r="1874" spans="1:26">
      <c r="A1874" s="81"/>
      <c r="F1874" s="81"/>
      <c r="G1874" s="82"/>
      <c r="H1874" s="82"/>
      <c r="I1874" s="82"/>
      <c r="J1874" s="82"/>
      <c r="K1874" s="82"/>
      <c r="L1874" s="82"/>
      <c r="M1874" s="82"/>
      <c r="N1874" s="82"/>
      <c r="O1874" s="82"/>
      <c r="P1874" s="82"/>
      <c r="Q1874" s="82"/>
      <c r="R1874" s="82"/>
      <c r="S1874" s="82"/>
      <c r="T1874" s="82"/>
      <c r="U1874" s="82"/>
      <c r="V1874" s="82"/>
      <c r="W1874" s="82"/>
      <c r="X1874" s="82"/>
      <c r="Y1874" s="82"/>
      <c r="Z1874" s="82"/>
    </row>
    <row r="1875" spans="1:26">
      <c r="A1875" s="81"/>
      <c r="F1875" s="81"/>
      <c r="G1875" s="82"/>
      <c r="H1875" s="82"/>
      <c r="I1875" s="82"/>
      <c r="J1875" s="82"/>
      <c r="K1875" s="82"/>
      <c r="L1875" s="82"/>
      <c r="M1875" s="82"/>
      <c r="N1875" s="82"/>
      <c r="O1875" s="82"/>
      <c r="P1875" s="82"/>
      <c r="Q1875" s="82"/>
      <c r="R1875" s="82"/>
      <c r="S1875" s="82"/>
      <c r="T1875" s="82"/>
      <c r="U1875" s="82"/>
      <c r="V1875" s="82"/>
      <c r="W1875" s="82"/>
      <c r="X1875" s="82"/>
      <c r="Y1875" s="82"/>
      <c r="Z1875" s="82"/>
    </row>
    <row r="1876" spans="1:26">
      <c r="A1876" s="81"/>
      <c r="F1876" s="81"/>
      <c r="G1876" s="82"/>
      <c r="H1876" s="82"/>
      <c r="I1876" s="82"/>
      <c r="J1876" s="82"/>
      <c r="K1876" s="82"/>
      <c r="L1876" s="82"/>
      <c r="M1876" s="82"/>
      <c r="N1876" s="82"/>
      <c r="O1876" s="82"/>
      <c r="P1876" s="82"/>
      <c r="Q1876" s="82"/>
      <c r="R1876" s="82"/>
      <c r="S1876" s="82"/>
      <c r="T1876" s="82"/>
      <c r="U1876" s="82"/>
      <c r="V1876" s="82"/>
      <c r="W1876" s="82"/>
      <c r="X1876" s="82"/>
      <c r="Y1876" s="82"/>
      <c r="Z1876" s="82"/>
    </row>
    <row r="1877" spans="1:26">
      <c r="A1877" s="81"/>
      <c r="F1877" s="81"/>
      <c r="G1877" s="82"/>
      <c r="H1877" s="82"/>
      <c r="I1877" s="82"/>
      <c r="J1877" s="82"/>
      <c r="K1877" s="82"/>
      <c r="L1877" s="82"/>
      <c r="M1877" s="82"/>
      <c r="N1877" s="82"/>
      <c r="O1877" s="82"/>
      <c r="P1877" s="82"/>
      <c r="Q1877" s="82"/>
      <c r="R1877" s="82"/>
      <c r="S1877" s="82"/>
      <c r="T1877" s="82"/>
      <c r="U1877" s="82"/>
      <c r="V1877" s="82"/>
      <c r="W1877" s="82"/>
      <c r="X1877" s="82"/>
      <c r="Y1877" s="82"/>
      <c r="Z1877" s="82"/>
    </row>
    <row r="1878" spans="1:26">
      <c r="A1878" s="81"/>
      <c r="F1878" s="81"/>
      <c r="G1878" s="82"/>
      <c r="H1878" s="82"/>
      <c r="I1878" s="82"/>
      <c r="J1878" s="82"/>
      <c r="K1878" s="82"/>
      <c r="L1878" s="82"/>
      <c r="M1878" s="82"/>
      <c r="N1878" s="82"/>
      <c r="O1878" s="82"/>
      <c r="P1878" s="82"/>
      <c r="Q1878" s="82"/>
      <c r="R1878" s="82"/>
      <c r="S1878" s="82"/>
      <c r="T1878" s="82"/>
      <c r="U1878" s="82"/>
      <c r="V1878" s="82"/>
      <c r="W1878" s="82"/>
      <c r="X1878" s="82"/>
      <c r="Y1878" s="82"/>
      <c r="Z1878" s="82"/>
    </row>
    <row r="1879" spans="1:26">
      <c r="A1879" s="81"/>
      <c r="F1879" s="81"/>
      <c r="G1879" s="82"/>
      <c r="H1879" s="82"/>
      <c r="I1879" s="82"/>
      <c r="J1879" s="82"/>
      <c r="K1879" s="82"/>
      <c r="L1879" s="82"/>
      <c r="M1879" s="82"/>
      <c r="N1879" s="82"/>
      <c r="O1879" s="82"/>
      <c r="P1879" s="82"/>
      <c r="Q1879" s="82"/>
      <c r="R1879" s="82"/>
      <c r="S1879" s="82"/>
      <c r="T1879" s="82"/>
      <c r="U1879" s="82"/>
      <c r="V1879" s="82"/>
      <c r="W1879" s="82"/>
      <c r="X1879" s="82"/>
      <c r="Y1879" s="82"/>
      <c r="Z1879" s="82"/>
    </row>
    <row r="1880" spans="1:26">
      <c r="A1880" s="81"/>
      <c r="F1880" s="81"/>
      <c r="G1880" s="82"/>
      <c r="H1880" s="82"/>
      <c r="I1880" s="82"/>
      <c r="J1880" s="82"/>
      <c r="K1880" s="82"/>
      <c r="L1880" s="82"/>
      <c r="M1880" s="82"/>
      <c r="N1880" s="82"/>
      <c r="O1880" s="82"/>
      <c r="P1880" s="82"/>
      <c r="Q1880" s="82"/>
      <c r="R1880" s="82"/>
      <c r="S1880" s="82"/>
      <c r="T1880" s="82"/>
      <c r="U1880" s="82"/>
      <c r="V1880" s="82"/>
      <c r="W1880" s="82"/>
      <c r="X1880" s="82"/>
      <c r="Y1880" s="82"/>
      <c r="Z1880" s="82"/>
    </row>
    <row r="1881" spans="1:26">
      <c r="A1881" s="81"/>
      <c r="F1881" s="81"/>
      <c r="G1881" s="82"/>
      <c r="H1881" s="82"/>
      <c r="I1881" s="82"/>
      <c r="J1881" s="82"/>
      <c r="K1881" s="82"/>
      <c r="L1881" s="82"/>
      <c r="M1881" s="82"/>
      <c r="N1881" s="82"/>
      <c r="O1881" s="82"/>
      <c r="P1881" s="82"/>
      <c r="Q1881" s="82"/>
      <c r="R1881" s="82"/>
      <c r="S1881" s="82"/>
      <c r="T1881" s="82"/>
      <c r="U1881" s="82"/>
      <c r="V1881" s="82"/>
      <c r="W1881" s="82"/>
      <c r="X1881" s="82"/>
      <c r="Y1881" s="82"/>
      <c r="Z1881" s="82"/>
    </row>
    <row r="1882" spans="1:26">
      <c r="A1882" s="81"/>
      <c r="F1882" s="81"/>
      <c r="G1882" s="82"/>
      <c r="H1882" s="82"/>
      <c r="I1882" s="82"/>
      <c r="J1882" s="82"/>
      <c r="K1882" s="82"/>
      <c r="L1882" s="82"/>
      <c r="M1882" s="82"/>
      <c r="N1882" s="82"/>
      <c r="O1882" s="82"/>
      <c r="P1882" s="82"/>
      <c r="Q1882" s="82"/>
      <c r="R1882" s="82"/>
      <c r="S1882" s="82"/>
      <c r="T1882" s="82"/>
      <c r="U1882" s="82"/>
      <c r="V1882" s="82"/>
      <c r="W1882" s="82"/>
      <c r="X1882" s="82"/>
      <c r="Y1882" s="82"/>
      <c r="Z1882" s="82"/>
    </row>
    <row r="1883" spans="1:26">
      <c r="A1883" s="81"/>
      <c r="F1883" s="81"/>
      <c r="G1883" s="82"/>
      <c r="H1883" s="82"/>
      <c r="I1883" s="82"/>
      <c r="J1883" s="82"/>
      <c r="K1883" s="82"/>
      <c r="L1883" s="82"/>
      <c r="M1883" s="82"/>
      <c r="N1883" s="82"/>
      <c r="O1883" s="82"/>
      <c r="P1883" s="82"/>
      <c r="Q1883" s="82"/>
      <c r="R1883" s="82"/>
      <c r="S1883" s="82"/>
      <c r="T1883" s="82"/>
      <c r="U1883" s="82"/>
      <c r="V1883" s="82"/>
      <c r="W1883" s="82"/>
      <c r="X1883" s="82"/>
      <c r="Y1883" s="82"/>
      <c r="Z1883" s="82"/>
    </row>
    <row r="1884" spans="1:26">
      <c r="A1884" s="81"/>
      <c r="F1884" s="81"/>
      <c r="G1884" s="82"/>
      <c r="H1884" s="82"/>
      <c r="I1884" s="82"/>
      <c r="J1884" s="82"/>
      <c r="K1884" s="82"/>
      <c r="L1884" s="82"/>
      <c r="M1884" s="82"/>
      <c r="N1884" s="82"/>
      <c r="O1884" s="82"/>
      <c r="P1884" s="82"/>
      <c r="Q1884" s="82"/>
      <c r="R1884" s="82"/>
      <c r="S1884" s="82"/>
      <c r="T1884" s="82"/>
      <c r="U1884" s="82"/>
      <c r="V1884" s="82"/>
      <c r="W1884" s="82"/>
      <c r="X1884" s="82"/>
      <c r="Y1884" s="82"/>
      <c r="Z1884" s="82"/>
    </row>
    <row r="1885" spans="1:26">
      <c r="A1885" s="81"/>
      <c r="F1885" s="81"/>
      <c r="G1885" s="82"/>
      <c r="H1885" s="82"/>
      <c r="I1885" s="82"/>
      <c r="J1885" s="82"/>
      <c r="K1885" s="82"/>
      <c r="L1885" s="82"/>
      <c r="M1885" s="82"/>
      <c r="N1885" s="82"/>
      <c r="O1885" s="82"/>
      <c r="P1885" s="82"/>
      <c r="Q1885" s="82"/>
      <c r="R1885" s="82"/>
      <c r="S1885" s="82"/>
      <c r="T1885" s="82"/>
      <c r="U1885" s="82"/>
      <c r="V1885" s="82"/>
      <c r="W1885" s="82"/>
      <c r="X1885" s="82"/>
      <c r="Y1885" s="82"/>
      <c r="Z1885" s="82"/>
    </row>
    <row r="1886" spans="1:26">
      <c r="A1886" s="81"/>
      <c r="F1886" s="81"/>
      <c r="G1886" s="82"/>
      <c r="H1886" s="82"/>
      <c r="I1886" s="82"/>
      <c r="J1886" s="82"/>
      <c r="K1886" s="82"/>
      <c r="L1886" s="82"/>
      <c r="M1886" s="82"/>
      <c r="N1886" s="82"/>
      <c r="O1886" s="82"/>
      <c r="P1886" s="82"/>
      <c r="Q1886" s="82"/>
      <c r="R1886" s="82"/>
      <c r="S1886" s="82"/>
      <c r="T1886" s="82"/>
      <c r="U1886" s="82"/>
      <c r="V1886" s="82"/>
      <c r="W1886" s="82"/>
      <c r="X1886" s="82"/>
      <c r="Y1886" s="82"/>
      <c r="Z1886" s="82"/>
    </row>
    <row r="1887" spans="1:26">
      <c r="A1887" s="81"/>
      <c r="F1887" s="81"/>
      <c r="G1887" s="82"/>
      <c r="H1887" s="82"/>
      <c r="I1887" s="82"/>
      <c r="J1887" s="82"/>
      <c r="K1887" s="82"/>
      <c r="L1887" s="82"/>
      <c r="M1887" s="82"/>
      <c r="N1887" s="82"/>
      <c r="O1887" s="82"/>
      <c r="P1887" s="82"/>
      <c r="Q1887" s="82"/>
      <c r="R1887" s="82"/>
      <c r="S1887" s="82"/>
      <c r="T1887" s="82"/>
      <c r="U1887" s="82"/>
      <c r="V1887" s="82"/>
      <c r="W1887" s="82"/>
      <c r="X1887" s="82"/>
      <c r="Y1887" s="82"/>
      <c r="Z1887" s="82"/>
    </row>
    <row r="1888" spans="1:26">
      <c r="A1888" s="81"/>
      <c r="F1888" s="81"/>
      <c r="G1888" s="82"/>
      <c r="H1888" s="82"/>
      <c r="I1888" s="82"/>
      <c r="J1888" s="82"/>
      <c r="K1888" s="82"/>
      <c r="L1888" s="82"/>
      <c r="M1888" s="82"/>
      <c r="N1888" s="82"/>
      <c r="O1888" s="82"/>
      <c r="P1888" s="82"/>
      <c r="Q1888" s="82"/>
      <c r="R1888" s="82"/>
      <c r="S1888" s="82"/>
      <c r="T1888" s="82"/>
      <c r="U1888" s="82"/>
      <c r="V1888" s="82"/>
      <c r="W1888" s="82"/>
      <c r="X1888" s="82"/>
      <c r="Y1888" s="82"/>
      <c r="Z1888" s="82"/>
    </row>
    <row r="1889" spans="1:26">
      <c r="A1889" s="81"/>
      <c r="F1889" s="81"/>
      <c r="G1889" s="82"/>
      <c r="H1889" s="82"/>
      <c r="I1889" s="82"/>
      <c r="J1889" s="82"/>
      <c r="K1889" s="82"/>
      <c r="L1889" s="82"/>
      <c r="M1889" s="82"/>
      <c r="N1889" s="82"/>
      <c r="O1889" s="82"/>
      <c r="P1889" s="82"/>
      <c r="Q1889" s="82"/>
      <c r="R1889" s="82"/>
      <c r="S1889" s="82"/>
      <c r="T1889" s="82"/>
      <c r="U1889" s="82"/>
      <c r="V1889" s="82"/>
      <c r="W1889" s="82"/>
      <c r="X1889" s="82"/>
      <c r="Y1889" s="82"/>
      <c r="Z1889" s="82"/>
    </row>
    <row r="1890" spans="1:26">
      <c r="A1890" s="81"/>
      <c r="F1890" s="81"/>
      <c r="G1890" s="82"/>
      <c r="H1890" s="82"/>
      <c r="I1890" s="82"/>
      <c r="J1890" s="82"/>
      <c r="K1890" s="82"/>
      <c r="L1890" s="82"/>
      <c r="M1890" s="82"/>
      <c r="N1890" s="82"/>
      <c r="O1890" s="82"/>
      <c r="P1890" s="82"/>
      <c r="Q1890" s="82"/>
      <c r="R1890" s="82"/>
      <c r="S1890" s="82"/>
      <c r="T1890" s="82"/>
      <c r="U1890" s="82"/>
      <c r="V1890" s="82"/>
      <c r="W1890" s="82"/>
      <c r="X1890" s="82"/>
      <c r="Y1890" s="82"/>
      <c r="Z1890" s="82"/>
    </row>
    <row r="1891" spans="1:26">
      <c r="A1891" s="81"/>
      <c r="F1891" s="81"/>
      <c r="G1891" s="82"/>
      <c r="H1891" s="82"/>
      <c r="I1891" s="82"/>
      <c r="J1891" s="82"/>
      <c r="K1891" s="82"/>
      <c r="L1891" s="82"/>
      <c r="M1891" s="82"/>
      <c r="N1891" s="82"/>
      <c r="O1891" s="82"/>
      <c r="P1891" s="82"/>
      <c r="Q1891" s="82"/>
      <c r="R1891" s="82"/>
      <c r="S1891" s="82"/>
      <c r="T1891" s="82"/>
      <c r="U1891" s="82"/>
      <c r="V1891" s="82"/>
      <c r="W1891" s="82"/>
      <c r="X1891" s="82"/>
      <c r="Y1891" s="82"/>
      <c r="Z1891" s="82"/>
    </row>
    <row r="1892" spans="1:26">
      <c r="A1892" s="81"/>
      <c r="F1892" s="81"/>
      <c r="G1892" s="82"/>
      <c r="H1892" s="82"/>
      <c r="I1892" s="82"/>
      <c r="J1892" s="82"/>
      <c r="K1892" s="82"/>
      <c r="L1892" s="82"/>
      <c r="M1892" s="82"/>
      <c r="N1892" s="82"/>
      <c r="O1892" s="82"/>
      <c r="P1892" s="82"/>
      <c r="Q1892" s="82"/>
      <c r="R1892" s="82"/>
      <c r="S1892" s="82"/>
      <c r="T1892" s="82"/>
      <c r="U1892" s="82"/>
      <c r="V1892" s="82"/>
      <c r="W1892" s="82"/>
      <c r="X1892" s="82"/>
      <c r="Y1892" s="82"/>
      <c r="Z1892" s="82"/>
    </row>
    <row r="1893" spans="1:26">
      <c r="A1893" s="81"/>
      <c r="F1893" s="81"/>
      <c r="G1893" s="82"/>
      <c r="H1893" s="82"/>
      <c r="I1893" s="82"/>
      <c r="J1893" s="82"/>
      <c r="K1893" s="82"/>
      <c r="L1893" s="82"/>
      <c r="M1893" s="82"/>
      <c r="N1893" s="82"/>
      <c r="O1893" s="82"/>
      <c r="P1893" s="82"/>
      <c r="Q1893" s="82"/>
      <c r="R1893" s="82"/>
      <c r="S1893" s="82"/>
      <c r="T1893" s="82"/>
      <c r="U1893" s="82"/>
      <c r="V1893" s="82"/>
      <c r="W1893" s="82"/>
      <c r="X1893" s="82"/>
      <c r="Y1893" s="82"/>
      <c r="Z1893" s="82"/>
    </row>
    <row r="1894" spans="1:26">
      <c r="A1894" s="81"/>
      <c r="F1894" s="81"/>
      <c r="G1894" s="82"/>
      <c r="H1894" s="82"/>
      <c r="I1894" s="82"/>
      <c r="J1894" s="82"/>
      <c r="K1894" s="82"/>
      <c r="L1894" s="82"/>
      <c r="M1894" s="82"/>
      <c r="N1894" s="82"/>
      <c r="O1894" s="82"/>
      <c r="P1894" s="82"/>
      <c r="Q1894" s="82"/>
      <c r="R1894" s="82"/>
      <c r="S1894" s="82"/>
      <c r="T1894" s="82"/>
      <c r="U1894" s="82"/>
      <c r="V1894" s="82"/>
      <c r="W1894" s="82"/>
      <c r="X1894" s="82"/>
      <c r="Y1894" s="82"/>
      <c r="Z1894" s="82"/>
    </row>
    <row r="1895" spans="1:26">
      <c r="A1895" s="81"/>
      <c r="F1895" s="81"/>
      <c r="G1895" s="82"/>
      <c r="H1895" s="82"/>
      <c r="I1895" s="82"/>
      <c r="J1895" s="82"/>
      <c r="K1895" s="82"/>
      <c r="L1895" s="82"/>
      <c r="M1895" s="82"/>
      <c r="N1895" s="82"/>
      <c r="O1895" s="82"/>
      <c r="P1895" s="82"/>
      <c r="Q1895" s="82"/>
      <c r="R1895" s="82"/>
      <c r="S1895" s="82"/>
      <c r="T1895" s="82"/>
      <c r="U1895" s="82"/>
      <c r="V1895" s="82"/>
      <c r="W1895" s="82"/>
      <c r="X1895" s="82"/>
      <c r="Y1895" s="82"/>
      <c r="Z1895" s="82"/>
    </row>
    <row r="1896" spans="1:26">
      <c r="A1896" s="81"/>
      <c r="F1896" s="81"/>
      <c r="G1896" s="82"/>
      <c r="H1896" s="82"/>
      <c r="I1896" s="82"/>
      <c r="J1896" s="82"/>
      <c r="K1896" s="82"/>
      <c r="L1896" s="82"/>
      <c r="M1896" s="82"/>
      <c r="N1896" s="82"/>
      <c r="O1896" s="82"/>
      <c r="P1896" s="82"/>
      <c r="Q1896" s="82"/>
      <c r="R1896" s="82"/>
      <c r="S1896" s="82"/>
      <c r="T1896" s="82"/>
      <c r="U1896" s="82"/>
      <c r="V1896" s="82"/>
      <c r="W1896" s="82"/>
      <c r="X1896" s="82"/>
      <c r="Y1896" s="82"/>
      <c r="Z1896" s="82"/>
    </row>
    <row r="1897" spans="1:26">
      <c r="A1897" s="81"/>
      <c r="F1897" s="81"/>
      <c r="G1897" s="82"/>
      <c r="H1897" s="82"/>
      <c r="I1897" s="82"/>
      <c r="J1897" s="82"/>
      <c r="K1897" s="82"/>
      <c r="L1897" s="82"/>
      <c r="M1897" s="82"/>
      <c r="N1897" s="82"/>
      <c r="O1897" s="82"/>
      <c r="P1897" s="82"/>
      <c r="Q1897" s="82"/>
      <c r="R1897" s="82"/>
      <c r="S1897" s="82"/>
      <c r="T1897" s="82"/>
      <c r="U1897" s="82"/>
      <c r="V1897" s="82"/>
      <c r="W1897" s="82"/>
      <c r="X1897" s="82"/>
      <c r="Y1897" s="82"/>
      <c r="Z1897" s="82"/>
    </row>
    <row r="1898" spans="1:26">
      <c r="A1898" s="81"/>
      <c r="F1898" s="81"/>
      <c r="G1898" s="82"/>
      <c r="H1898" s="82"/>
      <c r="I1898" s="82"/>
      <c r="J1898" s="82"/>
      <c r="K1898" s="82"/>
      <c r="L1898" s="82"/>
      <c r="M1898" s="82"/>
      <c r="N1898" s="82"/>
      <c r="O1898" s="82"/>
      <c r="P1898" s="82"/>
      <c r="Q1898" s="82"/>
      <c r="R1898" s="82"/>
      <c r="S1898" s="82"/>
      <c r="T1898" s="82"/>
      <c r="U1898" s="82"/>
      <c r="V1898" s="82"/>
      <c r="W1898" s="82"/>
      <c r="X1898" s="82"/>
      <c r="Y1898" s="82"/>
      <c r="Z1898" s="82"/>
    </row>
    <row r="1899" spans="1:26">
      <c r="A1899" s="81"/>
      <c r="F1899" s="81"/>
      <c r="G1899" s="82"/>
      <c r="H1899" s="82"/>
      <c r="I1899" s="82"/>
      <c r="J1899" s="82"/>
      <c r="K1899" s="82"/>
      <c r="L1899" s="82"/>
      <c r="M1899" s="82"/>
      <c r="N1899" s="82"/>
      <c r="O1899" s="82"/>
      <c r="P1899" s="82"/>
      <c r="Q1899" s="82"/>
      <c r="R1899" s="82"/>
      <c r="S1899" s="82"/>
      <c r="T1899" s="82"/>
      <c r="U1899" s="82"/>
      <c r="V1899" s="82"/>
      <c r="W1899" s="82"/>
      <c r="X1899" s="82"/>
      <c r="Y1899" s="82"/>
      <c r="Z1899" s="82"/>
    </row>
    <row r="1900" spans="1:26">
      <c r="A1900" s="81"/>
      <c r="F1900" s="81"/>
      <c r="G1900" s="82"/>
      <c r="H1900" s="82"/>
      <c r="I1900" s="82"/>
      <c r="J1900" s="82"/>
      <c r="K1900" s="82"/>
      <c r="L1900" s="82"/>
      <c r="M1900" s="82"/>
      <c r="N1900" s="82"/>
      <c r="O1900" s="82"/>
      <c r="P1900" s="82"/>
      <c r="Q1900" s="82"/>
      <c r="R1900" s="82"/>
      <c r="S1900" s="82"/>
      <c r="T1900" s="82"/>
      <c r="U1900" s="82"/>
      <c r="V1900" s="82"/>
      <c r="W1900" s="82"/>
      <c r="X1900" s="82"/>
      <c r="Y1900" s="82"/>
      <c r="Z1900" s="82"/>
    </row>
    <row r="1901" spans="1:26">
      <c r="A1901" s="81"/>
      <c r="F1901" s="81"/>
      <c r="G1901" s="82"/>
      <c r="H1901" s="82"/>
      <c r="I1901" s="82"/>
      <c r="J1901" s="82"/>
      <c r="K1901" s="82"/>
      <c r="L1901" s="82"/>
      <c r="M1901" s="82"/>
      <c r="N1901" s="82"/>
      <c r="O1901" s="82"/>
      <c r="P1901" s="82"/>
      <c r="Q1901" s="82"/>
      <c r="R1901" s="82"/>
      <c r="S1901" s="82"/>
      <c r="T1901" s="82"/>
      <c r="U1901" s="82"/>
      <c r="V1901" s="82"/>
      <c r="W1901" s="82"/>
      <c r="X1901" s="82"/>
      <c r="Y1901" s="82"/>
      <c r="Z1901" s="82"/>
    </row>
    <row r="1902" spans="1:26">
      <c r="A1902" s="81"/>
      <c r="F1902" s="81"/>
      <c r="G1902" s="82"/>
      <c r="H1902" s="82"/>
      <c r="I1902" s="82"/>
      <c r="J1902" s="82"/>
      <c r="K1902" s="82"/>
      <c r="L1902" s="82"/>
      <c r="M1902" s="82"/>
      <c r="N1902" s="82"/>
      <c r="O1902" s="82"/>
      <c r="P1902" s="82"/>
      <c r="Q1902" s="82"/>
      <c r="R1902" s="82"/>
      <c r="S1902" s="82"/>
      <c r="T1902" s="82"/>
      <c r="U1902" s="82"/>
      <c r="V1902" s="82"/>
      <c r="W1902" s="82"/>
      <c r="X1902" s="82"/>
      <c r="Y1902" s="82"/>
      <c r="Z1902" s="82"/>
    </row>
    <row r="1903" spans="1:26">
      <c r="A1903" s="81"/>
      <c r="F1903" s="81"/>
      <c r="G1903" s="82"/>
      <c r="H1903" s="82"/>
      <c r="I1903" s="82"/>
      <c r="J1903" s="82"/>
      <c r="K1903" s="82"/>
      <c r="L1903" s="82"/>
      <c r="M1903" s="82"/>
      <c r="N1903" s="82"/>
      <c r="O1903" s="82"/>
      <c r="P1903" s="82"/>
      <c r="Q1903" s="82"/>
      <c r="R1903" s="82"/>
      <c r="S1903" s="82"/>
      <c r="T1903" s="82"/>
      <c r="U1903" s="82"/>
      <c r="V1903" s="82"/>
      <c r="W1903" s="82"/>
      <c r="X1903" s="82"/>
      <c r="Y1903" s="82"/>
      <c r="Z1903" s="82"/>
    </row>
    <row r="1904" spans="1:26">
      <c r="A1904" s="81"/>
      <c r="F1904" s="81"/>
      <c r="G1904" s="82"/>
      <c r="H1904" s="82"/>
      <c r="I1904" s="82"/>
      <c r="J1904" s="82"/>
      <c r="K1904" s="82"/>
      <c r="L1904" s="82"/>
      <c r="M1904" s="82"/>
      <c r="N1904" s="82"/>
      <c r="O1904" s="82"/>
      <c r="P1904" s="82"/>
      <c r="Q1904" s="82"/>
      <c r="R1904" s="82"/>
      <c r="S1904" s="82"/>
      <c r="T1904" s="82"/>
      <c r="U1904" s="82"/>
      <c r="V1904" s="82"/>
      <c r="W1904" s="82"/>
      <c r="X1904" s="82"/>
      <c r="Y1904" s="82"/>
      <c r="Z1904" s="82"/>
    </row>
    <row r="1905" spans="1:26">
      <c r="A1905" s="81"/>
      <c r="F1905" s="81"/>
      <c r="G1905" s="82"/>
      <c r="H1905" s="82"/>
      <c r="I1905" s="82"/>
      <c r="J1905" s="82"/>
      <c r="K1905" s="82"/>
      <c r="L1905" s="82"/>
      <c r="M1905" s="82"/>
      <c r="N1905" s="82"/>
      <c r="O1905" s="82"/>
      <c r="P1905" s="82"/>
      <c r="Q1905" s="82"/>
      <c r="R1905" s="82"/>
      <c r="S1905" s="82"/>
      <c r="T1905" s="82"/>
      <c r="U1905" s="82"/>
      <c r="V1905" s="82"/>
      <c r="W1905" s="82"/>
      <c r="X1905" s="82"/>
      <c r="Y1905" s="82"/>
      <c r="Z1905" s="82"/>
    </row>
    <row r="1906" spans="1:26">
      <c r="A1906" s="81"/>
      <c r="F1906" s="81"/>
      <c r="G1906" s="82"/>
      <c r="H1906" s="82"/>
      <c r="I1906" s="82"/>
      <c r="J1906" s="82"/>
      <c r="K1906" s="82"/>
      <c r="L1906" s="82"/>
      <c r="M1906" s="82"/>
      <c r="N1906" s="82"/>
      <c r="O1906" s="82"/>
      <c r="P1906" s="82"/>
      <c r="Q1906" s="82"/>
      <c r="R1906" s="82"/>
      <c r="S1906" s="82"/>
      <c r="T1906" s="82"/>
      <c r="U1906" s="82"/>
      <c r="V1906" s="82"/>
      <c r="W1906" s="82"/>
      <c r="X1906" s="82"/>
      <c r="Y1906" s="82"/>
      <c r="Z1906" s="82"/>
    </row>
    <row r="1907" spans="1:26">
      <c r="A1907" s="81"/>
      <c r="F1907" s="81"/>
      <c r="G1907" s="82"/>
      <c r="H1907" s="82"/>
      <c r="I1907" s="82"/>
      <c r="J1907" s="82"/>
      <c r="K1907" s="82"/>
      <c r="L1907" s="82"/>
      <c r="M1907" s="82"/>
      <c r="N1907" s="82"/>
      <c r="O1907" s="82"/>
      <c r="P1907" s="82"/>
      <c r="Q1907" s="82"/>
      <c r="R1907" s="82"/>
      <c r="S1907" s="82"/>
      <c r="T1907" s="82"/>
      <c r="U1907" s="82"/>
      <c r="V1907" s="82"/>
      <c r="W1907" s="82"/>
      <c r="X1907" s="82"/>
      <c r="Y1907" s="82"/>
      <c r="Z1907" s="82"/>
    </row>
    <row r="1908" spans="1:26">
      <c r="A1908" s="81"/>
      <c r="F1908" s="81"/>
      <c r="G1908" s="82"/>
      <c r="H1908" s="82"/>
      <c r="I1908" s="82"/>
      <c r="J1908" s="82"/>
      <c r="K1908" s="82"/>
      <c r="L1908" s="82"/>
      <c r="M1908" s="82"/>
      <c r="N1908" s="82"/>
      <c r="O1908" s="82"/>
      <c r="P1908" s="82"/>
      <c r="Q1908" s="82"/>
      <c r="R1908" s="82"/>
      <c r="S1908" s="82"/>
      <c r="T1908" s="82"/>
      <c r="U1908" s="82"/>
      <c r="V1908" s="82"/>
      <c r="W1908" s="82"/>
      <c r="X1908" s="82"/>
      <c r="Y1908" s="82"/>
      <c r="Z1908" s="82"/>
    </row>
    <row r="1909" spans="1:26">
      <c r="A1909" s="81"/>
      <c r="F1909" s="81"/>
      <c r="G1909" s="82"/>
      <c r="H1909" s="82"/>
      <c r="I1909" s="82"/>
      <c r="J1909" s="82"/>
      <c r="K1909" s="82"/>
      <c r="L1909" s="82"/>
      <c r="M1909" s="82"/>
      <c r="N1909" s="82"/>
      <c r="O1909" s="82"/>
      <c r="P1909" s="82"/>
      <c r="Q1909" s="82"/>
      <c r="R1909" s="82"/>
      <c r="S1909" s="82"/>
      <c r="T1909" s="82"/>
      <c r="U1909" s="82"/>
      <c r="V1909" s="82"/>
      <c r="W1909" s="82"/>
      <c r="X1909" s="82"/>
      <c r="Y1909" s="82"/>
      <c r="Z1909" s="82"/>
    </row>
    <row r="1910" spans="1:26">
      <c r="A1910" s="81"/>
      <c r="F1910" s="81"/>
      <c r="G1910" s="82"/>
      <c r="H1910" s="82"/>
      <c r="I1910" s="82"/>
      <c r="J1910" s="82"/>
      <c r="K1910" s="82"/>
      <c r="L1910" s="82"/>
      <c r="M1910" s="82"/>
      <c r="N1910" s="82"/>
      <c r="O1910" s="82"/>
      <c r="P1910" s="82"/>
      <c r="Q1910" s="82"/>
      <c r="R1910" s="82"/>
      <c r="S1910" s="82"/>
      <c r="T1910" s="82"/>
      <c r="U1910" s="82"/>
      <c r="V1910" s="82"/>
      <c r="W1910" s="82"/>
      <c r="X1910" s="82"/>
      <c r="Y1910" s="82"/>
      <c r="Z1910" s="82"/>
    </row>
    <row r="1911" spans="1:26">
      <c r="A1911" s="81"/>
      <c r="F1911" s="81"/>
      <c r="G1911" s="82"/>
      <c r="H1911" s="82"/>
      <c r="I1911" s="82"/>
      <c r="J1911" s="82"/>
      <c r="K1911" s="82"/>
      <c r="L1911" s="82"/>
      <c r="M1911" s="82"/>
      <c r="N1911" s="82"/>
      <c r="O1911" s="82"/>
      <c r="P1911" s="82"/>
      <c r="Q1911" s="82"/>
      <c r="R1911" s="82"/>
      <c r="S1911" s="82"/>
      <c r="T1911" s="82"/>
      <c r="U1911" s="82"/>
      <c r="V1911" s="82"/>
      <c r="W1911" s="82"/>
      <c r="X1911" s="82"/>
      <c r="Y1911" s="82"/>
      <c r="Z1911" s="82"/>
    </row>
    <row r="1912" spans="1:26">
      <c r="A1912" s="81"/>
      <c r="F1912" s="81"/>
      <c r="G1912" s="82"/>
      <c r="H1912" s="82"/>
      <c r="I1912" s="82"/>
      <c r="J1912" s="82"/>
      <c r="K1912" s="82"/>
      <c r="L1912" s="82"/>
      <c r="M1912" s="82"/>
      <c r="N1912" s="82"/>
      <c r="O1912" s="82"/>
      <c r="P1912" s="82"/>
      <c r="Q1912" s="82"/>
      <c r="R1912" s="82"/>
      <c r="S1912" s="82"/>
      <c r="T1912" s="82"/>
      <c r="U1912" s="82"/>
      <c r="V1912" s="82"/>
      <c r="W1912" s="82"/>
      <c r="X1912" s="82"/>
      <c r="Y1912" s="82"/>
      <c r="Z1912" s="82"/>
    </row>
    <row r="1913" spans="1:26">
      <c r="A1913" s="81"/>
      <c r="F1913" s="81"/>
      <c r="G1913" s="82"/>
      <c r="H1913" s="82"/>
      <c r="I1913" s="82"/>
      <c r="J1913" s="82"/>
      <c r="K1913" s="82"/>
      <c r="L1913" s="82"/>
      <c r="M1913" s="82"/>
      <c r="N1913" s="82"/>
      <c r="O1913" s="82"/>
      <c r="P1913" s="82"/>
      <c r="Q1913" s="82"/>
      <c r="R1913" s="82"/>
      <c r="S1913" s="82"/>
      <c r="T1913" s="82"/>
      <c r="U1913" s="82"/>
      <c r="V1913" s="82"/>
      <c r="W1913" s="82"/>
      <c r="X1913" s="82"/>
      <c r="Y1913" s="82"/>
      <c r="Z1913" s="82"/>
    </row>
    <row r="1914" spans="1:26">
      <c r="A1914" s="81"/>
      <c r="F1914" s="81"/>
      <c r="G1914" s="82"/>
      <c r="H1914" s="82"/>
      <c r="I1914" s="82"/>
      <c r="J1914" s="82"/>
      <c r="K1914" s="82"/>
      <c r="L1914" s="82"/>
      <c r="M1914" s="82"/>
      <c r="N1914" s="82"/>
      <c r="O1914" s="82"/>
      <c r="P1914" s="82"/>
      <c r="Q1914" s="82"/>
      <c r="R1914" s="82"/>
      <c r="S1914" s="82"/>
      <c r="T1914" s="82"/>
      <c r="U1914" s="82"/>
      <c r="V1914" s="82"/>
      <c r="W1914" s="82"/>
      <c r="X1914" s="82"/>
      <c r="Y1914" s="82"/>
      <c r="Z1914" s="82"/>
    </row>
    <row r="1915" spans="1:26">
      <c r="A1915" s="81"/>
      <c r="F1915" s="81"/>
      <c r="G1915" s="82"/>
      <c r="H1915" s="82"/>
      <c r="I1915" s="82"/>
      <c r="J1915" s="82"/>
      <c r="K1915" s="82"/>
      <c r="L1915" s="82"/>
      <c r="M1915" s="82"/>
      <c r="N1915" s="82"/>
      <c r="O1915" s="82"/>
      <c r="P1915" s="82"/>
      <c r="Q1915" s="82"/>
      <c r="R1915" s="82"/>
      <c r="S1915" s="82"/>
      <c r="T1915" s="82"/>
      <c r="U1915" s="82"/>
      <c r="V1915" s="82"/>
      <c r="W1915" s="82"/>
      <c r="X1915" s="82"/>
      <c r="Y1915" s="82"/>
      <c r="Z1915" s="82"/>
    </row>
    <row r="1916" spans="1:26">
      <c r="A1916" s="81"/>
      <c r="F1916" s="81"/>
      <c r="G1916" s="82"/>
      <c r="H1916" s="82"/>
      <c r="I1916" s="82"/>
      <c r="J1916" s="82"/>
      <c r="K1916" s="82"/>
      <c r="L1916" s="82"/>
      <c r="M1916" s="82"/>
      <c r="N1916" s="82"/>
      <c r="O1916" s="82"/>
      <c r="P1916" s="82"/>
      <c r="Q1916" s="82"/>
      <c r="R1916" s="82"/>
      <c r="S1916" s="82"/>
      <c r="T1916" s="82"/>
      <c r="U1916" s="82"/>
      <c r="V1916" s="82"/>
      <c r="W1916" s="82"/>
      <c r="X1916" s="82"/>
      <c r="Y1916" s="82"/>
      <c r="Z1916" s="82"/>
    </row>
    <row r="1917" spans="1:26">
      <c r="A1917" s="81"/>
      <c r="F1917" s="81"/>
      <c r="G1917" s="82"/>
      <c r="H1917" s="82"/>
      <c r="I1917" s="82"/>
      <c r="J1917" s="82"/>
      <c r="K1917" s="82"/>
      <c r="L1917" s="82"/>
      <c r="M1917" s="82"/>
      <c r="N1917" s="82"/>
      <c r="O1917" s="82"/>
      <c r="P1917" s="82"/>
      <c r="Q1917" s="82"/>
      <c r="R1917" s="82"/>
      <c r="S1917" s="82"/>
      <c r="T1917" s="82"/>
      <c r="U1917" s="82"/>
      <c r="V1917" s="82"/>
      <c r="W1917" s="82"/>
      <c r="X1917" s="82"/>
      <c r="Y1917" s="82"/>
      <c r="Z1917" s="82"/>
    </row>
    <row r="1918" spans="1:26">
      <c r="A1918" s="81"/>
      <c r="F1918" s="81"/>
      <c r="G1918" s="82"/>
      <c r="H1918" s="82"/>
      <c r="I1918" s="82"/>
      <c r="J1918" s="82"/>
      <c r="K1918" s="82"/>
      <c r="L1918" s="82"/>
      <c r="M1918" s="82"/>
      <c r="N1918" s="82"/>
      <c r="O1918" s="82"/>
      <c r="P1918" s="82"/>
      <c r="Q1918" s="82"/>
      <c r="R1918" s="82"/>
      <c r="S1918" s="82"/>
      <c r="T1918" s="82"/>
      <c r="U1918" s="82"/>
      <c r="V1918" s="82"/>
      <c r="W1918" s="82"/>
      <c r="X1918" s="82"/>
      <c r="Y1918" s="82"/>
      <c r="Z1918" s="82"/>
    </row>
    <row r="1919" spans="1:26">
      <c r="A1919" s="81"/>
      <c r="F1919" s="81"/>
      <c r="G1919" s="82"/>
      <c r="H1919" s="82"/>
      <c r="I1919" s="82"/>
      <c r="J1919" s="82"/>
      <c r="K1919" s="82"/>
      <c r="L1919" s="82"/>
      <c r="M1919" s="82"/>
      <c r="N1919" s="82"/>
      <c r="O1919" s="82"/>
      <c r="P1919" s="82"/>
      <c r="Q1919" s="82"/>
      <c r="R1919" s="82"/>
      <c r="S1919" s="82"/>
      <c r="T1919" s="82"/>
      <c r="U1919" s="82"/>
      <c r="V1919" s="82"/>
      <c r="W1919" s="82"/>
      <c r="X1919" s="82"/>
      <c r="Y1919" s="82"/>
      <c r="Z1919" s="82"/>
    </row>
    <row r="1920" spans="1:26">
      <c r="A1920" s="81"/>
      <c r="F1920" s="81"/>
      <c r="G1920" s="82"/>
      <c r="H1920" s="82"/>
      <c r="I1920" s="82"/>
      <c r="J1920" s="82"/>
      <c r="K1920" s="82"/>
      <c r="L1920" s="82"/>
      <c r="M1920" s="82"/>
      <c r="N1920" s="82"/>
      <c r="O1920" s="82"/>
      <c r="P1920" s="82"/>
      <c r="Q1920" s="82"/>
      <c r="R1920" s="82"/>
      <c r="S1920" s="82"/>
      <c r="T1920" s="82"/>
      <c r="U1920" s="82"/>
      <c r="V1920" s="82"/>
      <c r="W1920" s="82"/>
      <c r="X1920" s="82"/>
      <c r="Y1920" s="82"/>
      <c r="Z1920" s="82"/>
    </row>
    <row r="1921" spans="1:26">
      <c r="A1921" s="81"/>
      <c r="F1921" s="81"/>
      <c r="G1921" s="82"/>
      <c r="H1921" s="82"/>
      <c r="I1921" s="82"/>
      <c r="J1921" s="82"/>
      <c r="K1921" s="82"/>
      <c r="L1921" s="82"/>
      <c r="M1921" s="82"/>
      <c r="N1921" s="82"/>
      <c r="O1921" s="82"/>
      <c r="P1921" s="82"/>
      <c r="Q1921" s="82"/>
      <c r="R1921" s="82"/>
      <c r="S1921" s="82"/>
      <c r="T1921" s="82"/>
      <c r="U1921" s="82"/>
      <c r="V1921" s="82"/>
      <c r="W1921" s="82"/>
      <c r="X1921" s="82"/>
      <c r="Y1921" s="82"/>
      <c r="Z1921" s="82"/>
    </row>
    <row r="1922" spans="1:26">
      <c r="A1922" s="81"/>
      <c r="F1922" s="81"/>
      <c r="G1922" s="82"/>
      <c r="H1922" s="82"/>
      <c r="I1922" s="82"/>
      <c r="J1922" s="82"/>
      <c r="K1922" s="82"/>
      <c r="L1922" s="82"/>
      <c r="M1922" s="82"/>
      <c r="N1922" s="82"/>
      <c r="O1922" s="82"/>
      <c r="P1922" s="82"/>
      <c r="Q1922" s="82"/>
      <c r="R1922" s="82"/>
      <c r="S1922" s="82"/>
      <c r="T1922" s="82"/>
      <c r="U1922" s="82"/>
      <c r="V1922" s="82"/>
      <c r="W1922" s="82"/>
      <c r="X1922" s="82"/>
      <c r="Y1922" s="82"/>
      <c r="Z1922" s="82"/>
    </row>
    <row r="1923" spans="1:26">
      <c r="A1923" s="81"/>
      <c r="F1923" s="81"/>
      <c r="G1923" s="82"/>
      <c r="H1923" s="82"/>
      <c r="I1923" s="82"/>
      <c r="J1923" s="82"/>
      <c r="K1923" s="82"/>
      <c r="L1923" s="82"/>
      <c r="M1923" s="82"/>
      <c r="N1923" s="82"/>
      <c r="O1923" s="82"/>
      <c r="P1923" s="82"/>
      <c r="Q1923" s="82"/>
      <c r="R1923" s="82"/>
      <c r="S1923" s="82"/>
      <c r="T1923" s="82"/>
      <c r="U1923" s="82"/>
      <c r="V1923" s="82"/>
      <c r="W1923" s="82"/>
      <c r="X1923" s="82"/>
      <c r="Y1923" s="82"/>
      <c r="Z1923" s="82"/>
    </row>
    <row r="1924" spans="1:26">
      <c r="A1924" s="81"/>
      <c r="F1924" s="81"/>
      <c r="G1924" s="82"/>
      <c r="H1924" s="82"/>
      <c r="I1924" s="82"/>
      <c r="J1924" s="82"/>
      <c r="K1924" s="82"/>
      <c r="L1924" s="82"/>
      <c r="M1924" s="82"/>
      <c r="N1924" s="82"/>
      <c r="O1924" s="82"/>
      <c r="P1924" s="82"/>
      <c r="Q1924" s="82"/>
      <c r="R1924" s="82"/>
      <c r="S1924" s="82"/>
      <c r="T1924" s="82"/>
      <c r="U1924" s="82"/>
      <c r="V1924" s="82"/>
      <c r="W1924" s="82"/>
      <c r="X1924" s="82"/>
      <c r="Y1924" s="82"/>
      <c r="Z1924" s="82"/>
    </row>
    <row r="1925" spans="1:26">
      <c r="A1925" s="81"/>
      <c r="F1925" s="81"/>
      <c r="G1925" s="82"/>
      <c r="H1925" s="82"/>
      <c r="I1925" s="82"/>
      <c r="J1925" s="82"/>
      <c r="K1925" s="82"/>
      <c r="L1925" s="82"/>
      <c r="M1925" s="82"/>
      <c r="N1925" s="82"/>
      <c r="O1925" s="82"/>
      <c r="P1925" s="82"/>
      <c r="Q1925" s="82"/>
      <c r="R1925" s="82"/>
      <c r="S1925" s="82"/>
      <c r="T1925" s="82"/>
      <c r="U1925" s="82"/>
      <c r="V1925" s="82"/>
      <c r="W1925" s="82"/>
      <c r="X1925" s="82"/>
      <c r="Y1925" s="82"/>
      <c r="Z1925" s="82"/>
    </row>
    <row r="1926" spans="1:26">
      <c r="A1926" s="81"/>
      <c r="F1926" s="81"/>
      <c r="G1926" s="82"/>
      <c r="H1926" s="82"/>
      <c r="I1926" s="82"/>
      <c r="J1926" s="82"/>
      <c r="K1926" s="82"/>
      <c r="L1926" s="82"/>
      <c r="M1926" s="82"/>
      <c r="N1926" s="82"/>
      <c r="O1926" s="82"/>
      <c r="P1926" s="82"/>
      <c r="Q1926" s="82"/>
      <c r="R1926" s="82"/>
      <c r="S1926" s="82"/>
      <c r="T1926" s="82"/>
      <c r="U1926" s="82"/>
      <c r="V1926" s="82"/>
      <c r="W1926" s="82"/>
      <c r="X1926" s="82"/>
      <c r="Y1926" s="82"/>
      <c r="Z1926" s="82"/>
    </row>
    <row r="1927" spans="1:26">
      <c r="A1927" s="81"/>
      <c r="F1927" s="81"/>
      <c r="G1927" s="82"/>
      <c r="H1927" s="82"/>
      <c r="I1927" s="82"/>
      <c r="J1927" s="82"/>
      <c r="K1927" s="82"/>
      <c r="L1927" s="82"/>
      <c r="M1927" s="82"/>
      <c r="N1927" s="82"/>
      <c r="O1927" s="82"/>
      <c r="P1927" s="82"/>
      <c r="Q1927" s="82"/>
      <c r="R1927" s="82"/>
      <c r="S1927" s="82"/>
      <c r="T1927" s="82"/>
      <c r="U1927" s="82"/>
      <c r="V1927" s="82"/>
      <c r="W1927" s="82"/>
      <c r="X1927" s="82"/>
      <c r="Y1927" s="82"/>
      <c r="Z1927" s="82"/>
    </row>
    <row r="1928" spans="1:26">
      <c r="A1928" s="81"/>
      <c r="F1928" s="81"/>
      <c r="G1928" s="82"/>
      <c r="H1928" s="82"/>
      <c r="I1928" s="82"/>
      <c r="J1928" s="82"/>
      <c r="K1928" s="82"/>
      <c r="L1928" s="82"/>
      <c r="M1928" s="82"/>
      <c r="N1928" s="82"/>
      <c r="O1928" s="82"/>
      <c r="P1928" s="82"/>
      <c r="Q1928" s="82"/>
      <c r="R1928" s="82"/>
      <c r="S1928" s="82"/>
      <c r="T1928" s="82"/>
      <c r="U1928" s="82"/>
      <c r="V1928" s="82"/>
      <c r="W1928" s="82"/>
      <c r="X1928" s="82"/>
      <c r="Y1928" s="82"/>
      <c r="Z1928" s="82"/>
    </row>
    <row r="1929" spans="1:26">
      <c r="A1929" s="81"/>
      <c r="F1929" s="81"/>
      <c r="G1929" s="82"/>
      <c r="H1929" s="82"/>
      <c r="I1929" s="82"/>
      <c r="J1929" s="82"/>
      <c r="K1929" s="82"/>
      <c r="L1929" s="82"/>
      <c r="M1929" s="82"/>
      <c r="N1929" s="82"/>
      <c r="O1929" s="82"/>
      <c r="P1929" s="82"/>
      <c r="Q1929" s="82"/>
      <c r="R1929" s="82"/>
      <c r="S1929" s="82"/>
      <c r="T1929" s="82"/>
      <c r="U1929" s="82"/>
      <c r="V1929" s="82"/>
      <c r="W1929" s="82"/>
      <c r="X1929" s="82"/>
      <c r="Y1929" s="82"/>
      <c r="Z1929" s="82"/>
    </row>
    <row r="1930" spans="1:26">
      <c r="A1930" s="81"/>
      <c r="F1930" s="81"/>
      <c r="G1930" s="82"/>
      <c r="H1930" s="82"/>
      <c r="I1930" s="82"/>
      <c r="J1930" s="82"/>
      <c r="K1930" s="82"/>
      <c r="L1930" s="82"/>
      <c r="M1930" s="82"/>
      <c r="N1930" s="82"/>
      <c r="O1930" s="82"/>
      <c r="P1930" s="82"/>
      <c r="Q1930" s="82"/>
      <c r="R1930" s="82"/>
      <c r="S1930" s="82"/>
      <c r="T1930" s="82"/>
      <c r="U1930" s="82"/>
      <c r="V1930" s="82"/>
      <c r="W1930" s="82"/>
      <c r="X1930" s="82"/>
      <c r="Y1930" s="82"/>
      <c r="Z1930" s="82"/>
    </row>
    <row r="1931" spans="1:26">
      <c r="A1931" s="81"/>
      <c r="F1931" s="81"/>
      <c r="G1931" s="82"/>
      <c r="H1931" s="82"/>
      <c r="I1931" s="82"/>
      <c r="J1931" s="82"/>
      <c r="K1931" s="82"/>
      <c r="L1931" s="82"/>
      <c r="M1931" s="82"/>
      <c r="N1931" s="82"/>
      <c r="O1931" s="82"/>
      <c r="P1931" s="82"/>
      <c r="Q1931" s="82"/>
      <c r="R1931" s="82"/>
      <c r="S1931" s="82"/>
      <c r="T1931" s="82"/>
      <c r="U1931" s="82"/>
      <c r="V1931" s="82"/>
      <c r="W1931" s="82"/>
      <c r="X1931" s="82"/>
      <c r="Y1931" s="82"/>
      <c r="Z1931" s="82"/>
    </row>
    <row r="1932" spans="1:26">
      <c r="A1932" s="81"/>
      <c r="F1932" s="81"/>
      <c r="G1932" s="82"/>
      <c r="H1932" s="82"/>
      <c r="I1932" s="82"/>
      <c r="J1932" s="82"/>
      <c r="K1932" s="82"/>
      <c r="L1932" s="82"/>
      <c r="M1932" s="82"/>
      <c r="N1932" s="82"/>
      <c r="O1932" s="82"/>
      <c r="P1932" s="82"/>
      <c r="Q1932" s="82"/>
      <c r="R1932" s="82"/>
      <c r="S1932" s="82"/>
      <c r="T1932" s="82"/>
      <c r="U1932" s="82"/>
      <c r="V1932" s="82"/>
      <c r="W1932" s="82"/>
      <c r="X1932" s="82"/>
      <c r="Y1932" s="82"/>
      <c r="Z1932" s="82"/>
    </row>
    <row r="1933" spans="1:26">
      <c r="A1933" s="81"/>
      <c r="F1933" s="81"/>
      <c r="G1933" s="82"/>
      <c r="H1933" s="82"/>
      <c r="I1933" s="82"/>
      <c r="J1933" s="82"/>
      <c r="K1933" s="82"/>
      <c r="L1933" s="82"/>
      <c r="M1933" s="82"/>
      <c r="N1933" s="82"/>
      <c r="O1933" s="82"/>
      <c r="P1933" s="82"/>
      <c r="Q1933" s="82"/>
      <c r="R1933" s="82"/>
      <c r="S1933" s="82"/>
      <c r="T1933" s="82"/>
      <c r="U1933" s="82"/>
      <c r="V1933" s="82"/>
      <c r="W1933" s="82"/>
      <c r="X1933" s="82"/>
      <c r="Y1933" s="82"/>
      <c r="Z1933" s="82"/>
    </row>
    <row r="1934" spans="1:26">
      <c r="A1934" s="81"/>
      <c r="F1934" s="81"/>
      <c r="G1934" s="82"/>
      <c r="H1934" s="82"/>
      <c r="I1934" s="82"/>
      <c r="J1934" s="82"/>
      <c r="K1934" s="82"/>
      <c r="L1934" s="82"/>
      <c r="M1934" s="82"/>
      <c r="N1934" s="82"/>
      <c r="O1934" s="82"/>
      <c r="P1934" s="82"/>
      <c r="Q1934" s="82"/>
      <c r="R1934" s="82"/>
      <c r="S1934" s="82"/>
      <c r="T1934" s="82"/>
      <c r="U1934" s="82"/>
      <c r="V1934" s="82"/>
      <c r="W1934" s="82"/>
      <c r="X1934" s="82"/>
      <c r="Y1934" s="82"/>
      <c r="Z1934" s="82"/>
    </row>
    <row r="1935" spans="1:26">
      <c r="A1935" s="81"/>
      <c r="F1935" s="81"/>
      <c r="G1935" s="82"/>
      <c r="H1935" s="82"/>
      <c r="I1935" s="82"/>
      <c r="J1935" s="82"/>
      <c r="K1935" s="82"/>
      <c r="L1935" s="82"/>
      <c r="M1935" s="82"/>
      <c r="N1935" s="82"/>
      <c r="O1935" s="82"/>
      <c r="P1935" s="82"/>
      <c r="Q1935" s="82"/>
      <c r="R1935" s="82"/>
      <c r="S1935" s="82"/>
      <c r="T1935" s="82"/>
      <c r="U1935" s="82"/>
      <c r="V1935" s="82"/>
      <c r="W1935" s="82"/>
      <c r="X1935" s="82"/>
      <c r="Y1935" s="82"/>
      <c r="Z1935" s="82"/>
    </row>
    <row r="1936" spans="1:26">
      <c r="A1936" s="81"/>
      <c r="F1936" s="81"/>
      <c r="G1936" s="82"/>
      <c r="H1936" s="82"/>
      <c r="I1936" s="82"/>
      <c r="J1936" s="82"/>
      <c r="K1936" s="82"/>
      <c r="L1936" s="82"/>
      <c r="M1936" s="82"/>
      <c r="N1936" s="82"/>
      <c r="O1936" s="82"/>
      <c r="P1936" s="82"/>
      <c r="Q1936" s="82"/>
      <c r="R1936" s="82"/>
      <c r="S1936" s="82"/>
      <c r="T1936" s="82"/>
      <c r="U1936" s="82"/>
      <c r="V1936" s="82"/>
      <c r="W1936" s="82"/>
      <c r="X1936" s="82"/>
      <c r="Y1936" s="82"/>
      <c r="Z1936" s="82"/>
    </row>
    <row r="1937" spans="1:26">
      <c r="A1937" s="81"/>
      <c r="F1937" s="81"/>
      <c r="G1937" s="82"/>
      <c r="H1937" s="82"/>
      <c r="I1937" s="82"/>
      <c r="J1937" s="82"/>
      <c r="K1937" s="82"/>
      <c r="L1937" s="82"/>
      <c r="M1937" s="82"/>
      <c r="N1937" s="82"/>
      <c r="O1937" s="82"/>
      <c r="P1937" s="82"/>
      <c r="Q1937" s="82"/>
      <c r="R1937" s="82"/>
      <c r="S1937" s="82"/>
      <c r="T1937" s="82"/>
      <c r="U1937" s="82"/>
      <c r="V1937" s="82"/>
      <c r="W1937" s="82"/>
      <c r="X1937" s="82"/>
      <c r="Y1937" s="82"/>
      <c r="Z1937" s="82"/>
    </row>
    <row r="1938" spans="1:26">
      <c r="A1938" s="81"/>
      <c r="F1938" s="81"/>
      <c r="G1938" s="82"/>
      <c r="H1938" s="82"/>
      <c r="I1938" s="82"/>
      <c r="J1938" s="82"/>
      <c r="K1938" s="82"/>
      <c r="L1938" s="82"/>
      <c r="M1938" s="82"/>
      <c r="N1938" s="82"/>
      <c r="O1938" s="82"/>
      <c r="P1938" s="82"/>
      <c r="Q1938" s="82"/>
      <c r="R1938" s="82"/>
      <c r="S1938" s="82"/>
      <c r="T1938" s="82"/>
      <c r="U1938" s="82"/>
      <c r="V1938" s="82"/>
      <c r="W1938" s="82"/>
      <c r="X1938" s="82"/>
      <c r="Y1938" s="82"/>
      <c r="Z1938" s="82"/>
    </row>
    <row r="1939" spans="1:26">
      <c r="A1939" s="81"/>
      <c r="F1939" s="81"/>
      <c r="G1939" s="82"/>
      <c r="H1939" s="82"/>
      <c r="I1939" s="82"/>
      <c r="J1939" s="82"/>
      <c r="K1939" s="82"/>
      <c r="L1939" s="82"/>
      <c r="M1939" s="82"/>
      <c r="N1939" s="82"/>
      <c r="O1939" s="82"/>
      <c r="P1939" s="82"/>
      <c r="Q1939" s="82"/>
      <c r="R1939" s="82"/>
      <c r="S1939" s="82"/>
      <c r="T1939" s="82"/>
      <c r="U1939" s="82"/>
      <c r="V1939" s="82"/>
      <c r="W1939" s="82"/>
      <c r="X1939" s="82"/>
      <c r="Y1939" s="82"/>
      <c r="Z1939" s="82"/>
    </row>
    <row r="1940" spans="1:26">
      <c r="A1940" s="81"/>
      <c r="F1940" s="81"/>
      <c r="G1940" s="82"/>
      <c r="H1940" s="82"/>
      <c r="I1940" s="82"/>
      <c r="J1940" s="82"/>
      <c r="K1940" s="82"/>
      <c r="L1940" s="82"/>
      <c r="M1940" s="82"/>
      <c r="N1940" s="82"/>
      <c r="O1940" s="82"/>
      <c r="P1940" s="82"/>
      <c r="Q1940" s="82"/>
      <c r="R1940" s="82"/>
      <c r="S1940" s="82"/>
      <c r="T1940" s="82"/>
      <c r="U1940" s="82"/>
      <c r="V1940" s="82"/>
      <c r="W1940" s="82"/>
      <c r="X1940" s="82"/>
      <c r="Y1940" s="82"/>
      <c r="Z1940" s="82"/>
    </row>
    <row r="1941" spans="1:26">
      <c r="A1941" s="81"/>
      <c r="F1941" s="81"/>
      <c r="G1941" s="82"/>
      <c r="H1941" s="82"/>
      <c r="I1941" s="82"/>
      <c r="J1941" s="82"/>
      <c r="K1941" s="82"/>
      <c r="L1941" s="82"/>
      <c r="M1941" s="82"/>
      <c r="N1941" s="82"/>
      <c r="O1941" s="82"/>
      <c r="P1941" s="82"/>
      <c r="Q1941" s="82"/>
      <c r="R1941" s="82"/>
      <c r="S1941" s="82"/>
      <c r="T1941" s="82"/>
      <c r="U1941" s="82"/>
      <c r="V1941" s="82"/>
      <c r="W1941" s="82"/>
      <c r="X1941" s="82"/>
      <c r="Y1941" s="82"/>
      <c r="Z1941" s="82"/>
    </row>
    <row r="1942" spans="1:26">
      <c r="A1942" s="81"/>
      <c r="F1942" s="81"/>
      <c r="G1942" s="82"/>
      <c r="H1942" s="82"/>
      <c r="I1942" s="82"/>
      <c r="J1942" s="82"/>
      <c r="K1942" s="82"/>
      <c r="L1942" s="82"/>
      <c r="M1942" s="82"/>
      <c r="N1942" s="82"/>
      <c r="O1942" s="82"/>
      <c r="P1942" s="82"/>
      <c r="Q1942" s="82"/>
      <c r="R1942" s="82"/>
      <c r="S1942" s="82"/>
      <c r="T1942" s="82"/>
      <c r="U1942" s="82"/>
      <c r="V1942" s="82"/>
      <c r="W1942" s="82"/>
      <c r="X1942" s="82"/>
      <c r="Y1942" s="82"/>
      <c r="Z1942" s="82"/>
    </row>
    <row r="1943" spans="1:26">
      <c r="A1943" s="81"/>
      <c r="F1943" s="81"/>
      <c r="G1943" s="82"/>
      <c r="H1943" s="82"/>
      <c r="I1943" s="82"/>
      <c r="J1943" s="82"/>
      <c r="K1943" s="82"/>
      <c r="L1943" s="82"/>
      <c r="M1943" s="82"/>
      <c r="N1943" s="82"/>
      <c r="O1943" s="82"/>
      <c r="P1943" s="82"/>
      <c r="Q1943" s="82"/>
      <c r="R1943" s="82"/>
      <c r="S1943" s="82"/>
      <c r="T1943" s="82"/>
      <c r="U1943" s="82"/>
      <c r="V1943" s="82"/>
      <c r="W1943" s="82"/>
      <c r="X1943" s="82"/>
      <c r="Y1943" s="82"/>
      <c r="Z1943" s="82"/>
    </row>
    <row r="1944" spans="1:26">
      <c r="A1944" s="81"/>
      <c r="F1944" s="81"/>
      <c r="G1944" s="82"/>
      <c r="H1944" s="82"/>
      <c r="I1944" s="82"/>
      <c r="J1944" s="82"/>
      <c r="K1944" s="82"/>
      <c r="L1944" s="82"/>
      <c r="M1944" s="82"/>
      <c r="N1944" s="82"/>
      <c r="O1944" s="82"/>
      <c r="P1944" s="82"/>
      <c r="Q1944" s="82"/>
      <c r="R1944" s="82"/>
      <c r="S1944" s="82"/>
      <c r="T1944" s="82"/>
      <c r="U1944" s="82"/>
      <c r="V1944" s="82"/>
      <c r="W1944" s="82"/>
      <c r="X1944" s="82"/>
      <c r="Y1944" s="82"/>
      <c r="Z1944" s="82"/>
    </row>
    <row r="1945" spans="1:26">
      <c r="A1945" s="81"/>
      <c r="F1945" s="81"/>
      <c r="G1945" s="82"/>
      <c r="H1945" s="82"/>
      <c r="I1945" s="82"/>
      <c r="J1945" s="82"/>
      <c r="K1945" s="82"/>
      <c r="L1945" s="82"/>
      <c r="M1945" s="82"/>
      <c r="N1945" s="82"/>
      <c r="O1945" s="82"/>
      <c r="P1945" s="82"/>
      <c r="Q1945" s="82"/>
      <c r="R1945" s="82"/>
      <c r="S1945" s="82"/>
      <c r="T1945" s="82"/>
      <c r="U1945" s="82"/>
      <c r="V1945" s="82"/>
      <c r="W1945" s="82"/>
      <c r="X1945" s="82"/>
      <c r="Y1945" s="82"/>
      <c r="Z1945" s="82"/>
    </row>
    <row r="1946" spans="1:26">
      <c r="A1946" s="81"/>
      <c r="F1946" s="81"/>
      <c r="G1946" s="82"/>
      <c r="H1946" s="82"/>
      <c r="I1946" s="82"/>
      <c r="J1946" s="82"/>
      <c r="K1946" s="82"/>
      <c r="L1946" s="82"/>
      <c r="M1946" s="82"/>
      <c r="N1946" s="82"/>
      <c r="O1946" s="82"/>
      <c r="P1946" s="82"/>
      <c r="Q1946" s="82"/>
      <c r="R1946" s="82"/>
      <c r="S1946" s="82"/>
      <c r="T1946" s="82"/>
      <c r="U1946" s="82"/>
      <c r="V1946" s="82"/>
      <c r="W1946" s="82"/>
      <c r="X1946" s="82"/>
      <c r="Y1946" s="82"/>
      <c r="Z1946" s="82"/>
    </row>
    <row r="1947" spans="1:26">
      <c r="A1947" s="81"/>
      <c r="F1947" s="81"/>
      <c r="G1947" s="82"/>
      <c r="H1947" s="82"/>
      <c r="I1947" s="82"/>
      <c r="J1947" s="82"/>
      <c r="K1947" s="82"/>
      <c r="L1947" s="82"/>
      <c r="M1947" s="82"/>
      <c r="N1947" s="82"/>
      <c r="O1947" s="82"/>
      <c r="P1947" s="82"/>
      <c r="Q1947" s="82"/>
      <c r="R1947" s="82"/>
      <c r="S1947" s="82"/>
      <c r="T1947" s="82"/>
      <c r="U1947" s="82"/>
      <c r="V1947" s="82"/>
      <c r="W1947" s="82"/>
      <c r="X1947" s="82"/>
      <c r="Y1947" s="82"/>
      <c r="Z1947" s="82"/>
    </row>
    <row r="1948" spans="1:26">
      <c r="A1948" s="81"/>
      <c r="F1948" s="81"/>
      <c r="G1948" s="82"/>
      <c r="H1948" s="82"/>
      <c r="I1948" s="82"/>
      <c r="J1948" s="82"/>
      <c r="K1948" s="82"/>
      <c r="L1948" s="82"/>
      <c r="M1948" s="82"/>
      <c r="N1948" s="82"/>
      <c r="O1948" s="82"/>
      <c r="P1948" s="82"/>
      <c r="Q1948" s="82"/>
      <c r="R1948" s="82"/>
      <c r="S1948" s="82"/>
      <c r="T1948" s="82"/>
      <c r="U1948" s="82"/>
      <c r="V1948" s="82"/>
      <c r="W1948" s="82"/>
      <c r="X1948" s="82"/>
      <c r="Y1948" s="82"/>
      <c r="Z1948" s="82"/>
    </row>
    <row r="1949" spans="1:26">
      <c r="A1949" s="81"/>
      <c r="F1949" s="81"/>
      <c r="G1949" s="82"/>
      <c r="H1949" s="82"/>
      <c r="I1949" s="82"/>
      <c r="J1949" s="82"/>
      <c r="K1949" s="82"/>
      <c r="L1949" s="82"/>
      <c r="M1949" s="82"/>
      <c r="N1949" s="82"/>
      <c r="O1949" s="82"/>
      <c r="P1949" s="82"/>
      <c r="Q1949" s="82"/>
      <c r="R1949" s="82"/>
      <c r="S1949" s="82"/>
      <c r="T1949" s="82"/>
      <c r="U1949" s="82"/>
      <c r="V1949" s="82"/>
      <c r="W1949" s="82"/>
      <c r="X1949" s="82"/>
      <c r="Y1949" s="82"/>
      <c r="Z1949" s="82"/>
    </row>
    <row r="1950" spans="1:26">
      <c r="A1950" s="81"/>
      <c r="F1950" s="81"/>
      <c r="G1950" s="82"/>
      <c r="H1950" s="82"/>
      <c r="I1950" s="82"/>
      <c r="J1950" s="82"/>
      <c r="K1950" s="82"/>
      <c r="L1950" s="82"/>
      <c r="M1950" s="82"/>
      <c r="N1950" s="82"/>
      <c r="O1950" s="82"/>
      <c r="P1950" s="82"/>
      <c r="Q1950" s="82"/>
      <c r="R1950" s="82"/>
      <c r="S1950" s="82"/>
      <c r="T1950" s="82"/>
      <c r="U1950" s="82"/>
      <c r="V1950" s="82"/>
      <c r="W1950" s="82"/>
      <c r="X1950" s="82"/>
      <c r="Y1950" s="82"/>
      <c r="Z1950" s="82"/>
    </row>
    <row r="1951" spans="1:26">
      <c r="A1951" s="81"/>
      <c r="F1951" s="81"/>
      <c r="G1951" s="82"/>
      <c r="H1951" s="82"/>
      <c r="I1951" s="82"/>
      <c r="J1951" s="82"/>
      <c r="K1951" s="82"/>
      <c r="L1951" s="82"/>
      <c r="M1951" s="82"/>
      <c r="N1951" s="82"/>
      <c r="O1951" s="82"/>
      <c r="P1951" s="82"/>
      <c r="Q1951" s="82"/>
      <c r="R1951" s="82"/>
      <c r="S1951" s="82"/>
      <c r="T1951" s="82"/>
      <c r="U1951" s="82"/>
      <c r="V1951" s="82"/>
      <c r="W1951" s="82"/>
      <c r="X1951" s="82"/>
      <c r="Y1951" s="82"/>
      <c r="Z1951" s="82"/>
    </row>
    <row r="1952" spans="1:26">
      <c r="A1952" s="81"/>
      <c r="F1952" s="81"/>
      <c r="G1952" s="82"/>
      <c r="H1952" s="82"/>
      <c r="I1952" s="82"/>
      <c r="J1952" s="82"/>
      <c r="K1952" s="82"/>
      <c r="L1952" s="82"/>
      <c r="M1952" s="82"/>
      <c r="N1952" s="82"/>
      <c r="O1952" s="82"/>
      <c r="P1952" s="82"/>
      <c r="Q1952" s="82"/>
      <c r="R1952" s="82"/>
      <c r="S1952" s="82"/>
      <c r="T1952" s="82"/>
      <c r="U1952" s="82"/>
      <c r="V1952" s="82"/>
      <c r="W1952" s="82"/>
      <c r="X1952" s="82"/>
      <c r="Y1952" s="82"/>
      <c r="Z1952" s="82"/>
    </row>
    <row r="1953" spans="1:26">
      <c r="A1953" s="81"/>
      <c r="F1953" s="81"/>
      <c r="G1953" s="82"/>
      <c r="H1953" s="82"/>
      <c r="I1953" s="82"/>
      <c r="J1953" s="82"/>
      <c r="K1953" s="82"/>
      <c r="L1953" s="82"/>
      <c r="M1953" s="82"/>
      <c r="N1953" s="82"/>
      <c r="O1953" s="82"/>
      <c r="P1953" s="82"/>
      <c r="Q1953" s="82"/>
      <c r="R1953" s="82"/>
      <c r="S1953" s="82"/>
      <c r="T1953" s="82"/>
      <c r="U1953" s="82"/>
      <c r="V1953" s="82"/>
      <c r="W1953" s="82"/>
      <c r="X1953" s="82"/>
      <c r="Y1953" s="82"/>
      <c r="Z1953" s="82"/>
    </row>
    <row r="1954" spans="1:26">
      <c r="A1954" s="81"/>
      <c r="F1954" s="81"/>
      <c r="G1954" s="82"/>
      <c r="H1954" s="82"/>
      <c r="I1954" s="82"/>
      <c r="J1954" s="82"/>
      <c r="K1954" s="82"/>
      <c r="L1954" s="82"/>
      <c r="M1954" s="82"/>
      <c r="N1954" s="82"/>
      <c r="O1954" s="82"/>
      <c r="P1954" s="82"/>
      <c r="Q1954" s="82"/>
      <c r="R1954" s="82"/>
      <c r="S1954" s="82"/>
      <c r="T1954" s="82"/>
      <c r="U1954" s="82"/>
      <c r="V1954" s="82"/>
      <c r="W1954" s="82"/>
      <c r="X1954" s="82"/>
      <c r="Y1954" s="82"/>
      <c r="Z1954" s="82"/>
    </row>
    <row r="1955" spans="1:26">
      <c r="A1955" s="81"/>
      <c r="F1955" s="81"/>
      <c r="G1955" s="82"/>
      <c r="H1955" s="82"/>
      <c r="I1955" s="82"/>
      <c r="J1955" s="82"/>
      <c r="K1955" s="82"/>
      <c r="L1955" s="82"/>
      <c r="M1955" s="82"/>
      <c r="N1955" s="82"/>
      <c r="O1955" s="82"/>
      <c r="P1955" s="82"/>
      <c r="Q1955" s="82"/>
      <c r="R1955" s="82"/>
      <c r="S1955" s="82"/>
      <c r="T1955" s="82"/>
      <c r="U1955" s="82"/>
      <c r="V1955" s="82"/>
      <c r="W1955" s="82"/>
      <c r="X1955" s="82"/>
      <c r="Y1955" s="82"/>
      <c r="Z1955" s="82"/>
    </row>
    <row r="1956" spans="1:26">
      <c r="A1956" s="81"/>
      <c r="F1956" s="81"/>
      <c r="G1956" s="82"/>
      <c r="H1956" s="82"/>
      <c r="I1956" s="82"/>
      <c r="J1956" s="82"/>
      <c r="K1956" s="82"/>
      <c r="L1956" s="82"/>
      <c r="M1956" s="82"/>
      <c r="N1956" s="82"/>
      <c r="O1956" s="82"/>
      <c r="P1956" s="82"/>
      <c r="Q1956" s="82"/>
      <c r="R1956" s="82"/>
      <c r="S1956" s="82"/>
      <c r="T1956" s="82"/>
      <c r="U1956" s="82"/>
      <c r="V1956" s="82"/>
      <c r="W1956" s="82"/>
      <c r="X1956" s="82"/>
      <c r="Y1956" s="82"/>
      <c r="Z1956" s="82"/>
    </row>
    <row r="1957" spans="1:26">
      <c r="A1957" s="81"/>
      <c r="F1957" s="81"/>
      <c r="G1957" s="82"/>
      <c r="H1957" s="82"/>
      <c r="I1957" s="82"/>
      <c r="J1957" s="82"/>
      <c r="K1957" s="82"/>
      <c r="L1957" s="82"/>
      <c r="M1957" s="82"/>
      <c r="N1957" s="82"/>
      <c r="O1957" s="82"/>
      <c r="P1957" s="82"/>
      <c r="Q1957" s="82"/>
      <c r="R1957" s="82"/>
      <c r="S1957" s="82"/>
      <c r="T1957" s="82"/>
      <c r="U1957" s="82"/>
      <c r="V1957" s="82"/>
      <c r="W1957" s="82"/>
      <c r="X1957" s="82"/>
      <c r="Y1957" s="82"/>
      <c r="Z1957" s="82"/>
    </row>
    <row r="1958" spans="1:26">
      <c r="A1958" s="81"/>
      <c r="F1958" s="81"/>
      <c r="G1958" s="82"/>
      <c r="H1958" s="82"/>
      <c r="I1958" s="82"/>
      <c r="J1958" s="82"/>
      <c r="K1958" s="82"/>
      <c r="L1958" s="82"/>
      <c r="M1958" s="82"/>
      <c r="N1958" s="82"/>
      <c r="O1958" s="82"/>
      <c r="P1958" s="82"/>
      <c r="Q1958" s="82"/>
      <c r="R1958" s="82"/>
      <c r="S1958" s="82"/>
      <c r="T1958" s="82"/>
      <c r="U1958" s="82"/>
      <c r="V1958" s="82"/>
      <c r="W1958" s="82"/>
      <c r="X1958" s="82"/>
      <c r="Y1958" s="82"/>
      <c r="Z1958" s="82"/>
    </row>
    <row r="1959" spans="1:26">
      <c r="A1959" s="81"/>
      <c r="F1959" s="81"/>
      <c r="G1959" s="82"/>
      <c r="H1959" s="82"/>
      <c r="I1959" s="82"/>
      <c r="J1959" s="82"/>
      <c r="K1959" s="82"/>
      <c r="L1959" s="82"/>
      <c r="M1959" s="82"/>
      <c r="N1959" s="82"/>
      <c r="O1959" s="82"/>
      <c r="P1959" s="82"/>
      <c r="Q1959" s="82"/>
      <c r="R1959" s="82"/>
      <c r="S1959" s="82"/>
      <c r="T1959" s="82"/>
      <c r="U1959" s="82"/>
      <c r="V1959" s="82"/>
      <c r="W1959" s="82"/>
      <c r="X1959" s="82"/>
      <c r="Y1959" s="82"/>
      <c r="Z1959" s="82"/>
    </row>
    <row r="1960" spans="1:26">
      <c r="A1960" s="81"/>
      <c r="F1960" s="81"/>
      <c r="G1960" s="82"/>
      <c r="H1960" s="82"/>
      <c r="I1960" s="82"/>
      <c r="J1960" s="82"/>
      <c r="K1960" s="82"/>
      <c r="L1960" s="82"/>
      <c r="M1960" s="82"/>
      <c r="N1960" s="82"/>
      <c r="O1960" s="82"/>
      <c r="P1960" s="82"/>
      <c r="Q1960" s="82"/>
      <c r="R1960" s="82"/>
      <c r="S1960" s="82"/>
      <c r="T1960" s="82"/>
      <c r="U1960" s="82"/>
      <c r="V1960" s="82"/>
      <c r="W1960" s="82"/>
      <c r="X1960" s="82"/>
      <c r="Y1960" s="82"/>
      <c r="Z1960" s="82"/>
    </row>
    <row r="1961" spans="1:26">
      <c r="A1961" s="81"/>
      <c r="F1961" s="81"/>
      <c r="G1961" s="82"/>
      <c r="H1961" s="82"/>
      <c r="I1961" s="82"/>
      <c r="J1961" s="82"/>
      <c r="K1961" s="82"/>
      <c r="L1961" s="82"/>
      <c r="M1961" s="82"/>
      <c r="N1961" s="82"/>
      <c r="O1961" s="82"/>
      <c r="P1961" s="82"/>
      <c r="Q1961" s="82"/>
      <c r="R1961" s="82"/>
      <c r="S1961" s="82"/>
      <c r="T1961" s="82"/>
      <c r="U1961" s="82"/>
      <c r="V1961" s="82"/>
      <c r="W1961" s="82"/>
      <c r="X1961" s="82"/>
      <c r="Y1961" s="82"/>
      <c r="Z1961" s="82"/>
    </row>
    <row r="1962" spans="1:26">
      <c r="A1962" s="81"/>
      <c r="F1962" s="81"/>
      <c r="G1962" s="82"/>
      <c r="H1962" s="82"/>
      <c r="I1962" s="82"/>
      <c r="J1962" s="82"/>
      <c r="K1962" s="82"/>
      <c r="L1962" s="82"/>
      <c r="M1962" s="82"/>
      <c r="N1962" s="82"/>
      <c r="O1962" s="82"/>
      <c r="P1962" s="82"/>
      <c r="Q1962" s="82"/>
      <c r="R1962" s="82"/>
      <c r="S1962" s="82"/>
      <c r="T1962" s="82"/>
      <c r="U1962" s="82"/>
      <c r="V1962" s="82"/>
      <c r="W1962" s="82"/>
      <c r="X1962" s="82"/>
      <c r="Y1962" s="82"/>
      <c r="Z1962" s="82"/>
    </row>
    <row r="1963" spans="1:26">
      <c r="A1963" s="81"/>
      <c r="F1963" s="81"/>
      <c r="G1963" s="82"/>
      <c r="H1963" s="82"/>
      <c r="I1963" s="82"/>
      <c r="J1963" s="82"/>
      <c r="K1963" s="82"/>
      <c r="L1963" s="82"/>
      <c r="M1963" s="82"/>
      <c r="N1963" s="82"/>
      <c r="O1963" s="82"/>
      <c r="P1963" s="82"/>
      <c r="Q1963" s="82"/>
      <c r="R1963" s="82"/>
      <c r="S1963" s="82"/>
      <c r="T1963" s="82"/>
      <c r="U1963" s="82"/>
      <c r="V1963" s="82"/>
      <c r="W1963" s="82"/>
      <c r="X1963" s="82"/>
      <c r="Y1963" s="82"/>
      <c r="Z1963" s="82"/>
    </row>
    <row r="1964" spans="1:26">
      <c r="A1964" s="81"/>
      <c r="F1964" s="81"/>
      <c r="G1964" s="82"/>
      <c r="H1964" s="82"/>
      <c r="I1964" s="82"/>
      <c r="J1964" s="82"/>
      <c r="K1964" s="82"/>
      <c r="L1964" s="82"/>
      <c r="M1964" s="82"/>
      <c r="N1964" s="82"/>
      <c r="O1964" s="82"/>
      <c r="P1964" s="82"/>
      <c r="Q1964" s="82"/>
      <c r="R1964" s="82"/>
      <c r="S1964" s="82"/>
      <c r="T1964" s="82"/>
      <c r="U1964" s="82"/>
      <c r="V1964" s="82"/>
      <c r="W1964" s="82"/>
      <c r="X1964" s="82"/>
      <c r="Y1964" s="82"/>
      <c r="Z1964" s="82"/>
    </row>
    <row r="1965" spans="1:26">
      <c r="A1965" s="81"/>
      <c r="F1965" s="81"/>
      <c r="G1965" s="82"/>
      <c r="H1965" s="82"/>
      <c r="I1965" s="82"/>
      <c r="J1965" s="82"/>
      <c r="K1965" s="82"/>
      <c r="L1965" s="82"/>
      <c r="M1965" s="82"/>
      <c r="N1965" s="82"/>
      <c r="O1965" s="82"/>
      <c r="P1965" s="82"/>
      <c r="Q1965" s="82"/>
      <c r="R1965" s="82"/>
      <c r="S1965" s="82"/>
      <c r="T1965" s="82"/>
      <c r="U1965" s="82"/>
      <c r="V1965" s="82"/>
      <c r="W1965" s="82"/>
      <c r="X1965" s="82"/>
      <c r="Y1965" s="82"/>
      <c r="Z1965" s="82"/>
    </row>
    <row r="1966" spans="1:26">
      <c r="A1966" s="81"/>
      <c r="F1966" s="81"/>
      <c r="G1966" s="82"/>
      <c r="H1966" s="82"/>
      <c r="I1966" s="82"/>
      <c r="J1966" s="82"/>
      <c r="K1966" s="82"/>
      <c r="L1966" s="82"/>
      <c r="M1966" s="82"/>
      <c r="N1966" s="82"/>
      <c r="O1966" s="82"/>
      <c r="P1966" s="82"/>
      <c r="Q1966" s="82"/>
      <c r="R1966" s="82"/>
      <c r="S1966" s="82"/>
      <c r="T1966" s="82"/>
      <c r="U1966" s="82"/>
      <c r="V1966" s="82"/>
      <c r="W1966" s="82"/>
      <c r="X1966" s="82"/>
      <c r="Y1966" s="82"/>
      <c r="Z1966" s="82"/>
    </row>
    <row r="1967" spans="1:26">
      <c r="A1967" s="81"/>
      <c r="F1967" s="81"/>
      <c r="G1967" s="82"/>
      <c r="H1967" s="82"/>
      <c r="I1967" s="82"/>
      <c r="J1967" s="82"/>
      <c r="K1967" s="82"/>
      <c r="L1967" s="82"/>
      <c r="M1967" s="82"/>
      <c r="N1967" s="82"/>
      <c r="O1967" s="82"/>
      <c r="P1967" s="82"/>
      <c r="Q1967" s="82"/>
      <c r="R1967" s="82"/>
      <c r="S1967" s="82"/>
      <c r="T1967" s="82"/>
      <c r="U1967" s="82"/>
      <c r="V1967" s="82"/>
      <c r="W1967" s="82"/>
      <c r="X1967" s="82"/>
      <c r="Y1967" s="82"/>
      <c r="Z1967" s="82"/>
    </row>
    <row r="1968" spans="1:26">
      <c r="A1968" s="81"/>
      <c r="F1968" s="81"/>
      <c r="G1968" s="82"/>
      <c r="H1968" s="82"/>
      <c r="I1968" s="82"/>
      <c r="J1968" s="82"/>
      <c r="K1968" s="82"/>
      <c r="L1968" s="82"/>
      <c r="M1968" s="82"/>
      <c r="N1968" s="82"/>
      <c r="O1968" s="82"/>
      <c r="P1968" s="82"/>
      <c r="Q1968" s="82"/>
      <c r="R1968" s="82"/>
      <c r="S1968" s="82"/>
      <c r="T1968" s="82"/>
      <c r="U1968" s="82"/>
      <c r="V1968" s="82"/>
      <c r="W1968" s="82"/>
      <c r="X1968" s="82"/>
      <c r="Y1968" s="82"/>
      <c r="Z1968" s="82"/>
    </row>
    <row r="1969" spans="1:26">
      <c r="A1969" s="81"/>
      <c r="F1969" s="81"/>
      <c r="G1969" s="82"/>
      <c r="H1969" s="82"/>
      <c r="I1969" s="82"/>
      <c r="J1969" s="82"/>
      <c r="K1969" s="82"/>
      <c r="L1969" s="82"/>
      <c r="M1969" s="82"/>
      <c r="N1969" s="82"/>
      <c r="O1969" s="82"/>
      <c r="P1969" s="82"/>
      <c r="Q1969" s="82"/>
      <c r="R1969" s="82"/>
      <c r="S1969" s="82"/>
      <c r="T1969" s="82"/>
      <c r="U1969" s="82"/>
      <c r="V1969" s="82"/>
      <c r="W1969" s="82"/>
      <c r="X1969" s="82"/>
      <c r="Y1969" s="82"/>
      <c r="Z1969" s="82"/>
    </row>
    <row r="1970" spans="1:26">
      <c r="A1970" s="81"/>
      <c r="F1970" s="81"/>
      <c r="G1970" s="82"/>
      <c r="H1970" s="82"/>
      <c r="I1970" s="82"/>
      <c r="J1970" s="82"/>
      <c r="K1970" s="82"/>
      <c r="L1970" s="82"/>
      <c r="M1970" s="82"/>
      <c r="N1970" s="82"/>
      <c r="O1970" s="82"/>
      <c r="P1970" s="82"/>
      <c r="Q1970" s="82"/>
      <c r="R1970" s="82"/>
      <c r="S1970" s="82"/>
      <c r="T1970" s="82"/>
      <c r="U1970" s="82"/>
      <c r="V1970" s="82"/>
      <c r="W1970" s="82"/>
      <c r="X1970" s="82"/>
      <c r="Y1970" s="82"/>
      <c r="Z1970" s="82"/>
    </row>
    <row r="1971" spans="1:26">
      <c r="A1971" s="81"/>
      <c r="F1971" s="81"/>
      <c r="G1971" s="82"/>
      <c r="H1971" s="82"/>
      <c r="I1971" s="82"/>
      <c r="J1971" s="82"/>
      <c r="K1971" s="82"/>
      <c r="L1971" s="82"/>
      <c r="M1971" s="82"/>
      <c r="N1971" s="82"/>
      <c r="O1971" s="82"/>
      <c r="P1971" s="82"/>
      <c r="Q1971" s="82"/>
      <c r="R1971" s="82"/>
      <c r="S1971" s="82"/>
      <c r="T1971" s="82"/>
      <c r="U1971" s="82"/>
      <c r="V1971" s="82"/>
      <c r="W1971" s="82"/>
      <c r="X1971" s="82"/>
      <c r="Y1971" s="82"/>
      <c r="Z1971" s="82"/>
    </row>
    <row r="1972" spans="1:26">
      <c r="A1972" s="81"/>
      <c r="F1972" s="81"/>
      <c r="G1972" s="82"/>
      <c r="H1972" s="82"/>
      <c r="I1972" s="82"/>
      <c r="J1972" s="82"/>
      <c r="K1972" s="82"/>
      <c r="L1972" s="82"/>
      <c r="M1972" s="82"/>
      <c r="N1972" s="82"/>
      <c r="O1972" s="82"/>
      <c r="P1972" s="82"/>
      <c r="Q1972" s="82"/>
      <c r="R1972" s="82"/>
      <c r="S1972" s="82"/>
      <c r="T1972" s="82"/>
      <c r="U1972" s="82"/>
      <c r="V1972" s="82"/>
      <c r="W1972" s="82"/>
      <c r="X1972" s="82"/>
      <c r="Y1972" s="82"/>
      <c r="Z1972" s="82"/>
    </row>
    <row r="1973" spans="1:26">
      <c r="A1973" s="81"/>
      <c r="F1973" s="81"/>
      <c r="G1973" s="82"/>
      <c r="H1973" s="82"/>
      <c r="I1973" s="82"/>
      <c r="J1973" s="82"/>
      <c r="K1973" s="82"/>
      <c r="L1973" s="82"/>
      <c r="M1973" s="82"/>
      <c r="N1973" s="82"/>
      <c r="O1973" s="82"/>
      <c r="P1973" s="82"/>
      <c r="Q1973" s="82"/>
      <c r="R1973" s="82"/>
      <c r="S1973" s="82"/>
      <c r="T1973" s="82"/>
      <c r="U1973" s="82"/>
      <c r="V1973" s="82"/>
      <c r="W1973" s="82"/>
      <c r="X1973" s="82"/>
      <c r="Y1973" s="82"/>
      <c r="Z1973" s="82"/>
    </row>
    <row r="1974" spans="1:26">
      <c r="A1974" s="81"/>
      <c r="F1974" s="81"/>
      <c r="G1974" s="82"/>
      <c r="H1974" s="82"/>
      <c r="I1974" s="82"/>
      <c r="J1974" s="82"/>
      <c r="K1974" s="82"/>
      <c r="L1974" s="82"/>
      <c r="M1974" s="82"/>
      <c r="N1974" s="82"/>
      <c r="O1974" s="82"/>
      <c r="P1974" s="82"/>
      <c r="Q1974" s="82"/>
      <c r="R1974" s="82"/>
      <c r="S1974" s="82"/>
      <c r="T1974" s="82"/>
      <c r="U1974" s="82"/>
      <c r="V1974" s="82"/>
      <c r="W1974" s="82"/>
      <c r="X1974" s="82"/>
      <c r="Y1974" s="82"/>
      <c r="Z1974" s="82"/>
    </row>
    <row r="1975" spans="1:26">
      <c r="A1975" s="81"/>
      <c r="F1975" s="81"/>
      <c r="G1975" s="82"/>
      <c r="H1975" s="82"/>
      <c r="I1975" s="82"/>
      <c r="J1975" s="82"/>
      <c r="K1975" s="82"/>
      <c r="L1975" s="82"/>
      <c r="M1975" s="82"/>
      <c r="N1975" s="82"/>
      <c r="O1975" s="82"/>
      <c r="P1975" s="82"/>
      <c r="Q1975" s="82"/>
      <c r="R1975" s="82"/>
      <c r="S1975" s="82"/>
      <c r="T1975" s="82"/>
      <c r="U1975" s="82"/>
      <c r="V1975" s="82"/>
      <c r="W1975" s="82"/>
      <c r="X1975" s="82"/>
      <c r="Y1975" s="82"/>
      <c r="Z1975" s="82"/>
    </row>
    <row r="1976" spans="1:26">
      <c r="A1976" s="81"/>
      <c r="F1976" s="81"/>
      <c r="G1976" s="82"/>
      <c r="H1976" s="82"/>
      <c r="I1976" s="82"/>
      <c r="J1976" s="82"/>
      <c r="K1976" s="82"/>
      <c r="L1976" s="82"/>
      <c r="M1976" s="82"/>
      <c r="N1976" s="82"/>
      <c r="O1976" s="82"/>
      <c r="P1976" s="82"/>
      <c r="Q1976" s="82"/>
      <c r="R1976" s="82"/>
      <c r="S1976" s="82"/>
      <c r="T1976" s="82"/>
      <c r="U1976" s="82"/>
      <c r="V1976" s="82"/>
      <c r="W1976" s="82"/>
      <c r="X1976" s="82"/>
      <c r="Y1976" s="82"/>
      <c r="Z1976" s="82"/>
    </row>
    <row r="1977" spans="1:26">
      <c r="A1977" s="81"/>
      <c r="F1977" s="81"/>
      <c r="G1977" s="82"/>
      <c r="H1977" s="82"/>
      <c r="I1977" s="82"/>
      <c r="J1977" s="82"/>
      <c r="K1977" s="82"/>
      <c r="L1977" s="82"/>
      <c r="M1977" s="82"/>
      <c r="N1977" s="82"/>
      <c r="O1977" s="82"/>
      <c r="P1977" s="82"/>
      <c r="Q1977" s="82"/>
      <c r="R1977" s="82"/>
      <c r="S1977" s="82"/>
      <c r="T1977" s="82"/>
      <c r="U1977" s="82"/>
      <c r="V1977" s="82"/>
      <c r="W1977" s="82"/>
      <c r="X1977" s="82"/>
      <c r="Y1977" s="82"/>
      <c r="Z1977" s="82"/>
    </row>
    <row r="1978" spans="1:26">
      <c r="A1978" s="81"/>
      <c r="F1978" s="81"/>
      <c r="G1978" s="82"/>
      <c r="H1978" s="82"/>
      <c r="I1978" s="82"/>
      <c r="J1978" s="82"/>
      <c r="K1978" s="82"/>
      <c r="L1978" s="82"/>
      <c r="M1978" s="82"/>
      <c r="N1978" s="82"/>
      <c r="O1978" s="82"/>
      <c r="P1978" s="82"/>
      <c r="Q1978" s="82"/>
      <c r="R1978" s="82"/>
      <c r="S1978" s="82"/>
      <c r="T1978" s="82"/>
      <c r="U1978" s="82"/>
      <c r="V1978" s="82"/>
      <c r="W1978" s="82"/>
      <c r="X1978" s="82"/>
      <c r="Y1978" s="82"/>
      <c r="Z1978" s="82"/>
    </row>
    <row r="1979" spans="1:26">
      <c r="A1979" s="81"/>
      <c r="F1979" s="81"/>
      <c r="G1979" s="82"/>
      <c r="H1979" s="82"/>
      <c r="I1979" s="82"/>
      <c r="J1979" s="82"/>
      <c r="K1979" s="82"/>
      <c r="L1979" s="82"/>
      <c r="M1979" s="82"/>
      <c r="N1979" s="82"/>
      <c r="O1979" s="82"/>
      <c r="P1979" s="82"/>
      <c r="Q1979" s="82"/>
      <c r="R1979" s="82"/>
      <c r="S1979" s="82"/>
      <c r="T1979" s="82"/>
      <c r="U1979" s="82"/>
      <c r="V1979" s="82"/>
      <c r="W1979" s="82"/>
      <c r="X1979" s="82"/>
      <c r="Y1979" s="82"/>
      <c r="Z1979" s="82"/>
    </row>
    <row r="1980" spans="1:26">
      <c r="A1980" s="81"/>
      <c r="F1980" s="81"/>
      <c r="G1980" s="82"/>
      <c r="H1980" s="82"/>
      <c r="I1980" s="82"/>
      <c r="J1980" s="82"/>
      <c r="K1980" s="82"/>
      <c r="L1980" s="82"/>
      <c r="M1980" s="82"/>
      <c r="N1980" s="82"/>
      <c r="O1980" s="82"/>
      <c r="P1980" s="82"/>
      <c r="Q1980" s="82"/>
      <c r="R1980" s="82"/>
      <c r="S1980" s="82"/>
      <c r="T1980" s="82"/>
      <c r="U1980" s="82"/>
      <c r="V1980" s="82"/>
      <c r="W1980" s="82"/>
      <c r="X1980" s="82"/>
      <c r="Y1980" s="82"/>
      <c r="Z1980" s="82"/>
    </row>
    <row r="1981" spans="1:26">
      <c r="A1981" s="81"/>
      <c r="F1981" s="81"/>
      <c r="G1981" s="82"/>
      <c r="H1981" s="82"/>
      <c r="I1981" s="82"/>
      <c r="J1981" s="82"/>
      <c r="K1981" s="82"/>
      <c r="L1981" s="82"/>
      <c r="M1981" s="82"/>
      <c r="N1981" s="82"/>
      <c r="O1981" s="82"/>
      <c r="P1981" s="82"/>
      <c r="Q1981" s="82"/>
      <c r="R1981" s="82"/>
      <c r="S1981" s="82"/>
      <c r="T1981" s="82"/>
      <c r="U1981" s="82"/>
      <c r="V1981" s="82"/>
      <c r="W1981" s="82"/>
      <c r="X1981" s="82"/>
      <c r="Y1981" s="82"/>
      <c r="Z1981" s="82"/>
    </row>
    <row r="1982" spans="1:26">
      <c r="A1982" s="81"/>
      <c r="F1982" s="81"/>
      <c r="G1982" s="82"/>
      <c r="H1982" s="82"/>
      <c r="I1982" s="82"/>
      <c r="J1982" s="82"/>
      <c r="K1982" s="82"/>
      <c r="L1982" s="82"/>
      <c r="M1982" s="82"/>
      <c r="N1982" s="82"/>
      <c r="O1982" s="82"/>
      <c r="P1982" s="82"/>
      <c r="Q1982" s="82"/>
      <c r="R1982" s="82"/>
      <c r="S1982" s="82"/>
      <c r="T1982" s="82"/>
      <c r="U1982" s="82"/>
      <c r="V1982" s="82"/>
      <c r="W1982" s="82"/>
      <c r="X1982" s="82"/>
      <c r="Y1982" s="82"/>
      <c r="Z1982" s="82"/>
    </row>
    <row r="1983" spans="1:26">
      <c r="A1983" s="81"/>
      <c r="F1983" s="81"/>
      <c r="G1983" s="82"/>
      <c r="H1983" s="82"/>
      <c r="I1983" s="82"/>
      <c r="J1983" s="82"/>
      <c r="K1983" s="82"/>
      <c r="L1983" s="82"/>
      <c r="M1983" s="82"/>
      <c r="N1983" s="82"/>
      <c r="O1983" s="82"/>
      <c r="P1983" s="82"/>
      <c r="Q1983" s="82"/>
      <c r="R1983" s="82"/>
      <c r="S1983" s="82"/>
      <c r="T1983" s="82"/>
      <c r="U1983" s="82"/>
      <c r="V1983" s="82"/>
      <c r="W1983" s="82"/>
      <c r="X1983" s="82"/>
      <c r="Y1983" s="82"/>
      <c r="Z1983" s="82"/>
    </row>
    <row r="1984" spans="1:26">
      <c r="A1984" s="81"/>
      <c r="F1984" s="81"/>
      <c r="G1984" s="82"/>
      <c r="H1984" s="82"/>
      <c r="I1984" s="82"/>
      <c r="J1984" s="82"/>
      <c r="K1984" s="82"/>
      <c r="L1984" s="82"/>
      <c r="M1984" s="82"/>
      <c r="N1984" s="82"/>
      <c r="O1984" s="82"/>
      <c r="P1984" s="82"/>
      <c r="Q1984" s="82"/>
      <c r="R1984" s="82"/>
      <c r="S1984" s="82"/>
      <c r="T1984" s="82"/>
      <c r="U1984" s="82"/>
      <c r="V1984" s="82"/>
      <c r="W1984" s="82"/>
      <c r="X1984" s="82"/>
      <c r="Y1984" s="82"/>
      <c r="Z1984" s="82"/>
    </row>
    <row r="1985" spans="1:26">
      <c r="A1985" s="81"/>
      <c r="F1985" s="81"/>
      <c r="G1985" s="82"/>
      <c r="H1985" s="82"/>
      <c r="I1985" s="82"/>
      <c r="J1985" s="82"/>
      <c r="K1985" s="82"/>
      <c r="L1985" s="82"/>
      <c r="M1985" s="82"/>
      <c r="N1985" s="82"/>
      <c r="O1985" s="82"/>
      <c r="P1985" s="82"/>
      <c r="Q1985" s="82"/>
      <c r="R1985" s="82"/>
      <c r="S1985" s="82"/>
      <c r="T1985" s="82"/>
      <c r="U1985" s="82"/>
      <c r="V1985" s="82"/>
      <c r="W1985" s="82"/>
      <c r="X1985" s="82"/>
      <c r="Y1985" s="82"/>
      <c r="Z1985" s="82"/>
    </row>
    <row r="1986" spans="1:26">
      <c r="A1986" s="81"/>
      <c r="F1986" s="81"/>
      <c r="G1986" s="82"/>
      <c r="H1986" s="82"/>
      <c r="I1986" s="82"/>
      <c r="J1986" s="82"/>
      <c r="K1986" s="82"/>
      <c r="L1986" s="82"/>
      <c r="M1986" s="82"/>
      <c r="N1986" s="82"/>
      <c r="O1986" s="82"/>
      <c r="P1986" s="82"/>
      <c r="Q1986" s="82"/>
      <c r="R1986" s="82"/>
      <c r="S1986" s="82"/>
      <c r="T1986" s="82"/>
      <c r="U1986" s="82"/>
      <c r="V1986" s="82"/>
      <c r="W1986" s="82"/>
      <c r="X1986" s="82"/>
      <c r="Y1986" s="82"/>
      <c r="Z1986" s="82"/>
    </row>
    <row r="1987" spans="1:26">
      <c r="A1987" s="81"/>
      <c r="F1987" s="81"/>
      <c r="G1987" s="82"/>
      <c r="H1987" s="82"/>
      <c r="I1987" s="82"/>
      <c r="J1987" s="82"/>
      <c r="K1987" s="82"/>
      <c r="L1987" s="82"/>
      <c r="M1987" s="82"/>
      <c r="N1987" s="82"/>
      <c r="O1987" s="82"/>
      <c r="P1987" s="82"/>
      <c r="Q1987" s="82"/>
      <c r="R1987" s="82"/>
      <c r="S1987" s="82"/>
      <c r="T1987" s="82"/>
      <c r="U1987" s="82"/>
      <c r="V1987" s="82"/>
      <c r="W1987" s="82"/>
      <c r="X1987" s="82"/>
      <c r="Y1987" s="82"/>
      <c r="Z1987" s="82"/>
    </row>
    <row r="1988" spans="1:26">
      <c r="A1988" s="81"/>
      <c r="F1988" s="81"/>
      <c r="G1988" s="82"/>
      <c r="H1988" s="82"/>
      <c r="I1988" s="82"/>
      <c r="J1988" s="82"/>
      <c r="K1988" s="82"/>
      <c r="L1988" s="82"/>
      <c r="M1988" s="82"/>
      <c r="N1988" s="82"/>
      <c r="O1988" s="82"/>
      <c r="P1988" s="82"/>
      <c r="Q1988" s="82"/>
      <c r="R1988" s="82"/>
      <c r="S1988" s="82"/>
      <c r="T1988" s="82"/>
      <c r="U1988" s="82"/>
      <c r="V1988" s="82"/>
      <c r="W1988" s="82"/>
      <c r="X1988" s="82"/>
      <c r="Y1988" s="82"/>
      <c r="Z1988" s="82"/>
    </row>
    <row r="1989" spans="1:26">
      <c r="A1989" s="81"/>
      <c r="F1989" s="81"/>
      <c r="G1989" s="82"/>
      <c r="H1989" s="82"/>
      <c r="I1989" s="82"/>
      <c r="J1989" s="82"/>
      <c r="K1989" s="82"/>
      <c r="L1989" s="82"/>
      <c r="M1989" s="82"/>
      <c r="N1989" s="82"/>
      <c r="O1989" s="82"/>
      <c r="P1989" s="82"/>
      <c r="Q1989" s="82"/>
      <c r="R1989" s="82"/>
      <c r="S1989" s="82"/>
      <c r="T1989" s="82"/>
      <c r="U1989" s="82"/>
      <c r="V1989" s="82"/>
      <c r="W1989" s="82"/>
      <c r="X1989" s="82"/>
      <c r="Y1989" s="82"/>
      <c r="Z1989" s="82"/>
    </row>
    <row r="1990" spans="1:26">
      <c r="A1990" s="81"/>
      <c r="F1990" s="81"/>
      <c r="G1990" s="82"/>
      <c r="H1990" s="82"/>
      <c r="I1990" s="82"/>
      <c r="J1990" s="82"/>
      <c r="K1990" s="82"/>
      <c r="L1990" s="82"/>
      <c r="M1990" s="82"/>
      <c r="N1990" s="82"/>
      <c r="O1990" s="82"/>
      <c r="P1990" s="82"/>
      <c r="Q1990" s="82"/>
      <c r="R1990" s="82"/>
      <c r="S1990" s="82"/>
      <c r="T1990" s="82"/>
      <c r="U1990" s="82"/>
      <c r="V1990" s="82"/>
      <c r="W1990" s="82"/>
      <c r="X1990" s="82"/>
      <c r="Y1990" s="82"/>
      <c r="Z1990" s="82"/>
    </row>
    <row r="1991" spans="1:26">
      <c r="A1991" s="81"/>
      <c r="F1991" s="81"/>
      <c r="G1991" s="82"/>
      <c r="H1991" s="82"/>
      <c r="I1991" s="82"/>
      <c r="J1991" s="82"/>
      <c r="K1991" s="82"/>
      <c r="L1991" s="82"/>
      <c r="M1991" s="82"/>
      <c r="N1991" s="82"/>
      <c r="O1991" s="82"/>
      <c r="P1991" s="82"/>
      <c r="Q1991" s="82"/>
      <c r="R1991" s="82"/>
      <c r="S1991" s="82"/>
      <c r="T1991" s="82"/>
      <c r="U1991" s="82"/>
      <c r="V1991" s="82"/>
      <c r="W1991" s="82"/>
      <c r="X1991" s="82"/>
      <c r="Y1991" s="82"/>
      <c r="Z1991" s="82"/>
    </row>
    <row r="1992" spans="1:26">
      <c r="A1992" s="81"/>
      <c r="F1992" s="81"/>
      <c r="G1992" s="82"/>
      <c r="H1992" s="82"/>
      <c r="I1992" s="82"/>
      <c r="J1992" s="82"/>
      <c r="K1992" s="82"/>
      <c r="L1992" s="82"/>
      <c r="M1992" s="82"/>
      <c r="N1992" s="82"/>
      <c r="O1992" s="82"/>
      <c r="P1992" s="82"/>
      <c r="Q1992" s="82"/>
      <c r="R1992" s="82"/>
      <c r="S1992" s="82"/>
      <c r="T1992" s="82"/>
      <c r="U1992" s="82"/>
      <c r="V1992" s="82"/>
      <c r="W1992" s="82"/>
      <c r="X1992" s="82"/>
      <c r="Y1992" s="82"/>
      <c r="Z1992" s="82"/>
    </row>
    <row r="1993" spans="1:26">
      <c r="A1993" s="81"/>
      <c r="F1993" s="81"/>
      <c r="G1993" s="82"/>
      <c r="H1993" s="82"/>
      <c r="I1993" s="82"/>
      <c r="J1993" s="82"/>
      <c r="K1993" s="82"/>
      <c r="L1993" s="82"/>
      <c r="M1993" s="82"/>
      <c r="N1993" s="82"/>
      <c r="O1993" s="82"/>
      <c r="P1993" s="82"/>
      <c r="Q1993" s="82"/>
      <c r="R1993" s="82"/>
      <c r="S1993" s="82"/>
      <c r="T1993" s="82"/>
      <c r="U1993" s="82"/>
      <c r="V1993" s="82"/>
      <c r="W1993" s="82"/>
      <c r="X1993" s="82"/>
      <c r="Y1993" s="82"/>
      <c r="Z1993" s="82"/>
    </row>
    <row r="1994" spans="1:26">
      <c r="A1994" s="81"/>
      <c r="F1994" s="81"/>
      <c r="G1994" s="82"/>
      <c r="H1994" s="82"/>
      <c r="I1994" s="82"/>
      <c r="J1994" s="82"/>
      <c r="K1994" s="82"/>
      <c r="L1994" s="82"/>
      <c r="M1994" s="82"/>
      <c r="N1994" s="82"/>
      <c r="O1994" s="82"/>
      <c r="P1994" s="82"/>
      <c r="Q1994" s="82"/>
      <c r="R1994" s="82"/>
      <c r="S1994" s="82"/>
      <c r="T1994" s="82"/>
      <c r="U1994" s="82"/>
      <c r="V1994" s="82"/>
      <c r="W1994" s="82"/>
      <c r="X1994" s="82"/>
      <c r="Y1994" s="82"/>
      <c r="Z1994" s="82"/>
    </row>
    <row r="1995" spans="1:26">
      <c r="A1995" s="81"/>
      <c r="F1995" s="81"/>
      <c r="G1995" s="82"/>
      <c r="H1995" s="82"/>
      <c r="I1995" s="82"/>
      <c r="J1995" s="82"/>
      <c r="K1995" s="82"/>
      <c r="L1995" s="82"/>
      <c r="M1995" s="82"/>
      <c r="N1995" s="82"/>
      <c r="O1995" s="82"/>
      <c r="P1995" s="82"/>
      <c r="Q1995" s="82"/>
      <c r="R1995" s="82"/>
      <c r="S1995" s="82"/>
      <c r="T1995" s="82"/>
      <c r="U1995" s="82"/>
      <c r="V1995" s="82"/>
      <c r="W1995" s="82"/>
      <c r="X1995" s="82"/>
      <c r="Y1995" s="82"/>
      <c r="Z1995" s="82"/>
    </row>
    <row r="1996" spans="1:26">
      <c r="A1996" s="81"/>
      <c r="F1996" s="81"/>
      <c r="G1996" s="82"/>
      <c r="H1996" s="82"/>
      <c r="I1996" s="82"/>
      <c r="J1996" s="82"/>
      <c r="K1996" s="82"/>
      <c r="L1996" s="82"/>
      <c r="M1996" s="82"/>
      <c r="N1996" s="82"/>
      <c r="O1996" s="82"/>
      <c r="P1996" s="82"/>
      <c r="Q1996" s="82"/>
      <c r="R1996" s="82"/>
      <c r="S1996" s="82"/>
      <c r="T1996" s="82"/>
      <c r="U1996" s="82"/>
      <c r="V1996" s="82"/>
      <c r="W1996" s="82"/>
      <c r="X1996" s="82"/>
      <c r="Y1996" s="82"/>
      <c r="Z1996" s="82"/>
    </row>
    <row r="1997" spans="1:26">
      <c r="A1997" s="81"/>
      <c r="F1997" s="81"/>
      <c r="G1997" s="82"/>
      <c r="H1997" s="82"/>
      <c r="I1997" s="82"/>
      <c r="J1997" s="82"/>
      <c r="K1997" s="82"/>
      <c r="L1997" s="82"/>
      <c r="M1997" s="82"/>
      <c r="N1997" s="82"/>
      <c r="O1997" s="82"/>
      <c r="P1997" s="82"/>
      <c r="Q1997" s="82"/>
      <c r="R1997" s="82"/>
      <c r="S1997" s="82"/>
      <c r="T1997" s="82"/>
      <c r="U1997" s="82"/>
      <c r="V1997" s="82"/>
      <c r="W1997" s="82"/>
      <c r="X1997" s="82"/>
      <c r="Y1997" s="82"/>
      <c r="Z1997" s="82"/>
    </row>
    <row r="1998" spans="1:26">
      <c r="A1998" s="81"/>
      <c r="F1998" s="81"/>
      <c r="G1998" s="82"/>
      <c r="H1998" s="82"/>
      <c r="I1998" s="82"/>
      <c r="J1998" s="82"/>
      <c r="K1998" s="82"/>
      <c r="L1998" s="82"/>
      <c r="M1998" s="82"/>
      <c r="N1998" s="82"/>
      <c r="O1998" s="82"/>
      <c r="P1998" s="82"/>
      <c r="Q1998" s="82"/>
      <c r="R1998" s="82"/>
      <c r="S1998" s="82"/>
      <c r="T1998" s="82"/>
      <c r="U1998" s="82"/>
      <c r="V1998" s="82"/>
      <c r="W1998" s="82"/>
      <c r="X1998" s="82"/>
      <c r="Y1998" s="82"/>
      <c r="Z1998" s="82"/>
    </row>
    <row r="1999" spans="1:26">
      <c r="A1999" s="81"/>
      <c r="F1999" s="81"/>
      <c r="G1999" s="82"/>
      <c r="H1999" s="82"/>
      <c r="I1999" s="82"/>
      <c r="J1999" s="82"/>
      <c r="K1999" s="82"/>
      <c r="L1999" s="82"/>
      <c r="M1999" s="82"/>
      <c r="N1999" s="82"/>
      <c r="O1999" s="82"/>
      <c r="P1999" s="82"/>
      <c r="Q1999" s="82"/>
      <c r="R1999" s="82"/>
      <c r="S1999" s="82"/>
      <c r="T1999" s="82"/>
      <c r="U1999" s="82"/>
      <c r="V1999" s="82"/>
      <c r="W1999" s="82"/>
      <c r="X1999" s="82"/>
      <c r="Y1999" s="82"/>
      <c r="Z1999" s="82"/>
    </row>
    <row r="2000" spans="1:26">
      <c r="A2000" s="81"/>
      <c r="F2000" s="81"/>
      <c r="G2000" s="82"/>
      <c r="H2000" s="82"/>
      <c r="I2000" s="82"/>
      <c r="J2000" s="82"/>
      <c r="K2000" s="82"/>
      <c r="L2000" s="82"/>
      <c r="M2000" s="82"/>
      <c r="N2000" s="82"/>
      <c r="O2000" s="82"/>
      <c r="P2000" s="82"/>
      <c r="Q2000" s="82"/>
      <c r="R2000" s="82"/>
      <c r="S2000" s="82"/>
      <c r="T2000" s="82"/>
      <c r="U2000" s="82"/>
      <c r="V2000" s="82"/>
      <c r="W2000" s="82"/>
      <c r="X2000" s="82"/>
      <c r="Y2000" s="82"/>
      <c r="Z2000" s="82"/>
    </row>
    <row r="2001" spans="1:26">
      <c r="A2001" s="81"/>
      <c r="F2001" s="81"/>
      <c r="G2001" s="82"/>
      <c r="H2001" s="82"/>
      <c r="I2001" s="82"/>
      <c r="J2001" s="82"/>
      <c r="K2001" s="82"/>
      <c r="L2001" s="82"/>
      <c r="M2001" s="82"/>
      <c r="N2001" s="82"/>
      <c r="O2001" s="82"/>
      <c r="P2001" s="82"/>
      <c r="Q2001" s="82"/>
      <c r="R2001" s="82"/>
      <c r="S2001" s="82"/>
      <c r="T2001" s="82"/>
      <c r="U2001" s="82"/>
      <c r="V2001" s="82"/>
      <c r="W2001" s="82"/>
      <c r="X2001" s="82"/>
      <c r="Y2001" s="82"/>
      <c r="Z2001" s="82"/>
    </row>
    <row r="2002" spans="1:26">
      <c r="A2002" s="81"/>
      <c r="F2002" s="81"/>
      <c r="G2002" s="82"/>
      <c r="H2002" s="82"/>
      <c r="I2002" s="82"/>
      <c r="J2002" s="82"/>
      <c r="K2002" s="82"/>
      <c r="L2002" s="82"/>
      <c r="M2002" s="82"/>
      <c r="N2002" s="82"/>
      <c r="O2002" s="82"/>
      <c r="P2002" s="82"/>
      <c r="Q2002" s="82"/>
      <c r="R2002" s="82"/>
      <c r="S2002" s="82"/>
      <c r="T2002" s="82"/>
      <c r="U2002" s="82"/>
      <c r="V2002" s="82"/>
      <c r="W2002" s="82"/>
      <c r="X2002" s="82"/>
      <c r="Y2002" s="82"/>
      <c r="Z2002" s="82"/>
    </row>
    <row r="2003" spans="1:26">
      <c r="A2003" s="81"/>
      <c r="F2003" s="81"/>
      <c r="G2003" s="82"/>
      <c r="H2003" s="82"/>
      <c r="I2003" s="82"/>
      <c r="J2003" s="82"/>
      <c r="K2003" s="82"/>
      <c r="L2003" s="82"/>
      <c r="M2003" s="82"/>
      <c r="N2003" s="82"/>
      <c r="O2003" s="82"/>
      <c r="P2003" s="82"/>
      <c r="Q2003" s="82"/>
      <c r="R2003" s="82"/>
      <c r="S2003" s="82"/>
      <c r="T2003" s="82"/>
      <c r="U2003" s="82"/>
      <c r="V2003" s="82"/>
      <c r="W2003" s="82"/>
      <c r="X2003" s="82"/>
      <c r="Y2003" s="82"/>
      <c r="Z2003" s="82"/>
    </row>
    <row r="2004" spans="1:26">
      <c r="A2004" s="81"/>
      <c r="F2004" s="81"/>
      <c r="G2004" s="82"/>
      <c r="H2004" s="82"/>
      <c r="I2004" s="82"/>
      <c r="J2004" s="82"/>
      <c r="K2004" s="82"/>
      <c r="L2004" s="82"/>
      <c r="M2004" s="82"/>
      <c r="N2004" s="82"/>
      <c r="O2004" s="82"/>
      <c r="P2004" s="82"/>
      <c r="Q2004" s="82"/>
      <c r="R2004" s="82"/>
      <c r="S2004" s="82"/>
      <c r="T2004" s="82"/>
      <c r="U2004" s="82"/>
      <c r="V2004" s="82"/>
      <c r="W2004" s="82"/>
      <c r="X2004" s="82"/>
      <c r="Y2004" s="82"/>
      <c r="Z2004" s="82"/>
    </row>
    <row r="2005" spans="1:26">
      <c r="A2005" s="81"/>
      <c r="F2005" s="81"/>
      <c r="G2005" s="82"/>
      <c r="H2005" s="82"/>
      <c r="I2005" s="82"/>
      <c r="J2005" s="82"/>
      <c r="K2005" s="82"/>
      <c r="L2005" s="82"/>
      <c r="M2005" s="82"/>
      <c r="N2005" s="82"/>
      <c r="O2005" s="82"/>
      <c r="P2005" s="82"/>
      <c r="Q2005" s="82"/>
      <c r="R2005" s="82"/>
      <c r="S2005" s="82"/>
      <c r="T2005" s="82"/>
      <c r="U2005" s="82"/>
      <c r="V2005" s="82"/>
      <c r="W2005" s="82"/>
      <c r="X2005" s="82"/>
      <c r="Y2005" s="82"/>
      <c r="Z2005" s="82"/>
    </row>
    <row r="2006" spans="1:26">
      <c r="A2006" s="81"/>
      <c r="F2006" s="81"/>
      <c r="G2006" s="82"/>
      <c r="H2006" s="82"/>
      <c r="I2006" s="82"/>
      <c r="J2006" s="82"/>
      <c r="K2006" s="82"/>
      <c r="L2006" s="82"/>
      <c r="M2006" s="82"/>
      <c r="N2006" s="82"/>
      <c r="O2006" s="82"/>
      <c r="P2006" s="82"/>
      <c r="Q2006" s="82"/>
      <c r="R2006" s="82"/>
      <c r="S2006" s="82"/>
      <c r="T2006" s="82"/>
      <c r="U2006" s="82"/>
      <c r="V2006" s="82"/>
      <c r="W2006" s="82"/>
      <c r="X2006" s="82"/>
      <c r="Y2006" s="82"/>
      <c r="Z2006" s="82"/>
    </row>
    <row r="2007" spans="1:26">
      <c r="A2007" s="81"/>
      <c r="F2007" s="81"/>
      <c r="G2007" s="82"/>
      <c r="H2007" s="82"/>
      <c r="I2007" s="82"/>
      <c r="J2007" s="82"/>
      <c r="K2007" s="82"/>
      <c r="L2007" s="82"/>
      <c r="M2007" s="82"/>
      <c r="N2007" s="82"/>
      <c r="O2007" s="82"/>
      <c r="P2007" s="82"/>
      <c r="Q2007" s="82"/>
      <c r="R2007" s="82"/>
      <c r="S2007" s="82"/>
      <c r="T2007" s="82"/>
      <c r="U2007" s="82"/>
      <c r="V2007" s="82"/>
      <c r="W2007" s="82"/>
      <c r="X2007" s="82"/>
      <c r="Y2007" s="82"/>
      <c r="Z2007" s="82"/>
    </row>
    <row r="2008" spans="1:26">
      <c r="A2008" s="81"/>
      <c r="F2008" s="81"/>
      <c r="G2008" s="82"/>
      <c r="H2008" s="82"/>
      <c r="I2008" s="82"/>
      <c r="J2008" s="82"/>
      <c r="K2008" s="82"/>
      <c r="L2008" s="82"/>
      <c r="M2008" s="82"/>
      <c r="N2008" s="82"/>
      <c r="O2008" s="82"/>
      <c r="P2008" s="82"/>
      <c r="Q2008" s="82"/>
      <c r="R2008" s="82"/>
      <c r="S2008" s="82"/>
      <c r="T2008" s="82"/>
      <c r="U2008" s="82"/>
      <c r="V2008" s="82"/>
      <c r="W2008" s="82"/>
      <c r="X2008" s="82"/>
      <c r="Y2008" s="82"/>
      <c r="Z2008" s="82"/>
    </row>
    <row r="2009" spans="1:26">
      <c r="A2009" s="81"/>
      <c r="F2009" s="81"/>
      <c r="G2009" s="82"/>
      <c r="H2009" s="82"/>
      <c r="I2009" s="82"/>
      <c r="J2009" s="82"/>
      <c r="K2009" s="82"/>
      <c r="L2009" s="82"/>
      <c r="M2009" s="82"/>
      <c r="N2009" s="82"/>
      <c r="O2009" s="82"/>
      <c r="P2009" s="82"/>
      <c r="Q2009" s="82"/>
      <c r="R2009" s="82"/>
      <c r="S2009" s="82"/>
      <c r="T2009" s="82"/>
      <c r="U2009" s="82"/>
      <c r="V2009" s="82"/>
      <c r="W2009" s="82"/>
      <c r="X2009" s="82"/>
      <c r="Y2009" s="82"/>
      <c r="Z2009" s="82"/>
    </row>
    <row r="2010" spans="1:26">
      <c r="A2010" s="81"/>
      <c r="F2010" s="81"/>
      <c r="G2010" s="82"/>
      <c r="H2010" s="82"/>
      <c r="I2010" s="82"/>
      <c r="J2010" s="82"/>
      <c r="K2010" s="82"/>
      <c r="L2010" s="82"/>
      <c r="M2010" s="82"/>
      <c r="N2010" s="82"/>
      <c r="O2010" s="82"/>
      <c r="P2010" s="82"/>
      <c r="Q2010" s="82"/>
      <c r="R2010" s="82"/>
      <c r="S2010" s="82"/>
      <c r="T2010" s="82"/>
      <c r="U2010" s="82"/>
      <c r="V2010" s="82"/>
      <c r="W2010" s="82"/>
      <c r="X2010" s="82"/>
      <c r="Y2010" s="82"/>
      <c r="Z2010" s="82"/>
    </row>
    <row r="2011" spans="1:26">
      <c r="A2011" s="81"/>
      <c r="F2011" s="81"/>
      <c r="G2011" s="82"/>
      <c r="H2011" s="82"/>
      <c r="I2011" s="82"/>
      <c r="J2011" s="82"/>
      <c r="K2011" s="82"/>
      <c r="L2011" s="82"/>
      <c r="M2011" s="82"/>
      <c r="N2011" s="82"/>
      <c r="O2011" s="82"/>
      <c r="P2011" s="82"/>
      <c r="Q2011" s="82"/>
      <c r="R2011" s="82"/>
      <c r="S2011" s="82"/>
      <c r="T2011" s="82"/>
      <c r="U2011" s="82"/>
      <c r="V2011" s="82"/>
      <c r="W2011" s="82"/>
      <c r="X2011" s="82"/>
      <c r="Y2011" s="82"/>
      <c r="Z2011" s="82"/>
    </row>
    <row r="2012" spans="1:26">
      <c r="A2012" s="81"/>
      <c r="F2012" s="81"/>
      <c r="G2012" s="82"/>
      <c r="H2012" s="82"/>
      <c r="I2012" s="82"/>
      <c r="J2012" s="82"/>
      <c r="K2012" s="82"/>
      <c r="L2012" s="82"/>
      <c r="M2012" s="82"/>
      <c r="N2012" s="82"/>
      <c r="O2012" s="82"/>
      <c r="P2012" s="82"/>
      <c r="Q2012" s="82"/>
      <c r="R2012" s="82"/>
      <c r="S2012" s="82"/>
      <c r="T2012" s="82"/>
      <c r="U2012" s="82"/>
      <c r="V2012" s="82"/>
      <c r="W2012" s="82"/>
      <c r="X2012" s="82"/>
      <c r="Y2012" s="82"/>
      <c r="Z2012" s="82"/>
    </row>
    <row r="2013" spans="1:26">
      <c r="A2013" s="81"/>
      <c r="F2013" s="81"/>
      <c r="G2013" s="82"/>
      <c r="H2013" s="82"/>
      <c r="I2013" s="82"/>
      <c r="J2013" s="82"/>
      <c r="K2013" s="82"/>
      <c r="L2013" s="82"/>
      <c r="M2013" s="82"/>
      <c r="N2013" s="82"/>
      <c r="O2013" s="82"/>
      <c r="P2013" s="82"/>
      <c r="Q2013" s="82"/>
      <c r="R2013" s="82"/>
      <c r="S2013" s="82"/>
      <c r="T2013" s="82"/>
      <c r="U2013" s="82"/>
      <c r="V2013" s="82"/>
      <c r="W2013" s="82"/>
      <c r="X2013" s="82"/>
      <c r="Y2013" s="82"/>
      <c r="Z2013" s="82"/>
    </row>
    <row r="2014" spans="1:26">
      <c r="A2014" s="81"/>
      <c r="F2014" s="81"/>
      <c r="G2014" s="82"/>
      <c r="H2014" s="82"/>
      <c r="I2014" s="82"/>
      <c r="J2014" s="82"/>
      <c r="K2014" s="82"/>
      <c r="L2014" s="82"/>
      <c r="M2014" s="82"/>
      <c r="N2014" s="82"/>
      <c r="O2014" s="82"/>
      <c r="P2014" s="82"/>
      <c r="Q2014" s="82"/>
      <c r="R2014" s="82"/>
      <c r="S2014" s="82"/>
      <c r="T2014" s="82"/>
      <c r="U2014" s="82"/>
      <c r="V2014" s="82"/>
      <c r="W2014" s="82"/>
      <c r="X2014" s="82"/>
      <c r="Y2014" s="82"/>
      <c r="Z2014" s="82"/>
    </row>
    <row r="2015" spans="1:26">
      <c r="A2015" s="81"/>
      <c r="F2015" s="81"/>
      <c r="G2015" s="82"/>
      <c r="H2015" s="82"/>
      <c r="I2015" s="82"/>
      <c r="J2015" s="82"/>
      <c r="K2015" s="82"/>
      <c r="L2015" s="82"/>
      <c r="M2015" s="82"/>
      <c r="N2015" s="82"/>
      <c r="O2015" s="82"/>
      <c r="P2015" s="82"/>
      <c r="Q2015" s="82"/>
      <c r="R2015" s="82"/>
      <c r="S2015" s="82"/>
      <c r="T2015" s="82"/>
      <c r="U2015" s="82"/>
      <c r="V2015" s="82"/>
      <c r="W2015" s="82"/>
      <c r="X2015" s="82"/>
      <c r="Y2015" s="82"/>
      <c r="Z2015" s="82"/>
    </row>
    <row r="2016" spans="1:26">
      <c r="A2016" s="81"/>
      <c r="F2016" s="81"/>
      <c r="G2016" s="82"/>
      <c r="H2016" s="82"/>
      <c r="I2016" s="82"/>
      <c r="J2016" s="82"/>
      <c r="K2016" s="82"/>
      <c r="L2016" s="82"/>
      <c r="M2016" s="82"/>
      <c r="N2016" s="82"/>
      <c r="O2016" s="82"/>
      <c r="P2016" s="82"/>
      <c r="Q2016" s="82"/>
      <c r="R2016" s="82"/>
      <c r="S2016" s="82"/>
      <c r="T2016" s="82"/>
      <c r="U2016" s="82"/>
      <c r="V2016" s="82"/>
      <c r="W2016" s="82"/>
      <c r="X2016" s="82"/>
      <c r="Y2016" s="82"/>
      <c r="Z2016" s="82"/>
    </row>
    <row r="2017" spans="1:26">
      <c r="A2017" s="81"/>
      <c r="F2017" s="81"/>
      <c r="G2017" s="82"/>
      <c r="H2017" s="82"/>
      <c r="I2017" s="82"/>
      <c r="J2017" s="82"/>
      <c r="K2017" s="82"/>
      <c r="L2017" s="82"/>
      <c r="M2017" s="82"/>
      <c r="N2017" s="82"/>
      <c r="O2017" s="82"/>
      <c r="P2017" s="82"/>
      <c r="Q2017" s="82"/>
      <c r="R2017" s="82"/>
      <c r="S2017" s="82"/>
      <c r="T2017" s="82"/>
      <c r="U2017" s="82"/>
      <c r="V2017" s="82"/>
      <c r="W2017" s="82"/>
      <c r="X2017" s="82"/>
      <c r="Y2017" s="82"/>
      <c r="Z2017" s="82"/>
    </row>
    <row r="2018" spans="1:26">
      <c r="A2018" s="81"/>
      <c r="F2018" s="81"/>
      <c r="G2018" s="82"/>
      <c r="H2018" s="82"/>
      <c r="I2018" s="82"/>
      <c r="J2018" s="82"/>
      <c r="K2018" s="82"/>
      <c r="L2018" s="82"/>
      <c r="M2018" s="82"/>
      <c r="N2018" s="82"/>
      <c r="O2018" s="82"/>
      <c r="P2018" s="82"/>
      <c r="Q2018" s="82"/>
      <c r="R2018" s="82"/>
      <c r="S2018" s="82"/>
      <c r="T2018" s="82"/>
      <c r="U2018" s="82"/>
      <c r="V2018" s="82"/>
      <c r="W2018" s="82"/>
      <c r="X2018" s="82"/>
      <c r="Y2018" s="82"/>
      <c r="Z2018" s="82"/>
    </row>
    <row r="2019" spans="1:26">
      <c r="A2019" s="81"/>
      <c r="F2019" s="81"/>
      <c r="G2019" s="82"/>
      <c r="H2019" s="82"/>
      <c r="I2019" s="82"/>
      <c r="J2019" s="82"/>
      <c r="K2019" s="82"/>
      <c r="L2019" s="82"/>
      <c r="M2019" s="82"/>
      <c r="N2019" s="82"/>
      <c r="O2019" s="82"/>
      <c r="P2019" s="82"/>
      <c r="Q2019" s="82"/>
      <c r="R2019" s="82"/>
      <c r="S2019" s="82"/>
      <c r="T2019" s="82"/>
      <c r="U2019" s="82"/>
      <c r="V2019" s="82"/>
      <c r="W2019" s="82"/>
      <c r="X2019" s="82"/>
      <c r="Y2019" s="82"/>
      <c r="Z2019" s="82"/>
    </row>
    <row r="2020" spans="1:26">
      <c r="A2020" s="81"/>
      <c r="F2020" s="81"/>
      <c r="G2020" s="82"/>
      <c r="H2020" s="82"/>
      <c r="I2020" s="82"/>
      <c r="J2020" s="82"/>
      <c r="K2020" s="82"/>
      <c r="L2020" s="82"/>
      <c r="M2020" s="82"/>
      <c r="N2020" s="82"/>
      <c r="O2020" s="82"/>
      <c r="P2020" s="82"/>
      <c r="Q2020" s="82"/>
      <c r="R2020" s="82"/>
      <c r="S2020" s="82"/>
      <c r="T2020" s="82"/>
      <c r="U2020" s="82"/>
      <c r="V2020" s="82"/>
      <c r="W2020" s="82"/>
      <c r="X2020" s="82"/>
      <c r="Y2020" s="82"/>
      <c r="Z2020" s="82"/>
    </row>
    <row r="2021" spans="1:26">
      <c r="A2021" s="81"/>
      <c r="F2021" s="81"/>
      <c r="G2021" s="82"/>
      <c r="H2021" s="82"/>
      <c r="I2021" s="82"/>
      <c r="J2021" s="82"/>
      <c r="K2021" s="82"/>
      <c r="L2021" s="82"/>
      <c r="M2021" s="82"/>
      <c r="N2021" s="82"/>
      <c r="O2021" s="82"/>
      <c r="P2021" s="82"/>
      <c r="Q2021" s="82"/>
      <c r="R2021" s="82"/>
      <c r="S2021" s="82"/>
      <c r="T2021" s="82"/>
      <c r="U2021" s="82"/>
      <c r="V2021" s="82"/>
      <c r="W2021" s="82"/>
      <c r="X2021" s="82"/>
      <c r="Y2021" s="82"/>
      <c r="Z2021" s="82"/>
    </row>
    <row r="2022" spans="1:26">
      <c r="A2022" s="81"/>
      <c r="F2022" s="81"/>
      <c r="G2022" s="82"/>
      <c r="H2022" s="82"/>
      <c r="I2022" s="82"/>
      <c r="J2022" s="82"/>
      <c r="K2022" s="82"/>
      <c r="L2022" s="82"/>
      <c r="M2022" s="82"/>
      <c r="N2022" s="82"/>
      <c r="O2022" s="82"/>
      <c r="P2022" s="82"/>
      <c r="Q2022" s="82"/>
      <c r="R2022" s="82"/>
      <c r="S2022" s="82"/>
      <c r="T2022" s="82"/>
      <c r="U2022" s="82"/>
      <c r="V2022" s="82"/>
      <c r="W2022" s="82"/>
      <c r="X2022" s="82"/>
      <c r="Y2022" s="82"/>
      <c r="Z2022" s="82"/>
    </row>
    <row r="2023" spans="1:26">
      <c r="A2023" s="81"/>
      <c r="F2023" s="81"/>
      <c r="G2023" s="82"/>
      <c r="H2023" s="82"/>
      <c r="I2023" s="82"/>
      <c r="J2023" s="82"/>
      <c r="K2023" s="82"/>
      <c r="L2023" s="82"/>
      <c r="M2023" s="82"/>
      <c r="N2023" s="82"/>
      <c r="O2023" s="82"/>
      <c r="P2023" s="82"/>
      <c r="Q2023" s="82"/>
      <c r="R2023" s="82"/>
      <c r="S2023" s="82"/>
      <c r="T2023" s="82"/>
      <c r="U2023" s="82"/>
      <c r="V2023" s="82"/>
      <c r="W2023" s="82"/>
      <c r="X2023" s="82"/>
      <c r="Y2023" s="82"/>
      <c r="Z2023" s="82"/>
    </row>
    <row r="2024" spans="1:26">
      <c r="A2024" s="81"/>
      <c r="F2024" s="81"/>
      <c r="G2024" s="82"/>
      <c r="H2024" s="82"/>
      <c r="I2024" s="82"/>
      <c r="J2024" s="82"/>
      <c r="K2024" s="82"/>
      <c r="L2024" s="82"/>
      <c r="M2024" s="82"/>
      <c r="N2024" s="82"/>
      <c r="O2024" s="82"/>
      <c r="P2024" s="82"/>
      <c r="Q2024" s="82"/>
      <c r="R2024" s="82"/>
      <c r="S2024" s="82"/>
      <c r="T2024" s="82"/>
      <c r="U2024" s="82"/>
      <c r="V2024" s="82"/>
      <c r="W2024" s="82"/>
      <c r="X2024" s="82"/>
      <c r="Y2024" s="82"/>
      <c r="Z2024" s="82"/>
    </row>
    <row r="2025" spans="1:26">
      <c r="A2025" s="81"/>
      <c r="F2025" s="81"/>
      <c r="G2025" s="82"/>
      <c r="H2025" s="82"/>
      <c r="I2025" s="82"/>
      <c r="J2025" s="82"/>
      <c r="K2025" s="82"/>
      <c r="L2025" s="82"/>
      <c r="M2025" s="82"/>
      <c r="N2025" s="82"/>
      <c r="O2025" s="82"/>
      <c r="P2025" s="82"/>
      <c r="Q2025" s="82"/>
      <c r="R2025" s="82"/>
      <c r="S2025" s="82"/>
      <c r="T2025" s="82"/>
      <c r="U2025" s="82"/>
      <c r="V2025" s="82"/>
      <c r="W2025" s="82"/>
      <c r="X2025" s="82"/>
      <c r="Y2025" s="82"/>
      <c r="Z2025" s="82"/>
    </row>
    <row r="2026" spans="1:26">
      <c r="A2026" s="81"/>
      <c r="F2026" s="81"/>
      <c r="G2026" s="82"/>
      <c r="H2026" s="82"/>
      <c r="I2026" s="82"/>
      <c r="J2026" s="82"/>
      <c r="K2026" s="82"/>
      <c r="L2026" s="82"/>
      <c r="M2026" s="82"/>
      <c r="N2026" s="82"/>
      <c r="O2026" s="82"/>
      <c r="P2026" s="82"/>
      <c r="Q2026" s="82"/>
      <c r="R2026" s="82"/>
      <c r="S2026" s="82"/>
      <c r="T2026" s="82"/>
      <c r="U2026" s="82"/>
      <c r="V2026" s="82"/>
      <c r="W2026" s="82"/>
      <c r="X2026" s="82"/>
      <c r="Y2026" s="82"/>
      <c r="Z2026" s="82"/>
    </row>
    <row r="2027" spans="1:26">
      <c r="A2027" s="81"/>
      <c r="F2027" s="81"/>
      <c r="G2027" s="82"/>
      <c r="H2027" s="82"/>
      <c r="I2027" s="82"/>
      <c r="J2027" s="82"/>
      <c r="K2027" s="82"/>
      <c r="L2027" s="82"/>
      <c r="M2027" s="82"/>
      <c r="N2027" s="82"/>
      <c r="O2027" s="82"/>
      <c r="P2027" s="82"/>
      <c r="Q2027" s="82"/>
      <c r="R2027" s="82"/>
      <c r="S2027" s="82"/>
      <c r="T2027" s="82"/>
      <c r="U2027" s="82"/>
      <c r="V2027" s="82"/>
      <c r="W2027" s="82"/>
      <c r="X2027" s="82"/>
      <c r="Y2027" s="82"/>
      <c r="Z2027" s="82"/>
    </row>
    <row r="2028" spans="1:26">
      <c r="A2028" s="81"/>
      <c r="F2028" s="81"/>
      <c r="G2028" s="82"/>
      <c r="H2028" s="82"/>
      <c r="I2028" s="82"/>
      <c r="J2028" s="82"/>
      <c r="K2028" s="82"/>
      <c r="L2028" s="82"/>
      <c r="M2028" s="82"/>
      <c r="N2028" s="82"/>
      <c r="O2028" s="82"/>
      <c r="P2028" s="82"/>
      <c r="Q2028" s="82"/>
      <c r="R2028" s="82"/>
      <c r="S2028" s="82"/>
      <c r="T2028" s="82"/>
      <c r="U2028" s="82"/>
      <c r="V2028" s="82"/>
      <c r="W2028" s="82"/>
      <c r="X2028" s="82"/>
      <c r="Y2028" s="82"/>
      <c r="Z2028" s="82"/>
    </row>
    <row r="2029" spans="1:26">
      <c r="A2029" s="81"/>
      <c r="F2029" s="81"/>
      <c r="G2029" s="82"/>
      <c r="H2029" s="82"/>
      <c r="I2029" s="82"/>
      <c r="J2029" s="82"/>
      <c r="K2029" s="82"/>
      <c r="L2029" s="82"/>
      <c r="M2029" s="82"/>
      <c r="N2029" s="82"/>
      <c r="O2029" s="82"/>
      <c r="P2029" s="82"/>
      <c r="Q2029" s="82"/>
      <c r="R2029" s="82"/>
      <c r="S2029" s="82"/>
      <c r="T2029" s="82"/>
      <c r="U2029" s="82"/>
      <c r="V2029" s="82"/>
      <c r="W2029" s="82"/>
      <c r="X2029" s="82"/>
      <c r="Y2029" s="82"/>
      <c r="Z2029" s="82"/>
    </row>
    <row r="2030" spans="1:26">
      <c r="A2030" s="81"/>
      <c r="F2030" s="81"/>
      <c r="G2030" s="82"/>
      <c r="H2030" s="82"/>
      <c r="I2030" s="82"/>
      <c r="J2030" s="82"/>
      <c r="K2030" s="82"/>
      <c r="L2030" s="82"/>
      <c r="M2030" s="82"/>
      <c r="N2030" s="82"/>
      <c r="O2030" s="82"/>
      <c r="P2030" s="82"/>
      <c r="Q2030" s="82"/>
      <c r="R2030" s="82"/>
      <c r="S2030" s="82"/>
      <c r="T2030" s="82"/>
      <c r="U2030" s="82"/>
      <c r="V2030" s="82"/>
      <c r="W2030" s="82"/>
      <c r="X2030" s="82"/>
      <c r="Y2030" s="82"/>
      <c r="Z2030" s="82"/>
    </row>
    <row r="2031" spans="1:26">
      <c r="A2031" s="81"/>
      <c r="F2031" s="81"/>
      <c r="G2031" s="82"/>
      <c r="H2031" s="82"/>
      <c r="I2031" s="82"/>
      <c r="J2031" s="82"/>
      <c r="K2031" s="82"/>
      <c r="L2031" s="82"/>
      <c r="M2031" s="82"/>
      <c r="N2031" s="82"/>
      <c r="O2031" s="82"/>
      <c r="P2031" s="82"/>
      <c r="Q2031" s="82"/>
      <c r="R2031" s="82"/>
      <c r="S2031" s="82"/>
      <c r="T2031" s="82"/>
      <c r="U2031" s="82"/>
      <c r="V2031" s="82"/>
      <c r="W2031" s="82"/>
      <c r="X2031" s="82"/>
      <c r="Y2031" s="82"/>
      <c r="Z2031" s="82"/>
    </row>
    <row r="2032" spans="1:26">
      <c r="A2032" s="81"/>
      <c r="F2032" s="81"/>
      <c r="G2032" s="82"/>
      <c r="H2032" s="82"/>
      <c r="I2032" s="82"/>
      <c r="J2032" s="82"/>
      <c r="K2032" s="82"/>
      <c r="L2032" s="82"/>
      <c r="M2032" s="82"/>
      <c r="N2032" s="82"/>
      <c r="O2032" s="82"/>
      <c r="P2032" s="82"/>
      <c r="Q2032" s="82"/>
      <c r="R2032" s="82"/>
      <c r="S2032" s="82"/>
      <c r="T2032" s="82"/>
      <c r="U2032" s="82"/>
      <c r="V2032" s="82"/>
      <c r="W2032" s="82"/>
      <c r="X2032" s="82"/>
      <c r="Y2032" s="82"/>
      <c r="Z2032" s="82"/>
    </row>
    <row r="2033" spans="1:26">
      <c r="A2033" s="81"/>
      <c r="F2033" s="81"/>
      <c r="G2033" s="82"/>
      <c r="H2033" s="82"/>
      <c r="I2033" s="82"/>
      <c r="J2033" s="82"/>
      <c r="K2033" s="82"/>
      <c r="L2033" s="82"/>
      <c r="M2033" s="82"/>
      <c r="N2033" s="82"/>
      <c r="O2033" s="82"/>
      <c r="P2033" s="82"/>
      <c r="Q2033" s="82"/>
      <c r="R2033" s="82"/>
      <c r="S2033" s="82"/>
      <c r="T2033" s="82"/>
      <c r="U2033" s="82"/>
      <c r="V2033" s="82"/>
      <c r="W2033" s="82"/>
      <c r="X2033" s="82"/>
      <c r="Y2033" s="82"/>
      <c r="Z2033" s="82"/>
    </row>
    <row r="2034" spans="1:26">
      <c r="A2034" s="81"/>
      <c r="F2034" s="81"/>
      <c r="G2034" s="82"/>
      <c r="H2034" s="82"/>
      <c r="I2034" s="82"/>
      <c r="J2034" s="82"/>
      <c r="K2034" s="82"/>
      <c r="L2034" s="82"/>
      <c r="M2034" s="82"/>
      <c r="N2034" s="82"/>
      <c r="O2034" s="82"/>
      <c r="P2034" s="82"/>
      <c r="Q2034" s="82"/>
      <c r="R2034" s="82"/>
      <c r="S2034" s="82"/>
      <c r="T2034" s="82"/>
      <c r="U2034" s="82"/>
      <c r="V2034" s="82"/>
      <c r="W2034" s="82"/>
      <c r="X2034" s="82"/>
      <c r="Y2034" s="82"/>
      <c r="Z2034" s="82"/>
    </row>
    <row r="2035" spans="1:26">
      <c r="A2035" s="81"/>
      <c r="F2035" s="81"/>
      <c r="G2035" s="82"/>
      <c r="H2035" s="82"/>
      <c r="I2035" s="82"/>
      <c r="J2035" s="82"/>
      <c r="K2035" s="82"/>
      <c r="L2035" s="82"/>
      <c r="M2035" s="82"/>
      <c r="N2035" s="82"/>
      <c r="O2035" s="82"/>
      <c r="P2035" s="82"/>
      <c r="Q2035" s="82"/>
      <c r="R2035" s="82"/>
      <c r="S2035" s="82"/>
      <c r="T2035" s="82"/>
      <c r="U2035" s="82"/>
      <c r="V2035" s="82"/>
      <c r="W2035" s="82"/>
      <c r="X2035" s="82"/>
      <c r="Y2035" s="82"/>
      <c r="Z2035" s="82"/>
    </row>
    <row r="2036" spans="1:26">
      <c r="A2036" s="81"/>
      <c r="F2036" s="81"/>
      <c r="G2036" s="82"/>
      <c r="H2036" s="82"/>
      <c r="I2036" s="82"/>
      <c r="J2036" s="82"/>
      <c r="K2036" s="82"/>
      <c r="L2036" s="82"/>
      <c r="M2036" s="82"/>
      <c r="N2036" s="82"/>
      <c r="O2036" s="82"/>
      <c r="P2036" s="82"/>
      <c r="Q2036" s="82"/>
      <c r="R2036" s="82"/>
      <c r="S2036" s="82"/>
      <c r="T2036" s="82"/>
      <c r="U2036" s="82"/>
      <c r="V2036" s="82"/>
      <c r="W2036" s="82"/>
      <c r="X2036" s="82"/>
      <c r="Y2036" s="82"/>
      <c r="Z2036" s="82"/>
    </row>
    <row r="2037" spans="1:26">
      <c r="A2037" s="81"/>
      <c r="F2037" s="81"/>
      <c r="G2037" s="82"/>
      <c r="H2037" s="82"/>
      <c r="I2037" s="82"/>
      <c r="J2037" s="82"/>
      <c r="K2037" s="82"/>
      <c r="L2037" s="82"/>
      <c r="M2037" s="82"/>
      <c r="N2037" s="82"/>
      <c r="O2037" s="82"/>
      <c r="P2037" s="82"/>
      <c r="Q2037" s="82"/>
      <c r="R2037" s="82"/>
      <c r="S2037" s="82"/>
      <c r="T2037" s="82"/>
      <c r="U2037" s="82"/>
      <c r="V2037" s="82"/>
      <c r="W2037" s="82"/>
      <c r="X2037" s="82"/>
      <c r="Y2037" s="82"/>
      <c r="Z2037" s="82"/>
    </row>
    <row r="2038" spans="1:26">
      <c r="A2038" s="81"/>
      <c r="F2038" s="81"/>
      <c r="G2038" s="82"/>
      <c r="H2038" s="82"/>
      <c r="I2038" s="82"/>
      <c r="J2038" s="82"/>
      <c r="K2038" s="82"/>
      <c r="L2038" s="82"/>
      <c r="M2038" s="82"/>
      <c r="N2038" s="82"/>
      <c r="O2038" s="82"/>
      <c r="P2038" s="82"/>
      <c r="Q2038" s="82"/>
      <c r="R2038" s="82"/>
      <c r="S2038" s="82"/>
      <c r="T2038" s="82"/>
      <c r="U2038" s="82"/>
      <c r="V2038" s="82"/>
      <c r="W2038" s="82"/>
      <c r="X2038" s="82"/>
      <c r="Y2038" s="82"/>
      <c r="Z2038" s="82"/>
    </row>
    <row r="2039" spans="1:26">
      <c r="A2039" s="81"/>
      <c r="F2039" s="81"/>
      <c r="G2039" s="82"/>
      <c r="H2039" s="82"/>
      <c r="I2039" s="82"/>
      <c r="J2039" s="82"/>
      <c r="K2039" s="82"/>
      <c r="L2039" s="82"/>
      <c r="M2039" s="82"/>
      <c r="N2039" s="82"/>
      <c r="O2039" s="82"/>
      <c r="P2039" s="82"/>
      <c r="Q2039" s="82"/>
      <c r="R2039" s="82"/>
      <c r="S2039" s="82"/>
      <c r="T2039" s="82"/>
      <c r="U2039" s="82"/>
      <c r="V2039" s="82"/>
      <c r="W2039" s="82"/>
      <c r="X2039" s="82"/>
      <c r="Y2039" s="82"/>
      <c r="Z2039" s="82"/>
    </row>
    <row r="2040" spans="1:26">
      <c r="A2040" s="81"/>
      <c r="F2040" s="81"/>
      <c r="G2040" s="82"/>
      <c r="H2040" s="82"/>
      <c r="I2040" s="82"/>
      <c r="J2040" s="82"/>
      <c r="K2040" s="82"/>
      <c r="L2040" s="82"/>
      <c r="M2040" s="82"/>
      <c r="N2040" s="82"/>
      <c r="O2040" s="82"/>
      <c r="P2040" s="82"/>
      <c r="Q2040" s="82"/>
      <c r="R2040" s="82"/>
      <c r="S2040" s="82"/>
      <c r="T2040" s="82"/>
      <c r="U2040" s="82"/>
      <c r="V2040" s="82"/>
      <c r="W2040" s="82"/>
      <c r="X2040" s="82"/>
      <c r="Y2040" s="82"/>
      <c r="Z2040" s="82"/>
    </row>
    <row r="2041" spans="1:26">
      <c r="A2041" s="81"/>
      <c r="F2041" s="81"/>
      <c r="G2041" s="82"/>
      <c r="H2041" s="82"/>
      <c r="I2041" s="82"/>
      <c r="J2041" s="82"/>
      <c r="K2041" s="82"/>
      <c r="L2041" s="82"/>
      <c r="M2041" s="82"/>
      <c r="N2041" s="82"/>
      <c r="O2041" s="82"/>
      <c r="P2041" s="82"/>
      <c r="Q2041" s="82"/>
      <c r="R2041" s="82"/>
      <c r="S2041" s="82"/>
      <c r="T2041" s="82"/>
      <c r="U2041" s="82"/>
      <c r="V2041" s="82"/>
      <c r="W2041" s="82"/>
      <c r="X2041" s="82"/>
      <c r="Y2041" s="82"/>
      <c r="Z2041" s="82"/>
    </row>
    <row r="2042" spans="1:26">
      <c r="A2042" s="81"/>
      <c r="F2042" s="81"/>
      <c r="G2042" s="82"/>
      <c r="H2042" s="82"/>
      <c r="I2042" s="82"/>
      <c r="J2042" s="82"/>
      <c r="K2042" s="82"/>
      <c r="L2042" s="82"/>
      <c r="M2042" s="82"/>
      <c r="N2042" s="82"/>
      <c r="O2042" s="82"/>
      <c r="P2042" s="82"/>
      <c r="Q2042" s="82"/>
      <c r="R2042" s="82"/>
      <c r="S2042" s="82"/>
      <c r="T2042" s="82"/>
      <c r="U2042" s="82"/>
      <c r="V2042" s="82"/>
      <c r="W2042" s="82"/>
      <c r="X2042" s="82"/>
      <c r="Y2042" s="82"/>
      <c r="Z2042" s="82"/>
    </row>
    <row r="2043" spans="1:26">
      <c r="A2043" s="81"/>
      <c r="F2043" s="81"/>
      <c r="G2043" s="82"/>
      <c r="H2043" s="82"/>
      <c r="I2043" s="82"/>
      <c r="J2043" s="82"/>
      <c r="K2043" s="82"/>
      <c r="L2043" s="82"/>
      <c r="M2043" s="82"/>
      <c r="N2043" s="82"/>
      <c r="O2043" s="82"/>
      <c r="P2043" s="82"/>
      <c r="Q2043" s="82"/>
      <c r="R2043" s="82"/>
      <c r="S2043" s="82"/>
      <c r="T2043" s="82"/>
      <c r="U2043" s="82"/>
      <c r="V2043" s="82"/>
      <c r="W2043" s="82"/>
      <c r="X2043" s="82"/>
      <c r="Y2043" s="82"/>
      <c r="Z2043" s="82"/>
    </row>
    <row r="2044" spans="1:26">
      <c r="A2044" s="81"/>
      <c r="F2044" s="81"/>
      <c r="G2044" s="82"/>
      <c r="H2044" s="82"/>
      <c r="I2044" s="82"/>
      <c r="J2044" s="82"/>
      <c r="K2044" s="82"/>
      <c r="L2044" s="82"/>
      <c r="M2044" s="82"/>
      <c r="N2044" s="82"/>
      <c r="O2044" s="82"/>
      <c r="P2044" s="82"/>
      <c r="Q2044" s="82"/>
      <c r="R2044" s="82"/>
      <c r="S2044" s="82"/>
      <c r="T2044" s="82"/>
      <c r="U2044" s="82"/>
      <c r="V2044" s="82"/>
      <c r="W2044" s="82"/>
      <c r="X2044" s="82"/>
      <c r="Y2044" s="82"/>
      <c r="Z2044" s="82"/>
    </row>
    <row r="2045" spans="1:26">
      <c r="A2045" s="81"/>
      <c r="F2045" s="81"/>
      <c r="G2045" s="82"/>
      <c r="H2045" s="82"/>
      <c r="I2045" s="82"/>
      <c r="J2045" s="82"/>
      <c r="K2045" s="82"/>
      <c r="L2045" s="82"/>
      <c r="M2045" s="82"/>
      <c r="N2045" s="82"/>
      <c r="O2045" s="82"/>
      <c r="P2045" s="82"/>
      <c r="Q2045" s="82"/>
      <c r="R2045" s="82"/>
      <c r="S2045" s="82"/>
      <c r="T2045" s="82"/>
      <c r="U2045" s="82"/>
      <c r="V2045" s="82"/>
      <c r="W2045" s="82"/>
      <c r="X2045" s="82"/>
      <c r="Y2045" s="82"/>
      <c r="Z2045" s="82"/>
    </row>
    <row r="2046" spans="1:26">
      <c r="A2046" s="81"/>
      <c r="F2046" s="81"/>
      <c r="G2046" s="82"/>
      <c r="H2046" s="82"/>
      <c r="I2046" s="82"/>
      <c r="J2046" s="82"/>
      <c r="K2046" s="82"/>
      <c r="L2046" s="82"/>
      <c r="M2046" s="82"/>
      <c r="N2046" s="82"/>
      <c r="O2046" s="82"/>
      <c r="P2046" s="82"/>
      <c r="Q2046" s="82"/>
      <c r="R2046" s="82"/>
      <c r="S2046" s="82"/>
      <c r="T2046" s="82"/>
      <c r="U2046" s="82"/>
      <c r="V2046" s="82"/>
      <c r="W2046" s="82"/>
      <c r="X2046" s="82"/>
      <c r="Y2046" s="82"/>
      <c r="Z2046" s="82"/>
    </row>
    <row r="2047" spans="1:26">
      <c r="A2047" s="81"/>
      <c r="F2047" s="81"/>
      <c r="G2047" s="82"/>
      <c r="H2047" s="82"/>
      <c r="I2047" s="82"/>
      <c r="J2047" s="82"/>
      <c r="K2047" s="82"/>
      <c r="L2047" s="82"/>
      <c r="M2047" s="82"/>
      <c r="N2047" s="82"/>
      <c r="O2047" s="82"/>
      <c r="P2047" s="82"/>
      <c r="Q2047" s="82"/>
      <c r="R2047" s="82"/>
      <c r="S2047" s="82"/>
      <c r="T2047" s="82"/>
      <c r="U2047" s="82"/>
      <c r="V2047" s="82"/>
      <c r="W2047" s="82"/>
      <c r="X2047" s="82"/>
      <c r="Y2047" s="82"/>
      <c r="Z2047" s="82"/>
    </row>
    <row r="2048" spans="1:26">
      <c r="A2048" s="81"/>
      <c r="F2048" s="81"/>
      <c r="G2048" s="82"/>
      <c r="H2048" s="82"/>
      <c r="I2048" s="82"/>
      <c r="J2048" s="82"/>
      <c r="K2048" s="82"/>
      <c r="L2048" s="82"/>
      <c r="M2048" s="82"/>
      <c r="N2048" s="82"/>
      <c r="O2048" s="82"/>
      <c r="P2048" s="82"/>
      <c r="Q2048" s="82"/>
      <c r="R2048" s="82"/>
      <c r="S2048" s="82"/>
      <c r="T2048" s="82"/>
      <c r="U2048" s="82"/>
      <c r="V2048" s="82"/>
      <c r="W2048" s="82"/>
      <c r="X2048" s="82"/>
      <c r="Y2048" s="82"/>
      <c r="Z2048" s="82"/>
    </row>
    <row r="2049" spans="1:26">
      <c r="A2049" s="81"/>
      <c r="F2049" s="81"/>
      <c r="G2049" s="82"/>
      <c r="H2049" s="82"/>
      <c r="I2049" s="82"/>
      <c r="J2049" s="82"/>
      <c r="K2049" s="82"/>
      <c r="L2049" s="82"/>
      <c r="M2049" s="82"/>
      <c r="N2049" s="82"/>
      <c r="O2049" s="82"/>
      <c r="P2049" s="82"/>
      <c r="Q2049" s="82"/>
      <c r="R2049" s="82"/>
      <c r="S2049" s="82"/>
      <c r="T2049" s="82"/>
      <c r="U2049" s="82"/>
      <c r="V2049" s="82"/>
      <c r="W2049" s="82"/>
      <c r="X2049" s="82"/>
      <c r="Y2049" s="82"/>
      <c r="Z2049" s="82"/>
    </row>
    <row r="2050" spans="1:26">
      <c r="A2050" s="81"/>
      <c r="F2050" s="81"/>
      <c r="G2050" s="82"/>
      <c r="H2050" s="82"/>
      <c r="I2050" s="82"/>
      <c r="J2050" s="82"/>
      <c r="K2050" s="82"/>
      <c r="L2050" s="82"/>
      <c r="M2050" s="82"/>
      <c r="N2050" s="82"/>
      <c r="O2050" s="82"/>
      <c r="P2050" s="82"/>
      <c r="Q2050" s="82"/>
      <c r="R2050" s="82"/>
      <c r="S2050" s="82"/>
      <c r="T2050" s="82"/>
      <c r="U2050" s="82"/>
      <c r="V2050" s="82"/>
      <c r="W2050" s="82"/>
      <c r="X2050" s="82"/>
      <c r="Y2050" s="82"/>
      <c r="Z2050" s="82"/>
    </row>
    <row r="2051" spans="1:26">
      <c r="A2051" s="81"/>
      <c r="F2051" s="81"/>
      <c r="G2051" s="82"/>
      <c r="H2051" s="82"/>
      <c r="I2051" s="82"/>
      <c r="J2051" s="82"/>
      <c r="K2051" s="82"/>
      <c r="L2051" s="82"/>
      <c r="M2051" s="82"/>
      <c r="N2051" s="82"/>
      <c r="O2051" s="82"/>
      <c r="P2051" s="82"/>
      <c r="Q2051" s="82"/>
      <c r="R2051" s="82"/>
      <c r="S2051" s="82"/>
      <c r="T2051" s="82"/>
      <c r="U2051" s="82"/>
      <c r="V2051" s="82"/>
      <c r="W2051" s="82"/>
      <c r="X2051" s="82"/>
      <c r="Y2051" s="82"/>
      <c r="Z2051" s="82"/>
    </row>
    <row r="2052" spans="1:26">
      <c r="A2052" s="81"/>
      <c r="F2052" s="81"/>
      <c r="G2052" s="82"/>
      <c r="H2052" s="82"/>
      <c r="I2052" s="82"/>
      <c r="J2052" s="82"/>
      <c r="K2052" s="82"/>
      <c r="L2052" s="82"/>
      <c r="M2052" s="82"/>
      <c r="N2052" s="82"/>
      <c r="O2052" s="82"/>
      <c r="P2052" s="82"/>
      <c r="Q2052" s="82"/>
      <c r="R2052" s="82"/>
      <c r="S2052" s="82"/>
      <c r="T2052" s="82"/>
      <c r="U2052" s="82"/>
      <c r="V2052" s="82"/>
      <c r="W2052" s="82"/>
      <c r="X2052" s="82"/>
      <c r="Y2052" s="82"/>
      <c r="Z2052" s="82"/>
    </row>
    <row r="2053" spans="1:26">
      <c r="A2053" s="81"/>
      <c r="F2053" s="81"/>
      <c r="G2053" s="82"/>
      <c r="H2053" s="82"/>
      <c r="I2053" s="82"/>
      <c r="J2053" s="82"/>
      <c r="K2053" s="82"/>
      <c r="L2053" s="82"/>
      <c r="M2053" s="82"/>
      <c r="N2053" s="82"/>
      <c r="O2053" s="82"/>
      <c r="P2053" s="82"/>
      <c r="Q2053" s="82"/>
      <c r="R2053" s="82"/>
      <c r="S2053" s="82"/>
      <c r="T2053" s="82"/>
      <c r="U2053" s="82"/>
      <c r="V2053" s="82"/>
      <c r="W2053" s="82"/>
      <c r="X2053" s="82"/>
      <c r="Y2053" s="82"/>
      <c r="Z2053" s="82"/>
    </row>
    <row r="2054" spans="1:26">
      <c r="A2054" s="81"/>
      <c r="F2054" s="81"/>
      <c r="G2054" s="82"/>
      <c r="H2054" s="82"/>
      <c r="I2054" s="82"/>
      <c r="J2054" s="82"/>
      <c r="K2054" s="82"/>
      <c r="L2054" s="82"/>
      <c r="M2054" s="82"/>
      <c r="N2054" s="82"/>
      <c r="O2054" s="82"/>
      <c r="P2054" s="82"/>
      <c r="Q2054" s="82"/>
      <c r="R2054" s="82"/>
      <c r="S2054" s="82"/>
      <c r="T2054" s="82"/>
      <c r="U2054" s="82"/>
      <c r="V2054" s="82"/>
      <c r="W2054" s="82"/>
      <c r="X2054" s="82"/>
      <c r="Y2054" s="82"/>
      <c r="Z2054" s="82"/>
    </row>
    <row r="2055" spans="1:26">
      <c r="A2055" s="81"/>
      <c r="F2055" s="81"/>
      <c r="G2055" s="82"/>
      <c r="H2055" s="82"/>
      <c r="I2055" s="82"/>
      <c r="J2055" s="82"/>
      <c r="K2055" s="82"/>
      <c r="L2055" s="82"/>
      <c r="M2055" s="82"/>
      <c r="N2055" s="82"/>
      <c r="O2055" s="82"/>
      <c r="P2055" s="82"/>
      <c r="Q2055" s="82"/>
      <c r="R2055" s="82"/>
      <c r="S2055" s="82"/>
      <c r="T2055" s="82"/>
      <c r="U2055" s="82"/>
      <c r="V2055" s="82"/>
      <c r="W2055" s="82"/>
      <c r="X2055" s="82"/>
      <c r="Y2055" s="82"/>
      <c r="Z2055" s="82"/>
    </row>
    <row r="2056" spans="1:26">
      <c r="A2056" s="81"/>
      <c r="F2056" s="81"/>
      <c r="G2056" s="82"/>
      <c r="H2056" s="82"/>
      <c r="I2056" s="82"/>
      <c r="J2056" s="82"/>
      <c r="K2056" s="82"/>
      <c r="L2056" s="82"/>
      <c r="M2056" s="82"/>
      <c r="N2056" s="82"/>
      <c r="O2056" s="82"/>
      <c r="P2056" s="82"/>
      <c r="Q2056" s="82"/>
      <c r="R2056" s="82"/>
      <c r="S2056" s="82"/>
      <c r="T2056" s="82"/>
      <c r="U2056" s="82"/>
      <c r="V2056" s="82"/>
      <c r="W2056" s="82"/>
      <c r="X2056" s="82"/>
      <c r="Y2056" s="82"/>
      <c r="Z2056" s="82"/>
    </row>
    <row r="2057" spans="1:26">
      <c r="A2057" s="81"/>
      <c r="F2057" s="81"/>
      <c r="G2057" s="82"/>
      <c r="H2057" s="82"/>
      <c r="I2057" s="82"/>
      <c r="J2057" s="82"/>
      <c r="K2057" s="82"/>
      <c r="L2057" s="82"/>
      <c r="M2057" s="82"/>
      <c r="N2057" s="82"/>
      <c r="O2057" s="82"/>
      <c r="P2057" s="82"/>
      <c r="Q2057" s="82"/>
      <c r="R2057" s="82"/>
      <c r="S2057" s="82"/>
      <c r="T2057" s="82"/>
      <c r="U2057" s="82"/>
      <c r="V2057" s="82"/>
      <c r="W2057" s="82"/>
      <c r="X2057" s="82"/>
      <c r="Y2057" s="82"/>
      <c r="Z2057" s="82"/>
    </row>
    <row r="2058" spans="1:26">
      <c r="A2058" s="81"/>
      <c r="F2058" s="81"/>
      <c r="G2058" s="82"/>
      <c r="H2058" s="82"/>
      <c r="I2058" s="82"/>
      <c r="J2058" s="82"/>
      <c r="K2058" s="82"/>
      <c r="L2058" s="82"/>
      <c r="M2058" s="82"/>
      <c r="N2058" s="82"/>
      <c r="O2058" s="82"/>
      <c r="P2058" s="82"/>
      <c r="Q2058" s="82"/>
      <c r="R2058" s="82"/>
      <c r="S2058" s="82"/>
      <c r="T2058" s="82"/>
      <c r="U2058" s="82"/>
      <c r="V2058" s="82"/>
      <c r="W2058" s="82"/>
      <c r="X2058" s="82"/>
      <c r="Y2058" s="82"/>
      <c r="Z2058" s="82"/>
    </row>
    <row r="2059" spans="1:26">
      <c r="A2059" s="81"/>
      <c r="F2059" s="81"/>
      <c r="G2059" s="82"/>
      <c r="H2059" s="82"/>
      <c r="I2059" s="82"/>
      <c r="J2059" s="82"/>
      <c r="K2059" s="82"/>
      <c r="L2059" s="82"/>
      <c r="M2059" s="82"/>
      <c r="N2059" s="82"/>
      <c r="O2059" s="82"/>
      <c r="P2059" s="82"/>
      <c r="Q2059" s="82"/>
      <c r="R2059" s="82"/>
      <c r="S2059" s="82"/>
      <c r="T2059" s="82"/>
      <c r="U2059" s="82"/>
      <c r="V2059" s="82"/>
      <c r="W2059" s="82"/>
      <c r="X2059" s="82"/>
      <c r="Y2059" s="82"/>
      <c r="Z2059" s="82"/>
    </row>
    <row r="2060" spans="1:26">
      <c r="A2060" s="81"/>
      <c r="F2060" s="81"/>
      <c r="G2060" s="82"/>
      <c r="H2060" s="82"/>
      <c r="I2060" s="82"/>
      <c r="J2060" s="82"/>
      <c r="K2060" s="82"/>
      <c r="L2060" s="82"/>
      <c r="M2060" s="82"/>
      <c r="N2060" s="82"/>
      <c r="O2060" s="82"/>
      <c r="P2060" s="82"/>
      <c r="Q2060" s="82"/>
      <c r="R2060" s="82"/>
      <c r="S2060" s="82"/>
      <c r="T2060" s="82"/>
      <c r="U2060" s="82"/>
      <c r="V2060" s="82"/>
      <c r="W2060" s="82"/>
      <c r="X2060" s="82"/>
      <c r="Y2060" s="82"/>
      <c r="Z2060" s="82"/>
    </row>
    <row r="2061" spans="1:26">
      <c r="A2061" s="81"/>
      <c r="F2061" s="81"/>
      <c r="G2061" s="82"/>
      <c r="H2061" s="82"/>
      <c r="I2061" s="82"/>
      <c r="J2061" s="82"/>
      <c r="K2061" s="82"/>
      <c r="L2061" s="82"/>
      <c r="M2061" s="82"/>
      <c r="N2061" s="82"/>
      <c r="O2061" s="82"/>
      <c r="P2061" s="82"/>
      <c r="Q2061" s="82"/>
      <c r="R2061" s="82"/>
      <c r="S2061" s="82"/>
      <c r="T2061" s="82"/>
      <c r="U2061" s="82"/>
      <c r="V2061" s="82"/>
      <c r="W2061" s="82"/>
      <c r="X2061" s="82"/>
      <c r="Y2061" s="82"/>
      <c r="Z2061" s="82"/>
    </row>
    <row r="2062" spans="1:26">
      <c r="A2062" s="81"/>
      <c r="F2062" s="81"/>
      <c r="G2062" s="82"/>
      <c r="H2062" s="82"/>
      <c r="I2062" s="82"/>
      <c r="J2062" s="82"/>
      <c r="K2062" s="82"/>
      <c r="L2062" s="82"/>
      <c r="M2062" s="82"/>
      <c r="N2062" s="82"/>
      <c r="O2062" s="82"/>
      <c r="P2062" s="82"/>
      <c r="Q2062" s="82"/>
      <c r="R2062" s="82"/>
      <c r="S2062" s="82"/>
      <c r="T2062" s="82"/>
      <c r="U2062" s="82"/>
      <c r="V2062" s="82"/>
      <c r="W2062" s="82"/>
      <c r="X2062" s="82"/>
      <c r="Y2062" s="82"/>
      <c r="Z2062" s="82"/>
    </row>
    <row r="2063" spans="1:26">
      <c r="A2063" s="81"/>
      <c r="F2063" s="81"/>
      <c r="G2063" s="82"/>
      <c r="H2063" s="82"/>
      <c r="I2063" s="82"/>
      <c r="J2063" s="82"/>
      <c r="K2063" s="82"/>
      <c r="L2063" s="82"/>
      <c r="M2063" s="82"/>
      <c r="N2063" s="82"/>
      <c r="O2063" s="82"/>
      <c r="P2063" s="82"/>
      <c r="Q2063" s="82"/>
      <c r="R2063" s="82"/>
      <c r="S2063" s="82"/>
      <c r="T2063" s="82"/>
      <c r="U2063" s="82"/>
      <c r="V2063" s="82"/>
      <c r="W2063" s="82"/>
      <c r="X2063" s="82"/>
      <c r="Y2063" s="82"/>
      <c r="Z2063" s="82"/>
    </row>
    <row r="2064" spans="1:26">
      <c r="A2064" s="81"/>
      <c r="F2064" s="81"/>
      <c r="G2064" s="82"/>
      <c r="H2064" s="82"/>
      <c r="I2064" s="82"/>
      <c r="J2064" s="82"/>
      <c r="K2064" s="82"/>
      <c r="L2064" s="82"/>
      <c r="M2064" s="82"/>
      <c r="N2064" s="82"/>
      <c r="O2064" s="82"/>
      <c r="P2064" s="82"/>
      <c r="Q2064" s="82"/>
      <c r="R2064" s="82"/>
      <c r="S2064" s="82"/>
      <c r="T2064" s="82"/>
      <c r="U2064" s="82"/>
      <c r="V2064" s="82"/>
      <c r="W2064" s="82"/>
      <c r="X2064" s="82"/>
      <c r="Y2064" s="82"/>
      <c r="Z2064" s="82"/>
    </row>
    <row r="2065" spans="1:26">
      <c r="A2065" s="81"/>
      <c r="F2065" s="81"/>
      <c r="G2065" s="82"/>
      <c r="H2065" s="82"/>
      <c r="I2065" s="82"/>
      <c r="J2065" s="82"/>
      <c r="K2065" s="82"/>
      <c r="L2065" s="82"/>
      <c r="M2065" s="82"/>
      <c r="N2065" s="82"/>
      <c r="O2065" s="82"/>
      <c r="P2065" s="82"/>
      <c r="Q2065" s="82"/>
      <c r="R2065" s="82"/>
      <c r="S2065" s="82"/>
      <c r="T2065" s="82"/>
      <c r="U2065" s="82"/>
      <c r="V2065" s="82"/>
      <c r="W2065" s="82"/>
      <c r="X2065" s="82"/>
      <c r="Y2065" s="82"/>
      <c r="Z2065" s="82"/>
    </row>
    <row r="2066" spans="1:26">
      <c r="A2066" s="81"/>
      <c r="F2066" s="81"/>
      <c r="G2066" s="82"/>
      <c r="H2066" s="82"/>
      <c r="I2066" s="82"/>
      <c r="J2066" s="82"/>
      <c r="K2066" s="82"/>
      <c r="L2066" s="82"/>
      <c r="M2066" s="82"/>
      <c r="N2066" s="82"/>
      <c r="O2066" s="82"/>
      <c r="P2066" s="82"/>
      <c r="Q2066" s="82"/>
      <c r="R2066" s="82"/>
      <c r="S2066" s="82"/>
      <c r="T2066" s="82"/>
      <c r="U2066" s="82"/>
      <c r="V2066" s="82"/>
      <c r="W2066" s="82"/>
      <c r="X2066" s="82"/>
      <c r="Y2066" s="82"/>
      <c r="Z2066" s="82"/>
    </row>
    <row r="2067" spans="1:26">
      <c r="A2067" s="81"/>
      <c r="F2067" s="81"/>
      <c r="G2067" s="82"/>
      <c r="H2067" s="82"/>
      <c r="I2067" s="82"/>
      <c r="J2067" s="82"/>
      <c r="K2067" s="82"/>
      <c r="L2067" s="82"/>
      <c r="M2067" s="82"/>
      <c r="N2067" s="82"/>
      <c r="O2067" s="82"/>
      <c r="P2067" s="82"/>
      <c r="Q2067" s="82"/>
      <c r="R2067" s="82"/>
      <c r="S2067" s="82"/>
      <c r="T2067" s="82"/>
      <c r="U2067" s="82"/>
      <c r="V2067" s="82"/>
      <c r="W2067" s="82"/>
      <c r="X2067" s="82"/>
      <c r="Y2067" s="82"/>
      <c r="Z2067" s="82"/>
    </row>
    <row r="2068" spans="1:26">
      <c r="A2068" s="81"/>
      <c r="F2068" s="81"/>
      <c r="G2068" s="82"/>
      <c r="H2068" s="82"/>
      <c r="I2068" s="82"/>
      <c r="J2068" s="82"/>
      <c r="K2068" s="82"/>
      <c r="L2068" s="82"/>
      <c r="M2068" s="82"/>
      <c r="N2068" s="82"/>
      <c r="O2068" s="82"/>
      <c r="P2068" s="82"/>
      <c r="Q2068" s="82"/>
      <c r="R2068" s="82"/>
      <c r="S2068" s="82"/>
      <c r="T2068" s="82"/>
      <c r="U2068" s="82"/>
      <c r="V2068" s="82"/>
      <c r="W2068" s="82"/>
      <c r="X2068" s="82"/>
      <c r="Y2068" s="82"/>
      <c r="Z2068" s="82"/>
    </row>
    <row r="2069" spans="1:26">
      <c r="A2069" s="81"/>
      <c r="F2069" s="81"/>
      <c r="G2069" s="82"/>
      <c r="H2069" s="82"/>
      <c r="I2069" s="82"/>
      <c r="J2069" s="82"/>
      <c r="K2069" s="82"/>
      <c r="L2069" s="82"/>
      <c r="M2069" s="82"/>
      <c r="N2069" s="82"/>
      <c r="O2069" s="82"/>
      <c r="P2069" s="82"/>
      <c r="Q2069" s="82"/>
      <c r="R2069" s="82"/>
      <c r="S2069" s="82"/>
      <c r="T2069" s="82"/>
      <c r="U2069" s="82"/>
      <c r="V2069" s="82"/>
      <c r="W2069" s="82"/>
      <c r="X2069" s="82"/>
      <c r="Y2069" s="82"/>
      <c r="Z2069" s="82"/>
    </row>
    <row r="2070" spans="1:26">
      <c r="A2070" s="81"/>
      <c r="F2070" s="81"/>
      <c r="G2070" s="82"/>
      <c r="H2070" s="82"/>
      <c r="I2070" s="82"/>
      <c r="J2070" s="82"/>
      <c r="K2070" s="82"/>
      <c r="L2070" s="82"/>
      <c r="M2070" s="82"/>
      <c r="N2070" s="82"/>
      <c r="O2070" s="82"/>
      <c r="P2070" s="82"/>
      <c r="Q2070" s="82"/>
      <c r="R2070" s="82"/>
      <c r="S2070" s="82"/>
      <c r="T2070" s="82"/>
      <c r="U2070" s="82"/>
      <c r="V2070" s="82"/>
      <c r="W2070" s="82"/>
      <c r="X2070" s="82"/>
      <c r="Y2070" s="82"/>
      <c r="Z2070" s="82"/>
    </row>
    <row r="2071" spans="1:26">
      <c r="A2071" s="81"/>
      <c r="F2071" s="81"/>
      <c r="G2071" s="82"/>
      <c r="H2071" s="82"/>
      <c r="I2071" s="82"/>
      <c r="J2071" s="82"/>
      <c r="K2071" s="82"/>
      <c r="L2071" s="82"/>
      <c r="M2071" s="82"/>
      <c r="N2071" s="82"/>
      <c r="O2071" s="82"/>
      <c r="P2071" s="82"/>
      <c r="Q2071" s="82"/>
      <c r="R2071" s="82"/>
      <c r="S2071" s="82"/>
      <c r="T2071" s="82"/>
      <c r="U2071" s="82"/>
      <c r="V2071" s="82"/>
      <c r="W2071" s="82"/>
      <c r="X2071" s="82"/>
      <c r="Y2071" s="82"/>
      <c r="Z2071" s="82"/>
    </row>
    <row r="2072" spans="1:26">
      <c r="A2072" s="81"/>
      <c r="F2072" s="81"/>
      <c r="G2072" s="82"/>
      <c r="H2072" s="82"/>
      <c r="I2072" s="82"/>
      <c r="J2072" s="82"/>
      <c r="K2072" s="82"/>
      <c r="L2072" s="82"/>
      <c r="M2072" s="82"/>
      <c r="N2072" s="82"/>
      <c r="O2072" s="82"/>
      <c r="P2072" s="82"/>
      <c r="Q2072" s="82"/>
      <c r="R2072" s="82"/>
      <c r="S2072" s="82"/>
      <c r="T2072" s="82"/>
      <c r="U2072" s="82"/>
      <c r="V2072" s="82"/>
      <c r="W2072" s="82"/>
      <c r="X2072" s="82"/>
      <c r="Y2072" s="82"/>
      <c r="Z2072" s="82"/>
    </row>
    <row r="2073" spans="1:26">
      <c r="A2073" s="81"/>
      <c r="F2073" s="81"/>
      <c r="G2073" s="82"/>
      <c r="H2073" s="82"/>
      <c r="I2073" s="82"/>
      <c r="J2073" s="82"/>
      <c r="K2073" s="82"/>
      <c r="L2073" s="82"/>
      <c r="M2073" s="82"/>
      <c r="N2073" s="82"/>
      <c r="O2073" s="82"/>
      <c r="P2073" s="82"/>
      <c r="Q2073" s="82"/>
      <c r="R2073" s="82"/>
      <c r="S2073" s="82"/>
      <c r="T2073" s="82"/>
      <c r="U2073" s="82"/>
      <c r="V2073" s="82"/>
      <c r="W2073" s="82"/>
      <c r="X2073" s="82"/>
      <c r="Y2073" s="82"/>
      <c r="Z2073" s="82"/>
    </row>
    <row r="2074" spans="1:26">
      <c r="A2074" s="81"/>
      <c r="F2074" s="81"/>
      <c r="G2074" s="82"/>
      <c r="H2074" s="82"/>
      <c r="I2074" s="82"/>
      <c r="J2074" s="82"/>
      <c r="K2074" s="82"/>
      <c r="L2074" s="82"/>
      <c r="M2074" s="82"/>
      <c r="N2074" s="82"/>
      <c r="O2074" s="82"/>
      <c r="P2074" s="82"/>
      <c r="Q2074" s="82"/>
      <c r="R2074" s="82"/>
      <c r="S2074" s="82"/>
      <c r="T2074" s="82"/>
      <c r="U2074" s="82"/>
      <c r="V2074" s="82"/>
      <c r="W2074" s="82"/>
      <c r="X2074" s="82"/>
      <c r="Y2074" s="82"/>
      <c r="Z2074" s="82"/>
    </row>
    <row r="2075" spans="1:26">
      <c r="A2075" s="81"/>
      <c r="F2075" s="81"/>
      <c r="G2075" s="82"/>
      <c r="H2075" s="82"/>
      <c r="I2075" s="82"/>
      <c r="J2075" s="82"/>
      <c r="K2075" s="82"/>
      <c r="L2075" s="82"/>
      <c r="M2075" s="82"/>
      <c r="N2075" s="82"/>
      <c r="O2075" s="82"/>
      <c r="P2075" s="82"/>
      <c r="Q2075" s="82"/>
      <c r="R2075" s="82"/>
      <c r="S2075" s="82"/>
      <c r="T2075" s="82"/>
      <c r="U2075" s="82"/>
      <c r="V2075" s="82"/>
      <c r="W2075" s="82"/>
      <c r="X2075" s="82"/>
      <c r="Y2075" s="82"/>
      <c r="Z2075" s="82"/>
    </row>
    <row r="2076" spans="1:26">
      <c r="A2076" s="81"/>
      <c r="F2076" s="81"/>
      <c r="G2076" s="82"/>
      <c r="H2076" s="82"/>
      <c r="I2076" s="82"/>
      <c r="J2076" s="82"/>
      <c r="K2076" s="82"/>
      <c r="L2076" s="82"/>
      <c r="M2076" s="82"/>
      <c r="N2076" s="82"/>
      <c r="O2076" s="82"/>
      <c r="P2076" s="82"/>
      <c r="Q2076" s="82"/>
      <c r="R2076" s="82"/>
      <c r="S2076" s="82"/>
      <c r="T2076" s="82"/>
      <c r="U2076" s="82"/>
      <c r="V2076" s="82"/>
      <c r="W2076" s="82"/>
      <c r="X2076" s="82"/>
      <c r="Y2076" s="82"/>
      <c r="Z2076" s="82"/>
    </row>
    <row r="2077" spans="1:26">
      <c r="A2077" s="81"/>
      <c r="F2077" s="81"/>
      <c r="G2077" s="82"/>
      <c r="H2077" s="82"/>
      <c r="I2077" s="82"/>
      <c r="J2077" s="82"/>
      <c r="K2077" s="82"/>
      <c r="L2077" s="82"/>
      <c r="M2077" s="82"/>
      <c r="N2077" s="82"/>
      <c r="O2077" s="82"/>
      <c r="P2077" s="82"/>
      <c r="Q2077" s="82"/>
      <c r="R2077" s="82"/>
      <c r="S2077" s="82"/>
      <c r="T2077" s="82"/>
      <c r="U2077" s="82"/>
      <c r="V2077" s="82"/>
      <c r="W2077" s="82"/>
      <c r="X2077" s="82"/>
      <c r="Y2077" s="82"/>
      <c r="Z2077" s="82"/>
    </row>
    <row r="2078" spans="1:26">
      <c r="A2078" s="81"/>
      <c r="F2078" s="81"/>
      <c r="G2078" s="82"/>
      <c r="H2078" s="82"/>
      <c r="I2078" s="82"/>
      <c r="J2078" s="82"/>
      <c r="K2078" s="82"/>
      <c r="L2078" s="82"/>
      <c r="M2078" s="82"/>
      <c r="N2078" s="82"/>
      <c r="O2078" s="82"/>
      <c r="P2078" s="82"/>
      <c r="Q2078" s="82"/>
      <c r="R2078" s="82"/>
      <c r="S2078" s="82"/>
      <c r="T2078" s="82"/>
      <c r="U2078" s="82"/>
      <c r="V2078" s="82"/>
      <c r="W2078" s="82"/>
      <c r="X2078" s="82"/>
      <c r="Y2078" s="82"/>
      <c r="Z2078" s="82"/>
    </row>
    <row r="2079" spans="1:26">
      <c r="A2079" s="81"/>
      <c r="F2079" s="81"/>
      <c r="G2079" s="82"/>
      <c r="H2079" s="82"/>
      <c r="I2079" s="82"/>
      <c r="J2079" s="82"/>
      <c r="K2079" s="82"/>
      <c r="L2079" s="82"/>
      <c r="M2079" s="82"/>
      <c r="N2079" s="82"/>
      <c r="O2079" s="82"/>
      <c r="P2079" s="82"/>
      <c r="Q2079" s="82"/>
      <c r="R2079" s="82"/>
      <c r="S2079" s="82"/>
      <c r="T2079" s="82"/>
      <c r="U2079" s="82"/>
      <c r="V2079" s="82"/>
      <c r="W2079" s="82"/>
      <c r="X2079" s="82"/>
      <c r="Y2079" s="82"/>
      <c r="Z2079" s="82"/>
    </row>
    <row r="2080" spans="1:26">
      <c r="A2080" s="81"/>
      <c r="F2080" s="81"/>
      <c r="G2080" s="82"/>
      <c r="H2080" s="82"/>
      <c r="I2080" s="82"/>
      <c r="J2080" s="82"/>
      <c r="K2080" s="82"/>
      <c r="L2080" s="82"/>
      <c r="M2080" s="82"/>
      <c r="N2080" s="82"/>
      <c r="O2080" s="82"/>
      <c r="P2080" s="82"/>
      <c r="Q2080" s="82"/>
      <c r="R2080" s="82"/>
      <c r="S2080" s="82"/>
      <c r="T2080" s="82"/>
      <c r="U2080" s="82"/>
      <c r="V2080" s="82"/>
      <c r="W2080" s="82"/>
      <c r="X2080" s="82"/>
      <c r="Y2080" s="82"/>
      <c r="Z2080" s="82"/>
    </row>
    <row r="2081" spans="1:26">
      <c r="A2081" s="81"/>
      <c r="F2081" s="81"/>
      <c r="G2081" s="82"/>
      <c r="H2081" s="82"/>
      <c r="I2081" s="82"/>
      <c r="J2081" s="82"/>
      <c r="K2081" s="82"/>
      <c r="L2081" s="82"/>
      <c r="M2081" s="82"/>
      <c r="N2081" s="82"/>
      <c r="O2081" s="82"/>
      <c r="P2081" s="82"/>
      <c r="Q2081" s="82"/>
      <c r="R2081" s="82"/>
      <c r="S2081" s="82"/>
      <c r="T2081" s="82"/>
      <c r="U2081" s="82"/>
      <c r="V2081" s="82"/>
      <c r="W2081" s="82"/>
      <c r="X2081" s="82"/>
      <c r="Y2081" s="82"/>
      <c r="Z2081" s="82"/>
    </row>
    <row r="2082" spans="1:26">
      <c r="A2082" s="81"/>
      <c r="F2082" s="81"/>
      <c r="G2082" s="82"/>
      <c r="H2082" s="82"/>
      <c r="I2082" s="82"/>
      <c r="J2082" s="82"/>
      <c r="K2082" s="82"/>
      <c r="L2082" s="82"/>
      <c r="M2082" s="82"/>
      <c r="N2082" s="82"/>
      <c r="O2082" s="82"/>
      <c r="P2082" s="82"/>
      <c r="Q2082" s="82"/>
      <c r="R2082" s="82"/>
      <c r="S2082" s="82"/>
      <c r="T2082" s="82"/>
      <c r="U2082" s="82"/>
      <c r="V2082" s="82"/>
      <c r="W2082" s="82"/>
      <c r="X2082" s="82"/>
      <c r="Y2082" s="82"/>
      <c r="Z2082" s="82"/>
    </row>
    <row r="2083" spans="1:26">
      <c r="A2083" s="81"/>
      <c r="F2083" s="81"/>
      <c r="G2083" s="82"/>
      <c r="H2083" s="82"/>
      <c r="I2083" s="82"/>
      <c r="J2083" s="82"/>
      <c r="K2083" s="82"/>
      <c r="L2083" s="82"/>
      <c r="M2083" s="82"/>
      <c r="N2083" s="82"/>
      <c r="O2083" s="82"/>
      <c r="P2083" s="82"/>
      <c r="Q2083" s="82"/>
      <c r="R2083" s="82"/>
      <c r="S2083" s="82"/>
      <c r="T2083" s="82"/>
      <c r="U2083" s="82"/>
      <c r="V2083" s="82"/>
      <c r="W2083" s="82"/>
      <c r="X2083" s="82"/>
      <c r="Y2083" s="82"/>
      <c r="Z2083" s="82"/>
    </row>
    <row r="2084" spans="1:26">
      <c r="A2084" s="81"/>
      <c r="F2084" s="81"/>
      <c r="G2084" s="82"/>
      <c r="H2084" s="82"/>
      <c r="I2084" s="82"/>
      <c r="J2084" s="82"/>
      <c r="K2084" s="82"/>
      <c r="L2084" s="82"/>
      <c r="M2084" s="82"/>
      <c r="N2084" s="82"/>
      <c r="O2084" s="82"/>
      <c r="P2084" s="82"/>
      <c r="Q2084" s="82"/>
      <c r="R2084" s="82"/>
      <c r="S2084" s="82"/>
      <c r="T2084" s="82"/>
      <c r="U2084" s="82"/>
      <c r="V2084" s="82"/>
      <c r="W2084" s="82"/>
      <c r="X2084" s="82"/>
      <c r="Y2084" s="82"/>
      <c r="Z2084" s="82"/>
    </row>
    <row r="2085" spans="1:26">
      <c r="A2085" s="81"/>
      <c r="F2085" s="81"/>
      <c r="G2085" s="82"/>
      <c r="H2085" s="82"/>
      <c r="I2085" s="82"/>
      <c r="J2085" s="82"/>
      <c r="K2085" s="82"/>
      <c r="L2085" s="82"/>
      <c r="M2085" s="82"/>
      <c r="N2085" s="82"/>
      <c r="O2085" s="82"/>
      <c r="P2085" s="82"/>
      <c r="Q2085" s="82"/>
      <c r="R2085" s="82"/>
      <c r="S2085" s="82"/>
      <c r="T2085" s="82"/>
      <c r="U2085" s="82"/>
      <c r="V2085" s="82"/>
      <c r="W2085" s="82"/>
      <c r="X2085" s="82"/>
      <c r="Y2085" s="82"/>
      <c r="Z2085" s="82"/>
    </row>
    <row r="2086" spans="1:26">
      <c r="A2086" s="81"/>
      <c r="F2086" s="81"/>
      <c r="G2086" s="82"/>
      <c r="H2086" s="82"/>
      <c r="I2086" s="82"/>
      <c r="J2086" s="82"/>
      <c r="K2086" s="82"/>
      <c r="L2086" s="82"/>
      <c r="M2086" s="82"/>
      <c r="N2086" s="82"/>
      <c r="O2086" s="82"/>
      <c r="P2086" s="82"/>
      <c r="Q2086" s="82"/>
      <c r="R2086" s="82"/>
      <c r="S2086" s="82"/>
      <c r="T2086" s="82"/>
      <c r="U2086" s="82"/>
      <c r="V2086" s="82"/>
      <c r="W2086" s="82"/>
      <c r="X2086" s="82"/>
      <c r="Y2086" s="82"/>
      <c r="Z2086" s="82"/>
    </row>
    <row r="2087" spans="1:26">
      <c r="A2087" s="81"/>
      <c r="F2087" s="81"/>
      <c r="G2087" s="82"/>
      <c r="H2087" s="82"/>
      <c r="I2087" s="82"/>
      <c r="J2087" s="82"/>
      <c r="K2087" s="82"/>
      <c r="L2087" s="82"/>
      <c r="M2087" s="82"/>
      <c r="N2087" s="82"/>
      <c r="O2087" s="82"/>
      <c r="P2087" s="82"/>
      <c r="Q2087" s="82"/>
      <c r="R2087" s="82"/>
      <c r="S2087" s="82"/>
      <c r="T2087" s="82"/>
      <c r="U2087" s="82"/>
      <c r="V2087" s="82"/>
      <c r="W2087" s="82"/>
      <c r="X2087" s="82"/>
      <c r="Y2087" s="82"/>
      <c r="Z2087" s="82"/>
    </row>
    <row r="2088" spans="1:26">
      <c r="A2088" s="81"/>
      <c r="F2088" s="81"/>
      <c r="G2088" s="82"/>
      <c r="H2088" s="82"/>
      <c r="I2088" s="82"/>
      <c r="J2088" s="82"/>
      <c r="K2088" s="82"/>
      <c r="L2088" s="82"/>
      <c r="M2088" s="82"/>
      <c r="N2088" s="82"/>
      <c r="O2088" s="82"/>
      <c r="P2088" s="82"/>
      <c r="Q2088" s="82"/>
      <c r="R2088" s="82"/>
      <c r="S2088" s="82"/>
      <c r="T2088" s="82"/>
      <c r="U2088" s="82"/>
      <c r="V2088" s="82"/>
      <c r="W2088" s="82"/>
      <c r="X2088" s="82"/>
      <c r="Y2088" s="82"/>
      <c r="Z2088" s="82"/>
    </row>
    <row r="2089" spans="1:26">
      <c r="A2089" s="81"/>
      <c r="F2089" s="81"/>
      <c r="G2089" s="82"/>
      <c r="H2089" s="82"/>
      <c r="I2089" s="82"/>
      <c r="J2089" s="82"/>
      <c r="K2089" s="82"/>
      <c r="L2089" s="82"/>
      <c r="M2089" s="82"/>
      <c r="N2089" s="82"/>
      <c r="O2089" s="82"/>
      <c r="P2089" s="82"/>
      <c r="Q2089" s="82"/>
      <c r="R2089" s="82"/>
      <c r="S2089" s="82"/>
      <c r="T2089" s="82"/>
      <c r="U2089" s="82"/>
      <c r="V2089" s="82"/>
      <c r="W2089" s="82"/>
      <c r="X2089" s="82"/>
      <c r="Y2089" s="82"/>
      <c r="Z2089" s="82"/>
    </row>
    <row r="2090" spans="1:26">
      <c r="A2090" s="81"/>
      <c r="F2090" s="81"/>
      <c r="G2090" s="82"/>
      <c r="H2090" s="82"/>
      <c r="I2090" s="82"/>
      <c r="J2090" s="82"/>
      <c r="K2090" s="82"/>
      <c r="L2090" s="82"/>
      <c r="M2090" s="82"/>
      <c r="N2090" s="82"/>
      <c r="O2090" s="82"/>
      <c r="P2090" s="82"/>
      <c r="Q2090" s="82"/>
      <c r="R2090" s="82"/>
      <c r="S2090" s="82"/>
      <c r="T2090" s="82"/>
      <c r="U2090" s="82"/>
      <c r="V2090" s="82"/>
      <c r="W2090" s="82"/>
      <c r="X2090" s="82"/>
      <c r="Y2090" s="82"/>
      <c r="Z2090" s="82"/>
    </row>
    <row r="2091" spans="1:26">
      <c r="A2091" s="81"/>
      <c r="F2091" s="81"/>
      <c r="G2091" s="82"/>
      <c r="H2091" s="82"/>
      <c r="I2091" s="82"/>
      <c r="J2091" s="82"/>
      <c r="K2091" s="82"/>
      <c r="L2091" s="82"/>
      <c r="M2091" s="82"/>
      <c r="N2091" s="82"/>
      <c r="O2091" s="82"/>
      <c r="P2091" s="82"/>
      <c r="Q2091" s="82"/>
      <c r="R2091" s="82"/>
      <c r="S2091" s="82"/>
      <c r="T2091" s="82"/>
      <c r="U2091" s="82"/>
      <c r="V2091" s="82"/>
      <c r="W2091" s="82"/>
      <c r="X2091" s="82"/>
      <c r="Y2091" s="82"/>
      <c r="Z2091" s="82"/>
    </row>
    <row r="2092" spans="1:26">
      <c r="A2092" s="81"/>
      <c r="F2092" s="81"/>
      <c r="G2092" s="82"/>
      <c r="H2092" s="82"/>
      <c r="I2092" s="82"/>
      <c r="J2092" s="82"/>
      <c r="K2092" s="82"/>
      <c r="L2092" s="82"/>
      <c r="M2092" s="82"/>
      <c r="N2092" s="82"/>
      <c r="O2092" s="82"/>
      <c r="P2092" s="82"/>
      <c r="Q2092" s="82"/>
      <c r="R2092" s="82"/>
      <c r="S2092" s="82"/>
      <c r="T2092" s="82"/>
      <c r="U2092" s="82"/>
      <c r="V2092" s="82"/>
      <c r="W2092" s="82"/>
      <c r="X2092" s="82"/>
      <c r="Y2092" s="82"/>
      <c r="Z2092" s="82"/>
    </row>
    <row r="2093" spans="1:26">
      <c r="A2093" s="81"/>
      <c r="F2093" s="81"/>
      <c r="G2093" s="82"/>
      <c r="H2093" s="82"/>
      <c r="I2093" s="82"/>
      <c r="J2093" s="82"/>
      <c r="K2093" s="82"/>
      <c r="L2093" s="82"/>
      <c r="M2093" s="82"/>
      <c r="N2093" s="82"/>
      <c r="O2093" s="82"/>
      <c r="P2093" s="82"/>
      <c r="Q2093" s="82"/>
      <c r="R2093" s="82"/>
      <c r="S2093" s="82"/>
      <c r="T2093" s="82"/>
      <c r="U2093" s="82"/>
      <c r="V2093" s="82"/>
      <c r="W2093" s="82"/>
      <c r="X2093" s="82"/>
      <c r="Y2093" s="82"/>
      <c r="Z2093" s="82"/>
    </row>
    <row r="2094" spans="1:26">
      <c r="A2094" s="81"/>
      <c r="F2094" s="81"/>
      <c r="G2094" s="82"/>
      <c r="H2094" s="82"/>
      <c r="I2094" s="82"/>
      <c r="J2094" s="82"/>
      <c r="K2094" s="82"/>
      <c r="L2094" s="82"/>
      <c r="M2094" s="82"/>
      <c r="N2094" s="82"/>
      <c r="O2094" s="82"/>
      <c r="P2094" s="82"/>
      <c r="Q2094" s="82"/>
      <c r="R2094" s="82"/>
      <c r="S2094" s="82"/>
      <c r="T2094" s="82"/>
      <c r="U2094" s="82"/>
      <c r="V2094" s="82"/>
      <c r="W2094" s="82"/>
      <c r="X2094" s="82"/>
      <c r="Y2094" s="82"/>
      <c r="Z2094" s="82"/>
    </row>
    <row r="2095" spans="1:26">
      <c r="A2095" s="81"/>
      <c r="F2095" s="81"/>
      <c r="G2095" s="82"/>
      <c r="H2095" s="82"/>
      <c r="I2095" s="82"/>
      <c r="J2095" s="82"/>
      <c r="K2095" s="82"/>
      <c r="L2095" s="82"/>
      <c r="M2095" s="82"/>
      <c r="N2095" s="82"/>
      <c r="O2095" s="82"/>
      <c r="P2095" s="82"/>
      <c r="Q2095" s="82"/>
      <c r="R2095" s="82"/>
      <c r="S2095" s="82"/>
      <c r="T2095" s="82"/>
      <c r="U2095" s="82"/>
      <c r="V2095" s="82"/>
      <c r="W2095" s="82"/>
      <c r="X2095" s="82"/>
      <c r="Y2095" s="82"/>
      <c r="Z2095" s="82"/>
    </row>
    <row r="2096" spans="1:26">
      <c r="A2096" s="81"/>
      <c r="F2096" s="81"/>
      <c r="G2096" s="82"/>
      <c r="H2096" s="82"/>
      <c r="I2096" s="82"/>
      <c r="J2096" s="82"/>
      <c r="K2096" s="82"/>
      <c r="L2096" s="82"/>
      <c r="M2096" s="82"/>
      <c r="N2096" s="82"/>
      <c r="O2096" s="82"/>
      <c r="P2096" s="82"/>
      <c r="Q2096" s="82"/>
      <c r="R2096" s="82"/>
      <c r="S2096" s="82"/>
      <c r="T2096" s="82"/>
      <c r="U2096" s="82"/>
      <c r="V2096" s="82"/>
      <c r="W2096" s="82"/>
      <c r="X2096" s="82"/>
      <c r="Y2096" s="82"/>
      <c r="Z2096" s="82"/>
    </row>
    <row r="2097" spans="1:26">
      <c r="A2097" s="81"/>
      <c r="F2097" s="81"/>
      <c r="G2097" s="82"/>
      <c r="H2097" s="82"/>
      <c r="I2097" s="82"/>
      <c r="J2097" s="82"/>
      <c r="K2097" s="82"/>
      <c r="L2097" s="82"/>
      <c r="M2097" s="82"/>
      <c r="N2097" s="82"/>
      <c r="O2097" s="82"/>
      <c r="P2097" s="82"/>
      <c r="Q2097" s="82"/>
      <c r="R2097" s="82"/>
      <c r="S2097" s="82"/>
      <c r="T2097" s="82"/>
      <c r="U2097" s="82"/>
      <c r="V2097" s="82"/>
      <c r="W2097" s="82"/>
      <c r="X2097" s="82"/>
      <c r="Y2097" s="82"/>
      <c r="Z2097" s="82"/>
    </row>
    <row r="2098" spans="1:26">
      <c r="A2098" s="81"/>
      <c r="F2098" s="81"/>
      <c r="G2098" s="82"/>
      <c r="H2098" s="82"/>
      <c r="I2098" s="82"/>
      <c r="J2098" s="82"/>
      <c r="K2098" s="82"/>
      <c r="L2098" s="82"/>
      <c r="M2098" s="82"/>
      <c r="N2098" s="82"/>
      <c r="O2098" s="82"/>
      <c r="P2098" s="82"/>
      <c r="Q2098" s="82"/>
      <c r="R2098" s="82"/>
      <c r="S2098" s="82"/>
      <c r="T2098" s="82"/>
      <c r="U2098" s="82"/>
      <c r="V2098" s="82"/>
      <c r="W2098" s="82"/>
      <c r="X2098" s="82"/>
      <c r="Y2098" s="82"/>
      <c r="Z2098" s="82"/>
    </row>
    <row r="2099" spans="1:26">
      <c r="A2099" s="81"/>
      <c r="F2099" s="81"/>
      <c r="G2099" s="82"/>
      <c r="H2099" s="82"/>
      <c r="I2099" s="82"/>
      <c r="J2099" s="82"/>
      <c r="K2099" s="82"/>
      <c r="L2099" s="82"/>
      <c r="M2099" s="82"/>
      <c r="N2099" s="82"/>
      <c r="O2099" s="82"/>
      <c r="P2099" s="82"/>
      <c r="Q2099" s="82"/>
      <c r="R2099" s="82"/>
      <c r="S2099" s="82"/>
      <c r="T2099" s="82"/>
      <c r="U2099" s="82"/>
      <c r="V2099" s="82"/>
      <c r="W2099" s="82"/>
      <c r="X2099" s="82"/>
      <c r="Y2099" s="82"/>
      <c r="Z2099" s="82"/>
    </row>
    <row r="2100" spans="1:26">
      <c r="A2100" s="81"/>
      <c r="F2100" s="81"/>
      <c r="G2100" s="82"/>
      <c r="H2100" s="82"/>
      <c r="I2100" s="82"/>
      <c r="J2100" s="82"/>
      <c r="K2100" s="82"/>
      <c r="L2100" s="82"/>
      <c r="M2100" s="82"/>
      <c r="N2100" s="82"/>
      <c r="O2100" s="82"/>
      <c r="P2100" s="82"/>
      <c r="Q2100" s="82"/>
      <c r="R2100" s="82"/>
      <c r="S2100" s="82"/>
      <c r="T2100" s="82"/>
      <c r="U2100" s="82"/>
      <c r="V2100" s="82"/>
      <c r="W2100" s="82"/>
      <c r="X2100" s="82"/>
      <c r="Y2100" s="82"/>
      <c r="Z2100" s="82"/>
    </row>
    <row r="2101" spans="1:26">
      <c r="A2101" s="81"/>
      <c r="F2101" s="81"/>
      <c r="G2101" s="82"/>
      <c r="H2101" s="82"/>
      <c r="I2101" s="82"/>
      <c r="J2101" s="82"/>
      <c r="K2101" s="82"/>
      <c r="L2101" s="82"/>
      <c r="M2101" s="82"/>
      <c r="N2101" s="82"/>
      <c r="O2101" s="82"/>
      <c r="P2101" s="82"/>
      <c r="Q2101" s="82"/>
      <c r="R2101" s="82"/>
      <c r="S2101" s="82"/>
      <c r="T2101" s="82"/>
      <c r="U2101" s="82"/>
      <c r="V2101" s="82"/>
      <c r="W2101" s="82"/>
      <c r="X2101" s="82"/>
      <c r="Y2101" s="82"/>
      <c r="Z2101" s="82"/>
    </row>
    <row r="2102" spans="1:26">
      <c r="A2102" s="81"/>
      <c r="F2102" s="81"/>
      <c r="G2102" s="82"/>
      <c r="H2102" s="82"/>
      <c r="I2102" s="82"/>
      <c r="J2102" s="82"/>
      <c r="K2102" s="82"/>
      <c r="L2102" s="82"/>
      <c r="M2102" s="82"/>
      <c r="N2102" s="82"/>
      <c r="O2102" s="82"/>
      <c r="P2102" s="82"/>
      <c r="Q2102" s="82"/>
      <c r="R2102" s="82"/>
      <c r="S2102" s="82"/>
      <c r="T2102" s="82"/>
      <c r="U2102" s="82"/>
      <c r="V2102" s="82"/>
      <c r="W2102" s="82"/>
      <c r="X2102" s="82"/>
      <c r="Y2102" s="82"/>
      <c r="Z2102" s="82"/>
    </row>
    <row r="2103" spans="1:26">
      <c r="A2103" s="81"/>
      <c r="F2103" s="81"/>
      <c r="G2103" s="82"/>
      <c r="H2103" s="82"/>
      <c r="I2103" s="82"/>
      <c r="J2103" s="82"/>
      <c r="K2103" s="82"/>
      <c r="L2103" s="82"/>
      <c r="M2103" s="82"/>
      <c r="N2103" s="82"/>
      <c r="O2103" s="82"/>
      <c r="P2103" s="82"/>
      <c r="Q2103" s="82"/>
      <c r="R2103" s="82"/>
      <c r="S2103" s="82"/>
      <c r="T2103" s="82"/>
      <c r="U2103" s="82"/>
      <c r="V2103" s="82"/>
      <c r="W2103" s="82"/>
      <c r="X2103" s="82"/>
      <c r="Y2103" s="82"/>
      <c r="Z2103" s="82"/>
    </row>
    <row r="2104" spans="1:26">
      <c r="A2104" s="81"/>
      <c r="F2104" s="81"/>
      <c r="G2104" s="82"/>
      <c r="H2104" s="82"/>
      <c r="I2104" s="82"/>
      <c r="J2104" s="82"/>
      <c r="K2104" s="82"/>
      <c r="L2104" s="82"/>
      <c r="M2104" s="82"/>
      <c r="N2104" s="82"/>
      <c r="O2104" s="82"/>
      <c r="P2104" s="82"/>
      <c r="Q2104" s="82"/>
      <c r="R2104" s="82"/>
      <c r="S2104" s="82"/>
      <c r="T2104" s="82"/>
      <c r="U2104" s="82"/>
      <c r="V2104" s="82"/>
      <c r="W2104" s="82"/>
      <c r="X2104" s="82"/>
      <c r="Y2104" s="82"/>
      <c r="Z2104" s="82"/>
    </row>
    <row r="2105" spans="1:26">
      <c r="A2105" s="81"/>
      <c r="F2105" s="81"/>
      <c r="G2105" s="82"/>
      <c r="H2105" s="82"/>
      <c r="I2105" s="82"/>
      <c r="J2105" s="82"/>
      <c r="K2105" s="82"/>
      <c r="L2105" s="82"/>
      <c r="M2105" s="82"/>
      <c r="N2105" s="82"/>
      <c r="O2105" s="82"/>
      <c r="P2105" s="82"/>
      <c r="Q2105" s="82"/>
      <c r="R2105" s="82"/>
      <c r="S2105" s="82"/>
      <c r="T2105" s="82"/>
      <c r="U2105" s="82"/>
      <c r="V2105" s="82"/>
      <c r="W2105" s="82"/>
      <c r="X2105" s="82"/>
      <c r="Y2105" s="82"/>
      <c r="Z2105" s="82"/>
    </row>
    <row r="2106" spans="1:26">
      <c r="A2106" s="81"/>
      <c r="F2106" s="81"/>
      <c r="G2106" s="82"/>
      <c r="H2106" s="82"/>
      <c r="I2106" s="82"/>
      <c r="J2106" s="82"/>
      <c r="K2106" s="82"/>
      <c r="L2106" s="82"/>
      <c r="M2106" s="82"/>
      <c r="N2106" s="82"/>
      <c r="O2106" s="82"/>
      <c r="P2106" s="82"/>
      <c r="Q2106" s="82"/>
      <c r="R2106" s="82"/>
      <c r="S2106" s="82"/>
      <c r="T2106" s="82"/>
      <c r="U2106" s="82"/>
      <c r="V2106" s="82"/>
      <c r="W2106" s="82"/>
      <c r="X2106" s="82"/>
      <c r="Y2106" s="82"/>
      <c r="Z2106" s="82"/>
    </row>
    <row r="2107" spans="1:26">
      <c r="A2107" s="81"/>
      <c r="F2107" s="81"/>
      <c r="G2107" s="82"/>
      <c r="H2107" s="82"/>
      <c r="I2107" s="82"/>
      <c r="J2107" s="82"/>
      <c r="K2107" s="82"/>
      <c r="L2107" s="82"/>
      <c r="M2107" s="82"/>
      <c r="N2107" s="82"/>
      <c r="O2107" s="82"/>
      <c r="P2107" s="82"/>
      <c r="Q2107" s="82"/>
      <c r="R2107" s="82"/>
      <c r="S2107" s="82"/>
      <c r="T2107" s="82"/>
      <c r="U2107" s="82"/>
      <c r="V2107" s="82"/>
      <c r="W2107" s="82"/>
      <c r="X2107" s="82"/>
      <c r="Y2107" s="82"/>
      <c r="Z2107" s="82"/>
    </row>
    <row r="2108" spans="1:26">
      <c r="A2108" s="81"/>
      <c r="F2108" s="81"/>
      <c r="G2108" s="82"/>
      <c r="H2108" s="82"/>
      <c r="I2108" s="82"/>
      <c r="J2108" s="82"/>
      <c r="K2108" s="82"/>
      <c r="L2108" s="82"/>
      <c r="M2108" s="82"/>
      <c r="N2108" s="82"/>
      <c r="O2108" s="82"/>
      <c r="P2108" s="82"/>
      <c r="Q2108" s="82"/>
      <c r="R2108" s="82"/>
      <c r="S2108" s="82"/>
      <c r="T2108" s="82"/>
      <c r="U2108" s="82"/>
      <c r="V2108" s="82"/>
      <c r="W2108" s="82"/>
      <c r="X2108" s="82"/>
      <c r="Y2108" s="82"/>
      <c r="Z2108" s="82"/>
    </row>
    <row r="2109" spans="1:26">
      <c r="A2109" s="81"/>
      <c r="F2109" s="81"/>
      <c r="G2109" s="82"/>
      <c r="H2109" s="82"/>
      <c r="I2109" s="82"/>
      <c r="J2109" s="82"/>
      <c r="K2109" s="82"/>
      <c r="L2109" s="82"/>
      <c r="M2109" s="82"/>
      <c r="N2109" s="82"/>
      <c r="O2109" s="82"/>
      <c r="P2109" s="82"/>
      <c r="Q2109" s="82"/>
      <c r="R2109" s="82"/>
      <c r="S2109" s="82"/>
      <c r="T2109" s="82"/>
      <c r="U2109" s="82"/>
      <c r="V2109" s="82"/>
      <c r="W2109" s="82"/>
      <c r="X2109" s="82"/>
      <c r="Y2109" s="82"/>
      <c r="Z2109" s="82"/>
    </row>
    <row r="2110" spans="1:26">
      <c r="A2110" s="81"/>
      <c r="F2110" s="81"/>
      <c r="G2110" s="82"/>
      <c r="H2110" s="82"/>
      <c r="I2110" s="82"/>
      <c r="J2110" s="82"/>
      <c r="K2110" s="82"/>
      <c r="L2110" s="82"/>
      <c r="M2110" s="82"/>
      <c r="N2110" s="82"/>
      <c r="O2110" s="82"/>
      <c r="P2110" s="82"/>
      <c r="Q2110" s="82"/>
      <c r="R2110" s="82"/>
      <c r="S2110" s="82"/>
      <c r="T2110" s="82"/>
      <c r="U2110" s="82"/>
      <c r="V2110" s="82"/>
      <c r="W2110" s="82"/>
      <c r="X2110" s="82"/>
      <c r="Y2110" s="82"/>
      <c r="Z2110" s="82"/>
    </row>
    <row r="2111" spans="1:26">
      <c r="A2111" s="81"/>
      <c r="F2111" s="81"/>
      <c r="G2111" s="82"/>
      <c r="H2111" s="82"/>
      <c r="I2111" s="82"/>
      <c r="J2111" s="82"/>
      <c r="K2111" s="82"/>
      <c r="L2111" s="82"/>
      <c r="M2111" s="82"/>
      <c r="N2111" s="82"/>
      <c r="O2111" s="82"/>
      <c r="P2111" s="82"/>
      <c r="Q2111" s="82"/>
      <c r="R2111" s="82"/>
      <c r="S2111" s="82"/>
      <c r="T2111" s="82"/>
      <c r="U2111" s="82"/>
      <c r="V2111" s="82"/>
      <c r="W2111" s="82"/>
      <c r="X2111" s="82"/>
      <c r="Y2111" s="82"/>
      <c r="Z2111" s="82"/>
    </row>
    <row r="2112" spans="1:26">
      <c r="A2112" s="81"/>
      <c r="F2112" s="81"/>
      <c r="G2112" s="82"/>
      <c r="H2112" s="82"/>
      <c r="I2112" s="82"/>
      <c r="J2112" s="82"/>
      <c r="K2112" s="82"/>
      <c r="L2112" s="82"/>
      <c r="M2112" s="82"/>
      <c r="N2112" s="82"/>
      <c r="O2112" s="82"/>
      <c r="P2112" s="82"/>
      <c r="Q2112" s="82"/>
      <c r="R2112" s="82"/>
      <c r="S2112" s="82"/>
      <c r="T2112" s="82"/>
      <c r="U2112" s="82"/>
      <c r="V2112" s="82"/>
      <c r="W2112" s="82"/>
      <c r="X2112" s="82"/>
      <c r="Y2112" s="82"/>
      <c r="Z2112" s="82"/>
    </row>
    <row r="2113" spans="1:26">
      <c r="A2113" s="81"/>
      <c r="F2113" s="81"/>
      <c r="G2113" s="82"/>
      <c r="H2113" s="82"/>
      <c r="I2113" s="82"/>
      <c r="J2113" s="82"/>
      <c r="K2113" s="82"/>
      <c r="L2113" s="82"/>
      <c r="M2113" s="82"/>
      <c r="N2113" s="82"/>
      <c r="O2113" s="82"/>
      <c r="P2113" s="82"/>
      <c r="Q2113" s="82"/>
      <c r="R2113" s="82"/>
      <c r="S2113" s="82"/>
      <c r="T2113" s="82"/>
      <c r="U2113" s="82"/>
      <c r="V2113" s="82"/>
      <c r="W2113" s="82"/>
      <c r="X2113" s="82"/>
      <c r="Y2113" s="82"/>
      <c r="Z2113" s="82"/>
    </row>
    <row r="2114" spans="1:26">
      <c r="A2114" s="81"/>
      <c r="F2114" s="81"/>
      <c r="G2114" s="82"/>
      <c r="H2114" s="82"/>
      <c r="I2114" s="82"/>
      <c r="J2114" s="82"/>
      <c r="K2114" s="82"/>
      <c r="L2114" s="82"/>
      <c r="M2114" s="82"/>
      <c r="N2114" s="82"/>
      <c r="O2114" s="82"/>
      <c r="P2114" s="82"/>
      <c r="Q2114" s="82"/>
      <c r="R2114" s="82"/>
      <c r="S2114" s="82"/>
      <c r="T2114" s="82"/>
      <c r="U2114" s="82"/>
      <c r="V2114" s="82"/>
      <c r="W2114" s="82"/>
      <c r="X2114" s="82"/>
      <c r="Y2114" s="82"/>
      <c r="Z2114" s="82"/>
    </row>
    <row r="2115" spans="1:26">
      <c r="A2115" s="81"/>
      <c r="F2115" s="81"/>
      <c r="G2115" s="82"/>
      <c r="H2115" s="82"/>
      <c r="I2115" s="82"/>
      <c r="J2115" s="82"/>
      <c r="K2115" s="82"/>
      <c r="L2115" s="82"/>
      <c r="M2115" s="82"/>
      <c r="N2115" s="82"/>
      <c r="O2115" s="82"/>
      <c r="P2115" s="82"/>
      <c r="Q2115" s="82"/>
      <c r="R2115" s="82"/>
      <c r="S2115" s="82"/>
      <c r="T2115" s="82"/>
      <c r="U2115" s="82"/>
      <c r="V2115" s="82"/>
      <c r="W2115" s="82"/>
      <c r="X2115" s="82"/>
      <c r="Y2115" s="82"/>
      <c r="Z2115" s="82"/>
    </row>
    <row r="2116" spans="1:26">
      <c r="A2116" s="81"/>
      <c r="F2116" s="81"/>
      <c r="G2116" s="82"/>
      <c r="H2116" s="82"/>
      <c r="I2116" s="82"/>
      <c r="J2116" s="82"/>
      <c r="K2116" s="82"/>
      <c r="L2116" s="82"/>
      <c r="M2116" s="82"/>
      <c r="N2116" s="82"/>
      <c r="O2116" s="82"/>
      <c r="P2116" s="82"/>
      <c r="Q2116" s="82"/>
      <c r="R2116" s="82"/>
      <c r="S2116" s="82"/>
      <c r="T2116" s="82"/>
      <c r="U2116" s="82"/>
      <c r="V2116" s="82"/>
      <c r="W2116" s="82"/>
      <c r="X2116" s="82"/>
      <c r="Y2116" s="82"/>
      <c r="Z2116" s="82"/>
    </row>
    <row r="2117" spans="1:26">
      <c r="A2117" s="81"/>
      <c r="F2117" s="81"/>
      <c r="G2117" s="82"/>
      <c r="H2117" s="82"/>
      <c r="I2117" s="82"/>
      <c r="J2117" s="82"/>
      <c r="K2117" s="82"/>
      <c r="L2117" s="82"/>
      <c r="M2117" s="82"/>
      <c r="N2117" s="82"/>
      <c r="O2117" s="82"/>
      <c r="P2117" s="82"/>
      <c r="Q2117" s="82"/>
      <c r="R2117" s="82"/>
      <c r="S2117" s="82"/>
      <c r="T2117" s="82"/>
      <c r="U2117" s="82"/>
      <c r="V2117" s="82"/>
      <c r="W2117" s="82"/>
      <c r="X2117" s="82"/>
      <c r="Y2117" s="82"/>
      <c r="Z2117" s="82"/>
    </row>
    <row r="2118" spans="1:26">
      <c r="A2118" s="81"/>
      <c r="F2118" s="81"/>
      <c r="G2118" s="82"/>
      <c r="H2118" s="82"/>
      <c r="I2118" s="82"/>
      <c r="J2118" s="82"/>
      <c r="K2118" s="82"/>
      <c r="L2118" s="82"/>
      <c r="M2118" s="82"/>
      <c r="N2118" s="82"/>
      <c r="O2118" s="82"/>
      <c r="P2118" s="82"/>
      <c r="Q2118" s="82"/>
      <c r="R2118" s="82"/>
      <c r="S2118" s="82"/>
      <c r="T2118" s="82"/>
      <c r="U2118" s="82"/>
      <c r="V2118" s="82"/>
      <c r="W2118" s="82"/>
      <c r="X2118" s="82"/>
      <c r="Y2118" s="82"/>
      <c r="Z2118" s="82"/>
    </row>
    <row r="2119" spans="1:26">
      <c r="A2119" s="81"/>
      <c r="F2119" s="81"/>
      <c r="G2119" s="82"/>
      <c r="H2119" s="82"/>
      <c r="I2119" s="82"/>
      <c r="J2119" s="82"/>
      <c r="K2119" s="82"/>
      <c r="L2119" s="82"/>
      <c r="M2119" s="82"/>
      <c r="N2119" s="82"/>
      <c r="O2119" s="82"/>
      <c r="P2119" s="82"/>
      <c r="Q2119" s="82"/>
      <c r="R2119" s="82"/>
      <c r="S2119" s="82"/>
      <c r="T2119" s="82"/>
      <c r="U2119" s="82"/>
      <c r="V2119" s="82"/>
      <c r="W2119" s="82"/>
      <c r="X2119" s="82"/>
      <c r="Y2119" s="82"/>
      <c r="Z2119" s="82"/>
    </row>
    <row r="2120" spans="1:26">
      <c r="A2120" s="81"/>
      <c r="F2120" s="81"/>
      <c r="G2120" s="82"/>
      <c r="H2120" s="82"/>
      <c r="I2120" s="82"/>
      <c r="J2120" s="82"/>
      <c r="K2120" s="82"/>
      <c r="L2120" s="82"/>
      <c r="M2120" s="82"/>
      <c r="N2120" s="82"/>
      <c r="O2120" s="82"/>
      <c r="P2120" s="82"/>
      <c r="Q2120" s="82"/>
      <c r="R2120" s="82"/>
      <c r="S2120" s="82"/>
      <c r="T2120" s="82"/>
      <c r="U2120" s="82"/>
      <c r="V2120" s="82"/>
      <c r="W2120" s="82"/>
      <c r="X2120" s="82"/>
      <c r="Y2120" s="82"/>
      <c r="Z2120" s="82"/>
    </row>
    <row r="2121" spans="1:26">
      <c r="A2121" s="81"/>
      <c r="F2121" s="81"/>
      <c r="G2121" s="82"/>
      <c r="H2121" s="82"/>
      <c r="I2121" s="82"/>
      <c r="J2121" s="82"/>
      <c r="K2121" s="82"/>
      <c r="L2121" s="82"/>
      <c r="M2121" s="82"/>
      <c r="N2121" s="82"/>
      <c r="O2121" s="82"/>
      <c r="P2121" s="82"/>
      <c r="Q2121" s="82"/>
      <c r="R2121" s="82"/>
      <c r="S2121" s="82"/>
      <c r="T2121" s="82"/>
      <c r="U2121" s="82"/>
      <c r="V2121" s="82"/>
      <c r="W2121" s="82"/>
      <c r="X2121" s="82"/>
      <c r="Y2121" s="82"/>
      <c r="Z2121" s="82"/>
    </row>
    <row r="2122" spans="1:26">
      <c r="A2122" s="81"/>
      <c r="F2122" s="81"/>
      <c r="G2122" s="82"/>
      <c r="H2122" s="82"/>
      <c r="I2122" s="82"/>
      <c r="J2122" s="82"/>
      <c r="K2122" s="82"/>
      <c r="L2122" s="82"/>
      <c r="M2122" s="82"/>
      <c r="N2122" s="82"/>
      <c r="O2122" s="82"/>
      <c r="P2122" s="82"/>
      <c r="Q2122" s="82"/>
      <c r="R2122" s="82"/>
      <c r="S2122" s="82"/>
      <c r="T2122" s="82"/>
      <c r="U2122" s="82"/>
      <c r="V2122" s="82"/>
      <c r="W2122" s="82"/>
      <c r="X2122" s="82"/>
      <c r="Y2122" s="82"/>
      <c r="Z2122" s="82"/>
    </row>
    <row r="2123" spans="1:26">
      <c r="A2123" s="81"/>
      <c r="F2123" s="81"/>
      <c r="G2123" s="82"/>
      <c r="H2123" s="82"/>
      <c r="I2123" s="82"/>
      <c r="J2123" s="82"/>
      <c r="K2123" s="82"/>
      <c r="L2123" s="82"/>
      <c r="M2123" s="82"/>
      <c r="N2123" s="82"/>
      <c r="O2123" s="82"/>
      <c r="P2123" s="82"/>
      <c r="Q2123" s="82"/>
      <c r="R2123" s="82"/>
      <c r="S2123" s="82"/>
      <c r="T2123" s="82"/>
      <c r="U2123" s="82"/>
      <c r="V2123" s="82"/>
      <c r="W2123" s="82"/>
      <c r="X2123" s="82"/>
      <c r="Y2123" s="82"/>
      <c r="Z2123" s="82"/>
    </row>
    <row r="2124" spans="1:26">
      <c r="A2124" s="81"/>
      <c r="F2124" s="81"/>
      <c r="G2124" s="82"/>
      <c r="H2124" s="82"/>
      <c r="I2124" s="82"/>
      <c r="J2124" s="82"/>
      <c r="K2124" s="82"/>
      <c r="L2124" s="82"/>
      <c r="M2124" s="82"/>
      <c r="N2124" s="82"/>
      <c r="O2124" s="82"/>
      <c r="P2124" s="82"/>
      <c r="Q2124" s="82"/>
      <c r="R2124" s="82"/>
      <c r="S2124" s="82"/>
      <c r="T2124" s="82"/>
      <c r="U2124" s="82"/>
      <c r="V2124" s="82"/>
      <c r="W2124" s="82"/>
      <c r="X2124" s="82"/>
      <c r="Y2124" s="82"/>
      <c r="Z2124" s="82"/>
    </row>
    <row r="2125" spans="1:26">
      <c r="A2125" s="81"/>
      <c r="F2125" s="81"/>
      <c r="G2125" s="82"/>
      <c r="H2125" s="82"/>
      <c r="I2125" s="82"/>
      <c r="J2125" s="82"/>
      <c r="K2125" s="82"/>
      <c r="L2125" s="82"/>
      <c r="M2125" s="82"/>
      <c r="N2125" s="82"/>
      <c r="O2125" s="82"/>
      <c r="P2125" s="82"/>
      <c r="Q2125" s="82"/>
      <c r="R2125" s="82"/>
      <c r="S2125" s="82"/>
      <c r="T2125" s="82"/>
      <c r="U2125" s="82"/>
      <c r="V2125" s="82"/>
      <c r="W2125" s="82"/>
      <c r="X2125" s="82"/>
      <c r="Y2125" s="82"/>
      <c r="Z2125" s="82"/>
    </row>
    <row r="2126" spans="1:26">
      <c r="A2126" s="81"/>
      <c r="F2126" s="81"/>
      <c r="G2126" s="82"/>
      <c r="H2126" s="82"/>
      <c r="I2126" s="82"/>
      <c r="J2126" s="82"/>
      <c r="K2126" s="82"/>
      <c r="L2126" s="82"/>
      <c r="M2126" s="82"/>
      <c r="N2126" s="82"/>
      <c r="O2126" s="82"/>
      <c r="P2126" s="82"/>
      <c r="Q2126" s="82"/>
      <c r="R2126" s="82"/>
      <c r="S2126" s="82"/>
      <c r="T2126" s="82"/>
      <c r="U2126" s="82"/>
      <c r="V2126" s="82"/>
      <c r="W2126" s="82"/>
      <c r="X2126" s="82"/>
      <c r="Y2126" s="82"/>
      <c r="Z2126" s="82"/>
    </row>
    <row r="2127" spans="1:26">
      <c r="A2127" s="81"/>
      <c r="F2127" s="81"/>
      <c r="G2127" s="82"/>
      <c r="H2127" s="82"/>
      <c r="I2127" s="82"/>
      <c r="J2127" s="82"/>
      <c r="K2127" s="82"/>
      <c r="L2127" s="82"/>
      <c r="M2127" s="82"/>
      <c r="N2127" s="82"/>
      <c r="O2127" s="82"/>
      <c r="P2127" s="82"/>
      <c r="Q2127" s="82"/>
      <c r="R2127" s="82"/>
      <c r="S2127" s="82"/>
      <c r="T2127" s="82"/>
      <c r="U2127" s="82"/>
      <c r="V2127" s="82"/>
      <c r="W2127" s="82"/>
      <c r="X2127" s="82"/>
      <c r="Y2127" s="82"/>
      <c r="Z2127" s="82"/>
    </row>
    <row r="2128" spans="1:26">
      <c r="A2128" s="81"/>
      <c r="F2128" s="81"/>
      <c r="G2128" s="82"/>
      <c r="H2128" s="82"/>
      <c r="I2128" s="82"/>
      <c r="J2128" s="82"/>
      <c r="K2128" s="82"/>
      <c r="L2128" s="82"/>
      <c r="M2128" s="82"/>
      <c r="N2128" s="82"/>
      <c r="O2128" s="82"/>
      <c r="P2128" s="82"/>
      <c r="Q2128" s="82"/>
      <c r="R2128" s="82"/>
      <c r="S2128" s="82"/>
      <c r="T2128" s="82"/>
      <c r="U2128" s="82"/>
      <c r="V2128" s="82"/>
      <c r="W2128" s="82"/>
      <c r="X2128" s="82"/>
      <c r="Y2128" s="82"/>
      <c r="Z2128" s="82"/>
    </row>
    <row r="2129" spans="1:26">
      <c r="A2129" s="81"/>
      <c r="F2129" s="81"/>
      <c r="G2129" s="82"/>
      <c r="H2129" s="82"/>
      <c r="I2129" s="82"/>
      <c r="J2129" s="82"/>
      <c r="K2129" s="82"/>
      <c r="L2129" s="82"/>
      <c r="M2129" s="82"/>
      <c r="N2129" s="82"/>
      <c r="O2129" s="82"/>
      <c r="P2129" s="82"/>
      <c r="Q2129" s="82"/>
      <c r="R2129" s="82"/>
      <c r="S2129" s="82"/>
      <c r="T2129" s="82"/>
      <c r="U2129" s="82"/>
      <c r="V2129" s="82"/>
      <c r="W2129" s="82"/>
      <c r="X2129" s="82"/>
      <c r="Y2129" s="82"/>
      <c r="Z2129" s="82"/>
    </row>
    <row r="2130" spans="1:26">
      <c r="A2130" s="81"/>
      <c r="F2130" s="81"/>
      <c r="G2130" s="82"/>
      <c r="H2130" s="82"/>
      <c r="I2130" s="82"/>
      <c r="J2130" s="82"/>
      <c r="K2130" s="82"/>
      <c r="L2130" s="82"/>
      <c r="M2130" s="82"/>
      <c r="N2130" s="82"/>
      <c r="O2130" s="82"/>
      <c r="P2130" s="82"/>
      <c r="Q2130" s="82"/>
      <c r="R2130" s="82"/>
      <c r="S2130" s="82"/>
      <c r="T2130" s="82"/>
      <c r="U2130" s="82"/>
      <c r="V2130" s="82"/>
      <c r="W2130" s="82"/>
      <c r="X2130" s="82"/>
      <c r="Y2130" s="82"/>
      <c r="Z2130" s="82"/>
    </row>
    <row r="2131" spans="1:26">
      <c r="A2131" s="81"/>
      <c r="F2131" s="81"/>
      <c r="G2131" s="82"/>
      <c r="H2131" s="82"/>
      <c r="I2131" s="82"/>
      <c r="J2131" s="82"/>
      <c r="K2131" s="82"/>
      <c r="L2131" s="82"/>
      <c r="M2131" s="82"/>
      <c r="N2131" s="82"/>
      <c r="O2131" s="82"/>
      <c r="P2131" s="82"/>
      <c r="Q2131" s="82"/>
      <c r="R2131" s="82"/>
      <c r="S2131" s="82"/>
      <c r="T2131" s="82"/>
      <c r="U2131" s="82"/>
      <c r="V2131" s="82"/>
      <c r="W2131" s="82"/>
      <c r="X2131" s="82"/>
      <c r="Y2131" s="82"/>
      <c r="Z2131" s="82"/>
    </row>
    <row r="2132" spans="1:26">
      <c r="A2132" s="81"/>
      <c r="F2132" s="81"/>
      <c r="G2132" s="82"/>
      <c r="H2132" s="82"/>
      <c r="I2132" s="82"/>
      <c r="J2132" s="82"/>
      <c r="K2132" s="82"/>
      <c r="L2132" s="82"/>
      <c r="M2132" s="82"/>
      <c r="N2132" s="82"/>
      <c r="O2132" s="82"/>
      <c r="P2132" s="82"/>
      <c r="Q2132" s="82"/>
      <c r="R2132" s="82"/>
      <c r="S2132" s="82"/>
      <c r="T2132" s="82"/>
      <c r="U2132" s="82"/>
      <c r="V2132" s="82"/>
      <c r="W2132" s="82"/>
      <c r="X2132" s="82"/>
      <c r="Y2132" s="82"/>
      <c r="Z2132" s="82"/>
    </row>
    <row r="2133" spans="1:26">
      <c r="A2133" s="81"/>
      <c r="F2133" s="81"/>
      <c r="G2133" s="82"/>
      <c r="H2133" s="82"/>
      <c r="I2133" s="82"/>
      <c r="J2133" s="82"/>
      <c r="K2133" s="82"/>
      <c r="L2133" s="82"/>
      <c r="M2133" s="82"/>
      <c r="N2133" s="82"/>
      <c r="O2133" s="82"/>
      <c r="P2133" s="82"/>
      <c r="Q2133" s="82"/>
      <c r="R2133" s="82"/>
      <c r="S2133" s="82"/>
      <c r="T2133" s="82"/>
      <c r="U2133" s="82"/>
      <c r="V2133" s="82"/>
      <c r="W2133" s="82"/>
      <c r="X2133" s="82"/>
      <c r="Y2133" s="82"/>
      <c r="Z2133" s="82"/>
    </row>
    <row r="2134" spans="1:26">
      <c r="A2134" s="81"/>
      <c r="F2134" s="81"/>
      <c r="G2134" s="82"/>
      <c r="H2134" s="82"/>
      <c r="I2134" s="82"/>
      <c r="J2134" s="82"/>
      <c r="K2134" s="82"/>
      <c r="L2134" s="82"/>
      <c r="M2134" s="82"/>
      <c r="N2134" s="82"/>
      <c r="O2134" s="82"/>
      <c r="P2134" s="82"/>
      <c r="Q2134" s="82"/>
      <c r="R2134" s="82"/>
      <c r="S2134" s="82"/>
      <c r="T2134" s="82"/>
      <c r="U2134" s="82"/>
      <c r="V2134" s="82"/>
      <c r="W2134" s="82"/>
      <c r="X2134" s="82"/>
      <c r="Y2134" s="82"/>
      <c r="Z2134" s="82"/>
    </row>
    <row r="2135" spans="1:26">
      <c r="A2135" s="81"/>
      <c r="F2135" s="81"/>
      <c r="G2135" s="82"/>
      <c r="H2135" s="82"/>
      <c r="I2135" s="82"/>
      <c r="J2135" s="82"/>
      <c r="K2135" s="82"/>
      <c r="L2135" s="82"/>
      <c r="M2135" s="82"/>
      <c r="N2135" s="82"/>
      <c r="O2135" s="82"/>
      <c r="P2135" s="82"/>
      <c r="Q2135" s="82"/>
      <c r="R2135" s="82"/>
      <c r="S2135" s="82"/>
      <c r="T2135" s="82"/>
      <c r="U2135" s="82"/>
      <c r="V2135" s="82"/>
      <c r="W2135" s="82"/>
      <c r="X2135" s="82"/>
      <c r="Y2135" s="82"/>
      <c r="Z2135" s="82"/>
    </row>
    <row r="2136" spans="1:26">
      <c r="A2136" s="81"/>
      <c r="F2136" s="81"/>
      <c r="G2136" s="82"/>
      <c r="H2136" s="82"/>
      <c r="I2136" s="82"/>
      <c r="J2136" s="82"/>
      <c r="K2136" s="82"/>
      <c r="L2136" s="82"/>
      <c r="M2136" s="82"/>
      <c r="N2136" s="82"/>
      <c r="O2136" s="82"/>
      <c r="P2136" s="82"/>
      <c r="Q2136" s="82"/>
      <c r="R2136" s="82"/>
      <c r="S2136" s="82"/>
      <c r="T2136" s="82"/>
      <c r="U2136" s="82"/>
      <c r="V2136" s="82"/>
      <c r="W2136" s="82"/>
      <c r="X2136" s="82"/>
      <c r="Y2136" s="82"/>
      <c r="Z2136" s="82"/>
    </row>
    <row r="2137" spans="1:26">
      <c r="A2137" s="81"/>
      <c r="F2137" s="81"/>
      <c r="G2137" s="82"/>
      <c r="H2137" s="82"/>
      <c r="I2137" s="82"/>
      <c r="J2137" s="82"/>
      <c r="K2137" s="82"/>
      <c r="L2137" s="82"/>
      <c r="M2137" s="82"/>
      <c r="N2137" s="82"/>
      <c r="O2137" s="82"/>
      <c r="P2137" s="82"/>
      <c r="Q2137" s="82"/>
      <c r="R2137" s="82"/>
      <c r="S2137" s="82"/>
      <c r="T2137" s="82"/>
      <c r="U2137" s="82"/>
      <c r="V2137" s="82"/>
      <c r="W2137" s="82"/>
      <c r="X2137" s="82"/>
      <c r="Y2137" s="82"/>
      <c r="Z2137" s="82"/>
    </row>
    <row r="2138" spans="1:26">
      <c r="A2138" s="81"/>
      <c r="F2138" s="81"/>
      <c r="G2138" s="82"/>
      <c r="H2138" s="82"/>
      <c r="I2138" s="82"/>
      <c r="J2138" s="82"/>
      <c r="K2138" s="82"/>
      <c r="L2138" s="82"/>
      <c r="M2138" s="82"/>
      <c r="N2138" s="82"/>
      <c r="O2138" s="82"/>
      <c r="P2138" s="82"/>
      <c r="Q2138" s="82"/>
      <c r="R2138" s="82"/>
      <c r="S2138" s="82"/>
      <c r="T2138" s="82"/>
      <c r="U2138" s="82"/>
      <c r="V2138" s="82"/>
      <c r="W2138" s="82"/>
      <c r="X2138" s="82"/>
      <c r="Y2138" s="82"/>
      <c r="Z2138" s="82"/>
    </row>
    <row r="2139" spans="1:26">
      <c r="A2139" s="81"/>
      <c r="F2139" s="81"/>
      <c r="G2139" s="82"/>
      <c r="H2139" s="82"/>
      <c r="I2139" s="82"/>
      <c r="J2139" s="82"/>
      <c r="K2139" s="82"/>
      <c r="L2139" s="82"/>
      <c r="M2139" s="82"/>
      <c r="N2139" s="82"/>
      <c r="O2139" s="82"/>
      <c r="P2139" s="82"/>
      <c r="Q2139" s="82"/>
      <c r="R2139" s="82"/>
      <c r="S2139" s="82"/>
      <c r="T2139" s="82"/>
      <c r="U2139" s="82"/>
      <c r="V2139" s="82"/>
      <c r="W2139" s="82"/>
      <c r="X2139" s="82"/>
      <c r="Y2139" s="82"/>
      <c r="Z2139" s="82"/>
    </row>
    <row r="2140" spans="1:26">
      <c r="A2140" s="81"/>
      <c r="F2140" s="81"/>
      <c r="G2140" s="82"/>
      <c r="H2140" s="82"/>
      <c r="I2140" s="82"/>
      <c r="J2140" s="82"/>
      <c r="K2140" s="82"/>
      <c r="L2140" s="82"/>
      <c r="M2140" s="82"/>
      <c r="N2140" s="82"/>
      <c r="O2140" s="82"/>
      <c r="P2140" s="82"/>
      <c r="Q2140" s="82"/>
      <c r="R2140" s="82"/>
      <c r="S2140" s="82"/>
      <c r="T2140" s="82"/>
      <c r="U2140" s="82"/>
      <c r="V2140" s="82"/>
      <c r="W2140" s="82"/>
      <c r="X2140" s="82"/>
      <c r="Y2140" s="82"/>
      <c r="Z2140" s="82"/>
    </row>
    <row r="2141" spans="1:26">
      <c r="A2141" s="81"/>
      <c r="F2141" s="81"/>
      <c r="G2141" s="82"/>
      <c r="H2141" s="82"/>
      <c r="I2141" s="82"/>
      <c r="J2141" s="82"/>
      <c r="K2141" s="82"/>
      <c r="L2141" s="82"/>
      <c r="M2141" s="82"/>
      <c r="N2141" s="82"/>
      <c r="O2141" s="82"/>
      <c r="P2141" s="82"/>
      <c r="Q2141" s="82"/>
      <c r="R2141" s="82"/>
      <c r="S2141" s="82"/>
      <c r="T2141" s="82"/>
      <c r="U2141" s="82"/>
      <c r="V2141" s="82"/>
      <c r="W2141" s="82"/>
      <c r="X2141" s="82"/>
      <c r="Y2141" s="82"/>
      <c r="Z2141" s="82"/>
    </row>
    <row r="2142" spans="1:26">
      <c r="A2142" s="81"/>
      <c r="F2142" s="81"/>
      <c r="G2142" s="82"/>
      <c r="H2142" s="82"/>
      <c r="I2142" s="82"/>
      <c r="J2142" s="82"/>
      <c r="K2142" s="82"/>
      <c r="L2142" s="82"/>
      <c r="M2142" s="82"/>
      <c r="N2142" s="82"/>
      <c r="O2142" s="82"/>
      <c r="P2142" s="82"/>
      <c r="Q2142" s="82"/>
      <c r="R2142" s="82"/>
      <c r="S2142" s="82"/>
      <c r="T2142" s="82"/>
      <c r="U2142" s="82"/>
      <c r="V2142" s="82"/>
      <c r="W2142" s="82"/>
      <c r="X2142" s="82"/>
      <c r="Y2142" s="82"/>
      <c r="Z2142" s="82"/>
    </row>
    <row r="2143" spans="1:26">
      <c r="A2143" s="81"/>
      <c r="F2143" s="81"/>
      <c r="G2143" s="82"/>
      <c r="H2143" s="82"/>
      <c r="I2143" s="82"/>
      <c r="J2143" s="82"/>
      <c r="K2143" s="82"/>
      <c r="L2143" s="82"/>
      <c r="M2143" s="82"/>
      <c r="N2143" s="82"/>
      <c r="O2143" s="82"/>
      <c r="P2143" s="82"/>
      <c r="Q2143" s="82"/>
      <c r="R2143" s="82"/>
      <c r="S2143" s="82"/>
      <c r="T2143" s="82"/>
      <c r="U2143" s="82"/>
      <c r="V2143" s="82"/>
      <c r="W2143" s="82"/>
      <c r="X2143" s="82"/>
      <c r="Y2143" s="82"/>
      <c r="Z2143" s="82"/>
    </row>
    <row r="2144" spans="1:26">
      <c r="A2144" s="81"/>
      <c r="F2144" s="81"/>
      <c r="G2144" s="82"/>
      <c r="H2144" s="82"/>
      <c r="I2144" s="82"/>
      <c r="J2144" s="82"/>
      <c r="K2144" s="82"/>
      <c r="L2144" s="82"/>
      <c r="M2144" s="82"/>
      <c r="N2144" s="82"/>
      <c r="O2144" s="82"/>
      <c r="P2144" s="82"/>
      <c r="Q2144" s="82"/>
      <c r="R2144" s="82"/>
      <c r="S2144" s="82"/>
      <c r="T2144" s="82"/>
      <c r="U2144" s="82"/>
      <c r="V2144" s="82"/>
      <c r="W2144" s="82"/>
      <c r="X2144" s="82"/>
      <c r="Y2144" s="82"/>
      <c r="Z2144" s="82"/>
    </row>
    <row r="2145" spans="1:26">
      <c r="A2145" s="81"/>
      <c r="F2145" s="81"/>
      <c r="G2145" s="82"/>
      <c r="H2145" s="82"/>
      <c r="I2145" s="82"/>
      <c r="J2145" s="82"/>
      <c r="K2145" s="82"/>
      <c r="L2145" s="82"/>
      <c r="M2145" s="82"/>
      <c r="N2145" s="82"/>
      <c r="O2145" s="82"/>
      <c r="P2145" s="82"/>
      <c r="Q2145" s="82"/>
      <c r="R2145" s="82"/>
      <c r="S2145" s="82"/>
      <c r="T2145" s="82"/>
      <c r="U2145" s="82"/>
      <c r="V2145" s="82"/>
      <c r="W2145" s="82"/>
      <c r="X2145" s="82"/>
      <c r="Y2145" s="82"/>
      <c r="Z2145" s="82"/>
    </row>
    <row r="2146" spans="1:26">
      <c r="A2146" s="81"/>
      <c r="F2146" s="81"/>
      <c r="G2146" s="82"/>
      <c r="H2146" s="82"/>
      <c r="I2146" s="82"/>
      <c r="J2146" s="82"/>
      <c r="K2146" s="82"/>
      <c r="L2146" s="82"/>
      <c r="M2146" s="82"/>
      <c r="N2146" s="82"/>
      <c r="O2146" s="82"/>
      <c r="P2146" s="82"/>
      <c r="Q2146" s="82"/>
      <c r="R2146" s="82"/>
      <c r="S2146" s="82"/>
      <c r="T2146" s="82"/>
      <c r="U2146" s="82"/>
      <c r="V2146" s="82"/>
      <c r="W2146" s="82"/>
      <c r="X2146" s="82"/>
      <c r="Y2146" s="82"/>
      <c r="Z2146" s="82"/>
    </row>
    <row r="2147" spans="1:26">
      <c r="A2147" s="81"/>
      <c r="F2147" s="81"/>
      <c r="G2147" s="82"/>
      <c r="H2147" s="82"/>
      <c r="I2147" s="82"/>
      <c r="J2147" s="82"/>
      <c r="K2147" s="82"/>
      <c r="L2147" s="82"/>
      <c r="M2147" s="82"/>
      <c r="N2147" s="82"/>
      <c r="O2147" s="82"/>
      <c r="P2147" s="82"/>
      <c r="Q2147" s="82"/>
      <c r="R2147" s="82"/>
      <c r="S2147" s="82"/>
      <c r="T2147" s="82"/>
      <c r="U2147" s="82"/>
      <c r="V2147" s="82"/>
      <c r="W2147" s="82"/>
      <c r="X2147" s="82"/>
      <c r="Y2147" s="82"/>
      <c r="Z2147" s="82"/>
    </row>
    <row r="2148" spans="1:26">
      <c r="A2148" s="81"/>
      <c r="F2148" s="81"/>
      <c r="G2148" s="82"/>
      <c r="H2148" s="82"/>
      <c r="I2148" s="82"/>
      <c r="J2148" s="82"/>
      <c r="K2148" s="82"/>
      <c r="L2148" s="82"/>
      <c r="M2148" s="82"/>
      <c r="N2148" s="82"/>
      <c r="O2148" s="82"/>
      <c r="P2148" s="82"/>
      <c r="Q2148" s="82"/>
      <c r="R2148" s="82"/>
      <c r="S2148" s="82"/>
      <c r="T2148" s="82"/>
      <c r="U2148" s="82"/>
      <c r="V2148" s="82"/>
      <c r="W2148" s="82"/>
      <c r="X2148" s="82"/>
      <c r="Y2148" s="82"/>
      <c r="Z2148" s="82"/>
    </row>
    <row r="2149" spans="1:26">
      <c r="A2149" s="81"/>
      <c r="F2149" s="81"/>
      <c r="G2149" s="82"/>
      <c r="H2149" s="82"/>
      <c r="I2149" s="82"/>
      <c r="J2149" s="82"/>
      <c r="K2149" s="82"/>
      <c r="L2149" s="82"/>
      <c r="M2149" s="82"/>
      <c r="N2149" s="82"/>
      <c r="O2149" s="82"/>
      <c r="P2149" s="82"/>
      <c r="Q2149" s="82"/>
      <c r="R2149" s="82"/>
      <c r="S2149" s="82"/>
      <c r="T2149" s="82"/>
      <c r="U2149" s="82"/>
      <c r="V2149" s="82"/>
      <c r="W2149" s="82"/>
      <c r="X2149" s="82"/>
      <c r="Y2149" s="82"/>
      <c r="Z2149" s="82"/>
    </row>
    <row r="2150" spans="1:26">
      <c r="A2150" s="81"/>
      <c r="F2150" s="81"/>
      <c r="G2150" s="82"/>
      <c r="H2150" s="82"/>
      <c r="I2150" s="82"/>
      <c r="J2150" s="82"/>
      <c r="K2150" s="82"/>
      <c r="L2150" s="82"/>
      <c r="M2150" s="82"/>
      <c r="N2150" s="82"/>
      <c r="O2150" s="82"/>
      <c r="P2150" s="82"/>
      <c r="Q2150" s="82"/>
      <c r="R2150" s="82"/>
      <c r="S2150" s="82"/>
      <c r="T2150" s="82"/>
      <c r="U2150" s="82"/>
      <c r="V2150" s="82"/>
      <c r="W2150" s="82"/>
      <c r="X2150" s="82"/>
      <c r="Y2150" s="82"/>
      <c r="Z2150" s="82"/>
    </row>
    <row r="2151" spans="1:26">
      <c r="A2151" s="81"/>
      <c r="F2151" s="81"/>
      <c r="G2151" s="82"/>
      <c r="H2151" s="82"/>
      <c r="I2151" s="82"/>
      <c r="J2151" s="82"/>
      <c r="K2151" s="82"/>
      <c r="L2151" s="82"/>
      <c r="M2151" s="82"/>
      <c r="N2151" s="82"/>
      <c r="O2151" s="82"/>
      <c r="P2151" s="82"/>
      <c r="Q2151" s="82"/>
      <c r="R2151" s="82"/>
      <c r="S2151" s="82"/>
      <c r="T2151" s="82"/>
      <c r="U2151" s="82"/>
      <c r="V2151" s="82"/>
      <c r="W2151" s="82"/>
      <c r="X2151" s="82"/>
      <c r="Y2151" s="82"/>
      <c r="Z2151" s="82"/>
    </row>
    <row r="2152" spans="1:26">
      <c r="A2152" s="81"/>
      <c r="F2152" s="81"/>
      <c r="G2152" s="82"/>
      <c r="H2152" s="82"/>
      <c r="I2152" s="82"/>
      <c r="J2152" s="82"/>
      <c r="K2152" s="82"/>
      <c r="L2152" s="82"/>
      <c r="M2152" s="82"/>
      <c r="N2152" s="82"/>
      <c r="O2152" s="82"/>
      <c r="P2152" s="82"/>
      <c r="Q2152" s="82"/>
      <c r="R2152" s="82"/>
      <c r="S2152" s="82"/>
      <c r="T2152" s="82"/>
      <c r="U2152" s="82"/>
      <c r="V2152" s="82"/>
      <c r="W2152" s="82"/>
      <c r="X2152" s="82"/>
      <c r="Y2152" s="82"/>
      <c r="Z2152" s="82"/>
    </row>
    <row r="2153" spans="1:26">
      <c r="A2153" s="81"/>
      <c r="F2153" s="81"/>
      <c r="G2153" s="82"/>
      <c r="H2153" s="82"/>
      <c r="I2153" s="82"/>
      <c r="J2153" s="82"/>
      <c r="K2153" s="82"/>
      <c r="L2153" s="82"/>
      <c r="M2153" s="82"/>
      <c r="N2153" s="82"/>
      <c r="O2153" s="82"/>
      <c r="P2153" s="82"/>
      <c r="Q2153" s="82"/>
      <c r="R2153" s="82"/>
      <c r="S2153" s="82"/>
      <c r="T2153" s="82"/>
      <c r="U2153" s="82"/>
      <c r="V2153" s="82"/>
      <c r="W2153" s="82"/>
      <c r="X2153" s="82"/>
      <c r="Y2153" s="82"/>
      <c r="Z2153" s="82"/>
    </row>
    <row r="2154" spans="1:26">
      <c r="A2154" s="81"/>
      <c r="F2154" s="81"/>
      <c r="G2154" s="82"/>
      <c r="H2154" s="82"/>
      <c r="I2154" s="82"/>
      <c r="J2154" s="82"/>
      <c r="K2154" s="82"/>
      <c r="L2154" s="82"/>
      <c r="M2154" s="82"/>
      <c r="N2154" s="82"/>
      <c r="O2154" s="82"/>
      <c r="P2154" s="82"/>
      <c r="Q2154" s="82"/>
      <c r="R2154" s="82"/>
      <c r="S2154" s="82"/>
      <c r="T2154" s="82"/>
      <c r="U2154" s="82"/>
      <c r="V2154" s="82"/>
      <c r="W2154" s="82"/>
      <c r="X2154" s="82"/>
      <c r="Y2154" s="82"/>
      <c r="Z2154" s="82"/>
    </row>
    <row r="2155" spans="1:26">
      <c r="A2155" s="81"/>
      <c r="F2155" s="81"/>
      <c r="G2155" s="82"/>
      <c r="H2155" s="82"/>
      <c r="I2155" s="82"/>
      <c r="J2155" s="82"/>
      <c r="K2155" s="82"/>
      <c r="L2155" s="82"/>
      <c r="M2155" s="82"/>
      <c r="N2155" s="82"/>
      <c r="O2155" s="82"/>
      <c r="P2155" s="82"/>
      <c r="Q2155" s="82"/>
      <c r="R2155" s="82"/>
      <c r="S2155" s="82"/>
      <c r="T2155" s="82"/>
      <c r="U2155" s="82"/>
      <c r="V2155" s="82"/>
      <c r="W2155" s="82"/>
      <c r="X2155" s="82"/>
      <c r="Y2155" s="82"/>
      <c r="Z2155" s="82"/>
    </row>
    <row r="2156" spans="1:26">
      <c r="A2156" s="81"/>
      <c r="F2156" s="81"/>
      <c r="G2156" s="82"/>
      <c r="H2156" s="82"/>
      <c r="I2156" s="82"/>
      <c r="J2156" s="82"/>
      <c r="K2156" s="82"/>
      <c r="L2156" s="82"/>
      <c r="M2156" s="82"/>
      <c r="N2156" s="82"/>
      <c r="O2156" s="82"/>
      <c r="P2156" s="82"/>
      <c r="Q2156" s="82"/>
      <c r="R2156" s="82"/>
      <c r="S2156" s="82"/>
      <c r="T2156" s="82"/>
      <c r="U2156" s="82"/>
      <c r="V2156" s="82"/>
      <c r="W2156" s="82"/>
      <c r="X2156" s="82"/>
      <c r="Y2156" s="82"/>
      <c r="Z2156" s="82"/>
    </row>
    <row r="2157" spans="1:26">
      <c r="A2157" s="81"/>
      <c r="F2157" s="81"/>
      <c r="G2157" s="82"/>
      <c r="H2157" s="82"/>
      <c r="I2157" s="82"/>
      <c r="J2157" s="82"/>
      <c r="K2157" s="82"/>
      <c r="L2157" s="82"/>
      <c r="M2157" s="82"/>
      <c r="N2157" s="82"/>
      <c r="O2157" s="82"/>
      <c r="P2157" s="82"/>
      <c r="Q2157" s="82"/>
      <c r="R2157" s="82"/>
      <c r="S2157" s="82"/>
      <c r="T2157" s="82"/>
      <c r="U2157" s="82"/>
      <c r="V2157" s="82"/>
      <c r="W2157" s="82"/>
      <c r="X2157" s="82"/>
      <c r="Y2157" s="82"/>
      <c r="Z2157" s="82"/>
    </row>
    <row r="2158" spans="1:26">
      <c r="A2158" s="81"/>
      <c r="F2158" s="81"/>
      <c r="G2158" s="82"/>
      <c r="H2158" s="82"/>
      <c r="I2158" s="82"/>
      <c r="J2158" s="82"/>
      <c r="K2158" s="82"/>
      <c r="L2158" s="82"/>
      <c r="M2158" s="82"/>
      <c r="N2158" s="82"/>
      <c r="O2158" s="82"/>
      <c r="P2158" s="82"/>
      <c r="Q2158" s="82"/>
      <c r="R2158" s="82"/>
      <c r="S2158" s="82"/>
      <c r="T2158" s="82"/>
      <c r="U2158" s="82"/>
      <c r="V2158" s="82"/>
      <c r="W2158" s="82"/>
      <c r="X2158" s="82"/>
      <c r="Y2158" s="82"/>
      <c r="Z2158" s="82"/>
    </row>
    <row r="2159" spans="1:26">
      <c r="A2159" s="81"/>
      <c r="F2159" s="81"/>
      <c r="G2159" s="82"/>
      <c r="H2159" s="82"/>
      <c r="I2159" s="82"/>
      <c r="J2159" s="82"/>
      <c r="K2159" s="82"/>
      <c r="L2159" s="82"/>
      <c r="M2159" s="82"/>
      <c r="N2159" s="82"/>
      <c r="O2159" s="82"/>
      <c r="P2159" s="82"/>
      <c r="Q2159" s="82"/>
      <c r="R2159" s="82"/>
      <c r="S2159" s="82"/>
      <c r="T2159" s="82"/>
      <c r="U2159" s="82"/>
      <c r="V2159" s="82"/>
      <c r="W2159" s="82"/>
      <c r="X2159" s="82"/>
      <c r="Y2159" s="82"/>
      <c r="Z2159" s="82"/>
    </row>
    <row r="2160" spans="1:26">
      <c r="A2160" s="81"/>
      <c r="F2160" s="81"/>
      <c r="G2160" s="82"/>
      <c r="H2160" s="82"/>
      <c r="I2160" s="82"/>
      <c r="J2160" s="82"/>
      <c r="K2160" s="82"/>
      <c r="L2160" s="82"/>
      <c r="M2160" s="82"/>
      <c r="N2160" s="82"/>
      <c r="O2160" s="82"/>
      <c r="P2160" s="82"/>
      <c r="Q2160" s="82"/>
      <c r="R2160" s="82"/>
      <c r="S2160" s="82"/>
      <c r="T2160" s="82"/>
      <c r="U2160" s="82"/>
      <c r="V2160" s="82"/>
      <c r="W2160" s="82"/>
      <c r="X2160" s="82"/>
      <c r="Y2160" s="82"/>
      <c r="Z2160" s="82"/>
    </row>
    <row r="2161" spans="1:26">
      <c r="A2161" s="81"/>
      <c r="F2161" s="81"/>
      <c r="G2161" s="82"/>
      <c r="H2161" s="82"/>
      <c r="I2161" s="82"/>
      <c r="J2161" s="82"/>
      <c r="K2161" s="82"/>
      <c r="L2161" s="82"/>
      <c r="M2161" s="82"/>
      <c r="N2161" s="82"/>
      <c r="O2161" s="82"/>
      <c r="P2161" s="82"/>
      <c r="Q2161" s="82"/>
      <c r="R2161" s="82"/>
      <c r="S2161" s="82"/>
      <c r="T2161" s="82"/>
      <c r="U2161" s="82"/>
      <c r="V2161" s="82"/>
      <c r="W2161" s="82"/>
      <c r="X2161" s="82"/>
      <c r="Y2161" s="82"/>
      <c r="Z2161" s="82"/>
    </row>
    <row r="2162" spans="1:26">
      <c r="A2162" s="81"/>
      <c r="F2162" s="81"/>
      <c r="G2162" s="82"/>
      <c r="H2162" s="82"/>
      <c r="I2162" s="82"/>
      <c r="J2162" s="82"/>
      <c r="K2162" s="82"/>
      <c r="L2162" s="82"/>
      <c r="M2162" s="82"/>
      <c r="N2162" s="82"/>
      <c r="O2162" s="82"/>
      <c r="P2162" s="82"/>
      <c r="Q2162" s="82"/>
      <c r="R2162" s="82"/>
      <c r="S2162" s="82"/>
      <c r="T2162" s="82"/>
      <c r="U2162" s="82"/>
      <c r="V2162" s="82"/>
      <c r="W2162" s="82"/>
      <c r="X2162" s="82"/>
      <c r="Y2162" s="82"/>
      <c r="Z2162" s="82"/>
    </row>
    <row r="2163" spans="1:26">
      <c r="A2163" s="81"/>
      <c r="F2163" s="81"/>
      <c r="G2163" s="82"/>
      <c r="H2163" s="82"/>
      <c r="I2163" s="82"/>
      <c r="J2163" s="82"/>
      <c r="K2163" s="82"/>
      <c r="L2163" s="82"/>
      <c r="M2163" s="82"/>
      <c r="N2163" s="82"/>
      <c r="O2163" s="82"/>
      <c r="P2163" s="82"/>
      <c r="Q2163" s="82"/>
      <c r="R2163" s="82"/>
      <c r="S2163" s="82"/>
      <c r="T2163" s="82"/>
      <c r="U2163" s="82"/>
      <c r="V2163" s="82"/>
      <c r="W2163" s="82"/>
      <c r="X2163" s="82"/>
      <c r="Y2163" s="82"/>
      <c r="Z2163" s="82"/>
    </row>
    <row r="2164" spans="1:26">
      <c r="A2164" s="81"/>
      <c r="F2164" s="81"/>
      <c r="G2164" s="82"/>
      <c r="H2164" s="82"/>
      <c r="I2164" s="82"/>
      <c r="J2164" s="82"/>
      <c r="K2164" s="82"/>
      <c r="L2164" s="82"/>
      <c r="M2164" s="82"/>
      <c r="N2164" s="82"/>
      <c r="O2164" s="82"/>
      <c r="P2164" s="82"/>
      <c r="Q2164" s="82"/>
      <c r="R2164" s="82"/>
      <c r="S2164" s="82"/>
      <c r="T2164" s="82"/>
      <c r="U2164" s="82"/>
      <c r="V2164" s="82"/>
      <c r="W2164" s="82"/>
      <c r="X2164" s="82"/>
      <c r="Y2164" s="82"/>
      <c r="Z2164" s="82"/>
    </row>
    <row r="2165" spans="1:26">
      <c r="A2165" s="81"/>
      <c r="F2165" s="81"/>
      <c r="G2165" s="82"/>
      <c r="H2165" s="82"/>
      <c r="I2165" s="82"/>
      <c r="J2165" s="82"/>
      <c r="K2165" s="82"/>
      <c r="L2165" s="82"/>
      <c r="M2165" s="82"/>
      <c r="N2165" s="82"/>
      <c r="O2165" s="82"/>
      <c r="P2165" s="82"/>
      <c r="Q2165" s="82"/>
      <c r="R2165" s="82"/>
      <c r="S2165" s="82"/>
      <c r="T2165" s="82"/>
      <c r="U2165" s="82"/>
      <c r="V2165" s="82"/>
      <c r="W2165" s="82"/>
      <c r="X2165" s="82"/>
      <c r="Y2165" s="82"/>
      <c r="Z2165" s="82"/>
    </row>
    <row r="2166" spans="1:26">
      <c r="A2166" s="81"/>
      <c r="F2166" s="81"/>
      <c r="G2166" s="82"/>
      <c r="H2166" s="82"/>
      <c r="I2166" s="82"/>
      <c r="J2166" s="82"/>
      <c r="K2166" s="82"/>
      <c r="L2166" s="82"/>
      <c r="M2166" s="82"/>
      <c r="N2166" s="82"/>
      <c r="O2166" s="82"/>
      <c r="P2166" s="82"/>
      <c r="Q2166" s="82"/>
      <c r="R2166" s="82"/>
      <c r="S2166" s="82"/>
      <c r="T2166" s="82"/>
      <c r="U2166" s="82"/>
      <c r="V2166" s="82"/>
      <c r="W2166" s="82"/>
      <c r="X2166" s="82"/>
      <c r="Y2166" s="82"/>
      <c r="Z2166" s="82"/>
    </row>
    <row r="2167" spans="1:26">
      <c r="A2167" s="81"/>
      <c r="F2167" s="81"/>
      <c r="G2167" s="82"/>
      <c r="H2167" s="82"/>
      <c r="I2167" s="82"/>
      <c r="J2167" s="82"/>
      <c r="K2167" s="82"/>
      <c r="L2167" s="82"/>
      <c r="M2167" s="82"/>
      <c r="N2167" s="82"/>
      <c r="O2167" s="82"/>
      <c r="P2167" s="82"/>
      <c r="Q2167" s="82"/>
      <c r="R2167" s="82"/>
      <c r="S2167" s="82"/>
      <c r="T2167" s="82"/>
      <c r="U2167" s="82"/>
      <c r="V2167" s="82"/>
      <c r="W2167" s="82"/>
      <c r="X2167" s="82"/>
      <c r="Y2167" s="82"/>
      <c r="Z2167" s="82"/>
    </row>
    <row r="2168" spans="1:26">
      <c r="A2168" s="81"/>
      <c r="F2168" s="81"/>
      <c r="G2168" s="82"/>
      <c r="H2168" s="82"/>
      <c r="I2168" s="82"/>
      <c r="J2168" s="82"/>
      <c r="K2168" s="82"/>
      <c r="L2168" s="82"/>
      <c r="M2168" s="82"/>
      <c r="N2168" s="82"/>
      <c r="O2168" s="82"/>
      <c r="P2168" s="82"/>
      <c r="Q2168" s="82"/>
      <c r="R2168" s="82"/>
      <c r="S2168" s="82"/>
      <c r="T2168" s="82"/>
      <c r="U2168" s="82"/>
      <c r="V2168" s="82"/>
      <c r="W2168" s="82"/>
      <c r="X2168" s="82"/>
      <c r="Y2168" s="82"/>
      <c r="Z2168" s="82"/>
    </row>
    <row r="2169" spans="1:26">
      <c r="A2169" s="81"/>
      <c r="F2169" s="81"/>
      <c r="G2169" s="82"/>
      <c r="H2169" s="82"/>
      <c r="I2169" s="82"/>
      <c r="J2169" s="82"/>
      <c r="K2169" s="82"/>
      <c r="L2169" s="82"/>
      <c r="M2169" s="82"/>
      <c r="N2169" s="82"/>
      <c r="O2169" s="82"/>
      <c r="P2169" s="82"/>
      <c r="Q2169" s="82"/>
      <c r="R2169" s="82"/>
      <c r="S2169" s="82"/>
      <c r="T2169" s="82"/>
      <c r="U2169" s="82"/>
      <c r="V2169" s="82"/>
      <c r="W2169" s="82"/>
      <c r="X2169" s="82"/>
      <c r="Y2169" s="82"/>
      <c r="Z2169" s="82"/>
    </row>
    <row r="2170" spans="1:26">
      <c r="A2170" s="81"/>
      <c r="F2170" s="81"/>
      <c r="G2170" s="82"/>
      <c r="H2170" s="82"/>
      <c r="I2170" s="82"/>
      <c r="J2170" s="82"/>
      <c r="K2170" s="82"/>
      <c r="L2170" s="82"/>
      <c r="M2170" s="82"/>
      <c r="N2170" s="82"/>
      <c r="O2170" s="82"/>
      <c r="P2170" s="82"/>
      <c r="Q2170" s="82"/>
      <c r="R2170" s="82"/>
      <c r="S2170" s="82"/>
      <c r="T2170" s="82"/>
      <c r="U2170" s="82"/>
      <c r="V2170" s="82"/>
      <c r="W2170" s="82"/>
      <c r="X2170" s="82"/>
      <c r="Y2170" s="82"/>
      <c r="Z2170" s="82"/>
    </row>
    <row r="2171" spans="1:26">
      <c r="A2171" s="81"/>
      <c r="F2171" s="81"/>
      <c r="G2171" s="82"/>
      <c r="H2171" s="82"/>
      <c r="I2171" s="82"/>
      <c r="J2171" s="82"/>
      <c r="K2171" s="82"/>
      <c r="L2171" s="82"/>
      <c r="M2171" s="82"/>
      <c r="N2171" s="82"/>
      <c r="O2171" s="82"/>
      <c r="P2171" s="82"/>
      <c r="Q2171" s="82"/>
      <c r="R2171" s="82"/>
      <c r="S2171" s="82"/>
      <c r="T2171" s="82"/>
      <c r="U2171" s="82"/>
      <c r="V2171" s="82"/>
      <c r="W2171" s="82"/>
      <c r="X2171" s="82"/>
      <c r="Y2171" s="82"/>
      <c r="Z2171" s="82"/>
    </row>
    <row r="2172" spans="1:26">
      <c r="A2172" s="81"/>
      <c r="F2172" s="81"/>
      <c r="G2172" s="82"/>
      <c r="H2172" s="82"/>
      <c r="I2172" s="82"/>
      <c r="J2172" s="82"/>
      <c r="K2172" s="82"/>
      <c r="L2172" s="82"/>
      <c r="M2172" s="82"/>
      <c r="N2172" s="82"/>
      <c r="O2172" s="82"/>
      <c r="P2172" s="82"/>
      <c r="Q2172" s="82"/>
      <c r="R2172" s="82"/>
      <c r="S2172" s="82"/>
      <c r="T2172" s="82"/>
      <c r="U2172" s="82"/>
      <c r="V2172" s="82"/>
      <c r="W2172" s="82"/>
      <c r="X2172" s="82"/>
      <c r="Y2172" s="82"/>
      <c r="Z2172" s="82"/>
    </row>
    <row r="2173" spans="1:26">
      <c r="A2173" s="81"/>
      <c r="F2173" s="81"/>
      <c r="G2173" s="82"/>
      <c r="H2173" s="82"/>
      <c r="I2173" s="82"/>
      <c r="J2173" s="82"/>
      <c r="K2173" s="82"/>
      <c r="L2173" s="82"/>
      <c r="M2173" s="82"/>
      <c r="N2173" s="82"/>
      <c r="O2173" s="82"/>
      <c r="P2173" s="82"/>
      <c r="Q2173" s="82"/>
      <c r="R2173" s="82"/>
      <c r="S2173" s="82"/>
      <c r="T2173" s="82"/>
      <c r="U2173" s="82"/>
      <c r="V2173" s="82"/>
      <c r="W2173" s="82"/>
      <c r="X2173" s="82"/>
      <c r="Y2173" s="82"/>
      <c r="Z2173" s="82"/>
    </row>
    <row r="2174" spans="1:26">
      <c r="A2174" s="81"/>
      <c r="F2174" s="81"/>
      <c r="G2174" s="82"/>
      <c r="H2174" s="82"/>
      <c r="I2174" s="82"/>
      <c r="J2174" s="82"/>
      <c r="K2174" s="82"/>
      <c r="L2174" s="82"/>
      <c r="M2174" s="82"/>
      <c r="N2174" s="82"/>
      <c r="O2174" s="82"/>
      <c r="P2174" s="82"/>
      <c r="Q2174" s="82"/>
      <c r="R2174" s="82"/>
      <c r="S2174" s="82"/>
      <c r="T2174" s="82"/>
      <c r="U2174" s="82"/>
      <c r="V2174" s="82"/>
      <c r="W2174" s="82"/>
      <c r="X2174" s="82"/>
      <c r="Y2174" s="82"/>
      <c r="Z2174" s="82"/>
    </row>
    <row r="2175" spans="1:26">
      <c r="A2175" s="81"/>
      <c r="F2175" s="81"/>
      <c r="G2175" s="82"/>
      <c r="H2175" s="82"/>
      <c r="I2175" s="82"/>
      <c r="J2175" s="82"/>
      <c r="K2175" s="82"/>
      <c r="L2175" s="82"/>
      <c r="M2175" s="82"/>
      <c r="N2175" s="82"/>
      <c r="O2175" s="82"/>
      <c r="P2175" s="82"/>
      <c r="Q2175" s="82"/>
      <c r="R2175" s="82"/>
      <c r="S2175" s="82"/>
      <c r="T2175" s="82"/>
      <c r="U2175" s="82"/>
      <c r="V2175" s="82"/>
      <c r="W2175" s="82"/>
      <c r="X2175" s="82"/>
      <c r="Y2175" s="82"/>
      <c r="Z2175" s="82"/>
    </row>
    <row r="2176" spans="1:26">
      <c r="A2176" s="81"/>
      <c r="F2176" s="81"/>
      <c r="G2176" s="82"/>
      <c r="H2176" s="82"/>
      <c r="I2176" s="82"/>
      <c r="J2176" s="82"/>
      <c r="K2176" s="82"/>
      <c r="L2176" s="82"/>
      <c r="M2176" s="82"/>
      <c r="N2176" s="82"/>
      <c r="O2176" s="82"/>
      <c r="P2176" s="82"/>
      <c r="Q2176" s="82"/>
      <c r="R2176" s="82"/>
      <c r="S2176" s="82"/>
      <c r="T2176" s="82"/>
      <c r="U2176" s="82"/>
      <c r="V2176" s="82"/>
      <c r="W2176" s="82"/>
      <c r="X2176" s="82"/>
      <c r="Y2176" s="82"/>
      <c r="Z2176" s="82"/>
    </row>
    <row r="2177" spans="1:26">
      <c r="A2177" s="81"/>
      <c r="F2177" s="81"/>
      <c r="G2177" s="82"/>
      <c r="H2177" s="82"/>
      <c r="I2177" s="82"/>
      <c r="J2177" s="82"/>
      <c r="K2177" s="82"/>
      <c r="L2177" s="82"/>
      <c r="M2177" s="82"/>
      <c r="N2177" s="82"/>
      <c r="O2177" s="82"/>
      <c r="P2177" s="82"/>
      <c r="Q2177" s="82"/>
      <c r="R2177" s="82"/>
      <c r="S2177" s="82"/>
      <c r="T2177" s="82"/>
      <c r="U2177" s="82"/>
      <c r="V2177" s="82"/>
      <c r="W2177" s="82"/>
      <c r="X2177" s="82"/>
      <c r="Y2177" s="82"/>
      <c r="Z2177" s="82"/>
    </row>
    <row r="2178" spans="1:26">
      <c r="A2178" s="81"/>
      <c r="F2178" s="81"/>
      <c r="G2178" s="82"/>
      <c r="H2178" s="82"/>
      <c r="I2178" s="82"/>
      <c r="J2178" s="82"/>
      <c r="K2178" s="82"/>
      <c r="L2178" s="82"/>
      <c r="M2178" s="82"/>
      <c r="N2178" s="82"/>
      <c r="O2178" s="82"/>
      <c r="P2178" s="82"/>
      <c r="Q2178" s="82"/>
      <c r="R2178" s="82"/>
      <c r="S2178" s="82"/>
      <c r="T2178" s="82"/>
      <c r="U2178" s="82"/>
      <c r="V2178" s="82"/>
      <c r="W2178" s="82"/>
      <c r="X2178" s="82"/>
      <c r="Y2178" s="82"/>
      <c r="Z2178" s="82"/>
    </row>
    <row r="2179" spans="1:26">
      <c r="A2179" s="81"/>
      <c r="F2179" s="81"/>
      <c r="G2179" s="82"/>
      <c r="H2179" s="82"/>
      <c r="I2179" s="82"/>
      <c r="J2179" s="82"/>
      <c r="K2179" s="82"/>
      <c r="L2179" s="82"/>
      <c r="M2179" s="82"/>
      <c r="N2179" s="82"/>
      <c r="O2179" s="82"/>
      <c r="P2179" s="82"/>
      <c r="Q2179" s="82"/>
      <c r="R2179" s="82"/>
      <c r="S2179" s="82"/>
      <c r="T2179" s="82"/>
      <c r="U2179" s="82"/>
      <c r="V2179" s="82"/>
      <c r="W2179" s="82"/>
      <c r="X2179" s="82"/>
      <c r="Y2179" s="82"/>
      <c r="Z2179" s="82"/>
    </row>
    <row r="2180" spans="1:26">
      <c r="A2180" s="81"/>
      <c r="F2180" s="81"/>
      <c r="G2180" s="82"/>
      <c r="H2180" s="82"/>
      <c r="I2180" s="82"/>
      <c r="J2180" s="82"/>
      <c r="K2180" s="82"/>
      <c r="L2180" s="82"/>
      <c r="M2180" s="82"/>
      <c r="N2180" s="82"/>
      <c r="O2180" s="82"/>
      <c r="P2180" s="82"/>
      <c r="Q2180" s="82"/>
      <c r="R2180" s="82"/>
      <c r="S2180" s="82"/>
      <c r="T2180" s="82"/>
      <c r="U2180" s="82"/>
      <c r="V2180" s="82"/>
      <c r="W2180" s="82"/>
      <c r="X2180" s="82"/>
      <c r="Y2180" s="82"/>
      <c r="Z2180" s="82"/>
    </row>
    <row r="2181" spans="1:26">
      <c r="A2181" s="81"/>
      <c r="F2181" s="81"/>
      <c r="G2181" s="82"/>
      <c r="H2181" s="82"/>
      <c r="I2181" s="82"/>
      <c r="J2181" s="82"/>
      <c r="K2181" s="82"/>
      <c r="L2181" s="82"/>
      <c r="M2181" s="82"/>
      <c r="N2181" s="82"/>
      <c r="O2181" s="82"/>
      <c r="P2181" s="82"/>
      <c r="Q2181" s="82"/>
      <c r="R2181" s="82"/>
      <c r="S2181" s="82"/>
      <c r="T2181" s="82"/>
      <c r="U2181" s="82"/>
      <c r="V2181" s="82"/>
      <c r="W2181" s="82"/>
      <c r="X2181" s="82"/>
      <c r="Y2181" s="82"/>
      <c r="Z2181" s="82"/>
    </row>
    <row r="2182" spans="1:26">
      <c r="A2182" s="81"/>
      <c r="F2182" s="81"/>
      <c r="G2182" s="82"/>
      <c r="H2182" s="82"/>
      <c r="I2182" s="82"/>
      <c r="J2182" s="82"/>
      <c r="K2182" s="82"/>
      <c r="L2182" s="82"/>
      <c r="M2182" s="82"/>
      <c r="N2182" s="82"/>
      <c r="O2182" s="82"/>
      <c r="P2182" s="82"/>
      <c r="Q2182" s="82"/>
      <c r="R2182" s="82"/>
      <c r="S2182" s="82"/>
      <c r="T2182" s="82"/>
      <c r="U2182" s="82"/>
      <c r="V2182" s="82"/>
      <c r="W2182" s="82"/>
      <c r="X2182" s="82"/>
      <c r="Y2182" s="82"/>
      <c r="Z2182" s="82"/>
    </row>
    <row r="2183" spans="1:26">
      <c r="A2183" s="81"/>
      <c r="F2183" s="81"/>
      <c r="G2183" s="82"/>
      <c r="H2183" s="82"/>
      <c r="I2183" s="82"/>
      <c r="J2183" s="82"/>
      <c r="K2183" s="82"/>
      <c r="L2183" s="82"/>
      <c r="M2183" s="82"/>
      <c r="N2183" s="82"/>
      <c r="O2183" s="82"/>
      <c r="P2183" s="82"/>
      <c r="Q2183" s="82"/>
      <c r="R2183" s="82"/>
      <c r="S2183" s="82"/>
      <c r="T2183" s="82"/>
      <c r="U2183" s="82"/>
      <c r="V2183" s="82"/>
      <c r="W2183" s="82"/>
      <c r="X2183" s="82"/>
      <c r="Y2183" s="82"/>
      <c r="Z2183" s="82"/>
    </row>
    <row r="2184" spans="1:26">
      <c r="A2184" s="81"/>
      <c r="F2184" s="81"/>
      <c r="G2184" s="82"/>
      <c r="H2184" s="82"/>
      <c r="I2184" s="82"/>
      <c r="J2184" s="82"/>
      <c r="K2184" s="82"/>
      <c r="L2184" s="82"/>
      <c r="M2184" s="82"/>
      <c r="N2184" s="82"/>
      <c r="O2184" s="82"/>
      <c r="P2184" s="82"/>
      <c r="Q2184" s="82"/>
      <c r="R2184" s="82"/>
      <c r="S2184" s="82"/>
      <c r="T2184" s="82"/>
      <c r="U2184" s="82"/>
      <c r="V2184" s="82"/>
      <c r="W2184" s="82"/>
      <c r="X2184" s="82"/>
      <c r="Y2184" s="82"/>
      <c r="Z2184" s="82"/>
    </row>
    <row r="2185" spans="1:26">
      <c r="A2185" s="81"/>
      <c r="F2185" s="81"/>
      <c r="G2185" s="82"/>
      <c r="H2185" s="82"/>
      <c r="I2185" s="82"/>
      <c r="J2185" s="82"/>
      <c r="K2185" s="82"/>
      <c r="L2185" s="82"/>
      <c r="M2185" s="82"/>
      <c r="N2185" s="82"/>
      <c r="O2185" s="82"/>
      <c r="P2185" s="82"/>
      <c r="Q2185" s="82"/>
      <c r="R2185" s="82"/>
      <c r="S2185" s="82"/>
      <c r="T2185" s="82"/>
      <c r="U2185" s="82"/>
      <c r="V2185" s="82"/>
      <c r="W2185" s="82"/>
      <c r="X2185" s="82"/>
      <c r="Y2185" s="82"/>
      <c r="Z2185" s="82"/>
    </row>
    <row r="2186" spans="1:26">
      <c r="A2186" s="81"/>
      <c r="F2186" s="81"/>
      <c r="G2186" s="82"/>
      <c r="H2186" s="82"/>
      <c r="I2186" s="82"/>
      <c r="J2186" s="82"/>
      <c r="K2186" s="82"/>
      <c r="L2186" s="82"/>
      <c r="M2186" s="82"/>
      <c r="N2186" s="82"/>
      <c r="O2186" s="82"/>
      <c r="P2186" s="82"/>
      <c r="Q2186" s="82"/>
      <c r="R2186" s="82"/>
      <c r="S2186" s="82"/>
      <c r="T2186" s="82"/>
      <c r="U2186" s="82"/>
      <c r="V2186" s="82"/>
      <c r="W2186" s="82"/>
      <c r="X2186" s="82"/>
      <c r="Y2186" s="82"/>
      <c r="Z2186" s="82"/>
    </row>
    <row r="2187" spans="1:26">
      <c r="A2187" s="81"/>
      <c r="F2187" s="81"/>
      <c r="G2187" s="82"/>
      <c r="H2187" s="82"/>
      <c r="I2187" s="82"/>
      <c r="J2187" s="82"/>
      <c r="K2187" s="82"/>
      <c r="L2187" s="82"/>
      <c r="M2187" s="82"/>
      <c r="N2187" s="82"/>
      <c r="O2187" s="82"/>
      <c r="P2187" s="82"/>
      <c r="Q2187" s="82"/>
      <c r="R2187" s="82"/>
      <c r="S2187" s="82"/>
      <c r="T2187" s="82"/>
      <c r="U2187" s="82"/>
      <c r="V2187" s="82"/>
      <c r="W2187" s="82"/>
      <c r="X2187" s="82"/>
      <c r="Y2187" s="82"/>
      <c r="Z2187" s="82"/>
    </row>
    <row r="2188" spans="1:26">
      <c r="A2188" s="81"/>
      <c r="F2188" s="81"/>
      <c r="G2188" s="82"/>
      <c r="H2188" s="82"/>
      <c r="I2188" s="82"/>
      <c r="J2188" s="82"/>
      <c r="K2188" s="82"/>
      <c r="L2188" s="82"/>
      <c r="M2188" s="82"/>
      <c r="N2188" s="82"/>
      <c r="O2188" s="82"/>
      <c r="P2188" s="82"/>
      <c r="Q2188" s="82"/>
      <c r="R2188" s="82"/>
      <c r="S2188" s="82"/>
      <c r="T2188" s="82"/>
      <c r="U2188" s="82"/>
      <c r="V2188" s="82"/>
      <c r="W2188" s="82"/>
      <c r="X2188" s="82"/>
      <c r="Y2188" s="82"/>
      <c r="Z2188" s="82"/>
    </row>
    <row r="2189" spans="1:26">
      <c r="A2189" s="81"/>
      <c r="F2189" s="81"/>
      <c r="G2189" s="82"/>
      <c r="H2189" s="82"/>
      <c r="I2189" s="82"/>
      <c r="J2189" s="82"/>
      <c r="K2189" s="82"/>
      <c r="L2189" s="82"/>
      <c r="M2189" s="82"/>
      <c r="N2189" s="82"/>
      <c r="O2189" s="82"/>
      <c r="P2189" s="82"/>
      <c r="Q2189" s="82"/>
      <c r="R2189" s="82"/>
      <c r="S2189" s="82"/>
      <c r="T2189" s="82"/>
      <c r="U2189" s="82"/>
      <c r="V2189" s="82"/>
      <c r="W2189" s="82"/>
      <c r="X2189" s="82"/>
      <c r="Y2189" s="82"/>
      <c r="Z2189" s="82"/>
    </row>
    <row r="2190" spans="1:26">
      <c r="A2190" s="81"/>
      <c r="F2190" s="81"/>
      <c r="G2190" s="82"/>
      <c r="H2190" s="82"/>
      <c r="I2190" s="82"/>
      <c r="J2190" s="82"/>
      <c r="K2190" s="82"/>
      <c r="L2190" s="82"/>
      <c r="M2190" s="82"/>
      <c r="N2190" s="82"/>
      <c r="O2190" s="82"/>
      <c r="P2190" s="82"/>
      <c r="Q2190" s="82"/>
      <c r="R2190" s="82"/>
      <c r="S2190" s="82"/>
      <c r="T2190" s="82"/>
      <c r="U2190" s="82"/>
      <c r="V2190" s="82"/>
      <c r="W2190" s="82"/>
      <c r="X2190" s="82"/>
      <c r="Y2190" s="82"/>
      <c r="Z2190" s="82"/>
    </row>
    <row r="2191" spans="1:26">
      <c r="A2191" s="81"/>
      <c r="F2191" s="81"/>
      <c r="G2191" s="82"/>
      <c r="H2191" s="82"/>
      <c r="I2191" s="82"/>
      <c r="J2191" s="82"/>
      <c r="K2191" s="82"/>
      <c r="L2191" s="82"/>
      <c r="M2191" s="82"/>
      <c r="N2191" s="82"/>
      <c r="O2191" s="82"/>
      <c r="P2191" s="82"/>
      <c r="Q2191" s="82"/>
      <c r="R2191" s="82"/>
      <c r="S2191" s="82"/>
      <c r="T2191" s="82"/>
      <c r="U2191" s="82"/>
      <c r="V2191" s="82"/>
      <c r="W2191" s="82"/>
      <c r="X2191" s="82"/>
      <c r="Y2191" s="82"/>
      <c r="Z2191" s="82"/>
    </row>
    <row r="2192" spans="1:26">
      <c r="A2192" s="81"/>
      <c r="F2192" s="81"/>
      <c r="G2192" s="82"/>
      <c r="H2192" s="82"/>
      <c r="I2192" s="82"/>
      <c r="J2192" s="82"/>
      <c r="K2192" s="82"/>
      <c r="L2192" s="82"/>
      <c r="M2192" s="82"/>
      <c r="N2192" s="82"/>
      <c r="O2192" s="82"/>
      <c r="P2192" s="82"/>
      <c r="Q2192" s="82"/>
      <c r="R2192" s="82"/>
      <c r="S2192" s="82"/>
      <c r="T2192" s="82"/>
      <c r="U2192" s="82"/>
      <c r="V2192" s="82"/>
      <c r="W2192" s="82"/>
      <c r="X2192" s="82"/>
      <c r="Y2192" s="82"/>
      <c r="Z2192" s="82"/>
    </row>
    <row r="2193" spans="1:26">
      <c r="A2193" s="81"/>
      <c r="F2193" s="81"/>
      <c r="G2193" s="82"/>
      <c r="H2193" s="82"/>
      <c r="I2193" s="82"/>
      <c r="J2193" s="82"/>
      <c r="K2193" s="82"/>
      <c r="L2193" s="82"/>
      <c r="M2193" s="82"/>
      <c r="N2193" s="82"/>
      <c r="O2193" s="82"/>
      <c r="P2193" s="82"/>
      <c r="Q2193" s="82"/>
      <c r="R2193" s="82"/>
      <c r="S2193" s="82"/>
      <c r="T2193" s="82"/>
      <c r="U2193" s="82"/>
      <c r="V2193" s="82"/>
      <c r="W2193" s="82"/>
      <c r="X2193" s="82"/>
      <c r="Y2193" s="82"/>
      <c r="Z2193" s="82"/>
    </row>
    <row r="2194" spans="1:26">
      <c r="A2194" s="81"/>
      <c r="F2194" s="81"/>
      <c r="G2194" s="82"/>
      <c r="H2194" s="82"/>
      <c r="I2194" s="82"/>
      <c r="J2194" s="82"/>
      <c r="K2194" s="82"/>
      <c r="L2194" s="82"/>
      <c r="M2194" s="82"/>
      <c r="N2194" s="82"/>
      <c r="O2194" s="82"/>
      <c r="P2194" s="82"/>
      <c r="Q2194" s="82"/>
      <c r="R2194" s="82"/>
      <c r="S2194" s="82"/>
      <c r="T2194" s="82"/>
      <c r="U2194" s="82"/>
      <c r="V2194" s="82"/>
      <c r="W2194" s="82"/>
      <c r="X2194" s="82"/>
      <c r="Y2194" s="82"/>
      <c r="Z2194" s="82"/>
    </row>
    <row r="2195" spans="1:26">
      <c r="A2195" s="81"/>
      <c r="F2195" s="81"/>
      <c r="G2195" s="82"/>
      <c r="H2195" s="82"/>
      <c r="I2195" s="82"/>
      <c r="J2195" s="82"/>
      <c r="K2195" s="82"/>
      <c r="L2195" s="82"/>
      <c r="M2195" s="82"/>
      <c r="N2195" s="82"/>
      <c r="O2195" s="82"/>
      <c r="P2195" s="82"/>
      <c r="Q2195" s="82"/>
      <c r="R2195" s="82"/>
      <c r="S2195" s="82"/>
      <c r="T2195" s="82"/>
      <c r="U2195" s="82"/>
      <c r="V2195" s="82"/>
      <c r="W2195" s="82"/>
      <c r="X2195" s="82"/>
      <c r="Y2195" s="82"/>
      <c r="Z2195" s="82"/>
    </row>
    <row r="2196" spans="1:26">
      <c r="A2196" s="81"/>
      <c r="F2196" s="81"/>
      <c r="G2196" s="82"/>
      <c r="H2196" s="82"/>
      <c r="I2196" s="82"/>
      <c r="J2196" s="82"/>
      <c r="K2196" s="82"/>
      <c r="L2196" s="82"/>
      <c r="M2196" s="82"/>
      <c r="N2196" s="82"/>
      <c r="O2196" s="82"/>
      <c r="P2196" s="82"/>
      <c r="Q2196" s="82"/>
      <c r="R2196" s="82"/>
      <c r="S2196" s="82"/>
      <c r="T2196" s="82"/>
      <c r="U2196" s="82"/>
      <c r="V2196" s="82"/>
      <c r="W2196" s="82"/>
      <c r="X2196" s="82"/>
      <c r="Y2196" s="82"/>
      <c r="Z2196" s="82"/>
    </row>
    <row r="2197" spans="1:26">
      <c r="A2197" s="81"/>
      <c r="F2197" s="81"/>
      <c r="G2197" s="82"/>
      <c r="H2197" s="82"/>
      <c r="I2197" s="82"/>
      <c r="J2197" s="82"/>
      <c r="K2197" s="82"/>
      <c r="L2197" s="82"/>
      <c r="M2197" s="82"/>
      <c r="N2197" s="82"/>
      <c r="O2197" s="82"/>
      <c r="P2197" s="82"/>
      <c r="Q2197" s="82"/>
      <c r="R2197" s="82"/>
      <c r="S2197" s="82"/>
      <c r="T2197" s="82"/>
      <c r="U2197" s="82"/>
      <c r="V2197" s="82"/>
      <c r="W2197" s="82"/>
      <c r="X2197" s="82"/>
      <c r="Y2197" s="82"/>
      <c r="Z2197" s="82"/>
    </row>
    <row r="2198" spans="1:26">
      <c r="A2198" s="81"/>
      <c r="F2198" s="81"/>
      <c r="G2198" s="82"/>
      <c r="H2198" s="82"/>
      <c r="I2198" s="82"/>
      <c r="J2198" s="82"/>
      <c r="K2198" s="82"/>
      <c r="L2198" s="82"/>
      <c r="M2198" s="82"/>
      <c r="N2198" s="82"/>
      <c r="O2198" s="82"/>
      <c r="P2198" s="82"/>
      <c r="Q2198" s="82"/>
      <c r="R2198" s="82"/>
      <c r="S2198" s="82"/>
      <c r="T2198" s="82"/>
      <c r="U2198" s="82"/>
      <c r="V2198" s="82"/>
      <c r="W2198" s="82"/>
      <c r="X2198" s="82"/>
      <c r="Y2198" s="82"/>
      <c r="Z2198" s="82"/>
    </row>
    <row r="2199" spans="1:26">
      <c r="A2199" s="81"/>
      <c r="F2199" s="81"/>
      <c r="G2199" s="82"/>
      <c r="H2199" s="82"/>
      <c r="I2199" s="82"/>
      <c r="J2199" s="82"/>
      <c r="K2199" s="82"/>
      <c r="L2199" s="82"/>
      <c r="M2199" s="82"/>
      <c r="N2199" s="82"/>
      <c r="O2199" s="82"/>
      <c r="P2199" s="82"/>
      <c r="Q2199" s="82"/>
      <c r="R2199" s="82"/>
      <c r="S2199" s="82"/>
      <c r="T2199" s="82"/>
      <c r="U2199" s="82"/>
      <c r="V2199" s="82"/>
      <c r="W2199" s="82"/>
      <c r="X2199" s="82"/>
      <c r="Y2199" s="82"/>
      <c r="Z2199" s="82"/>
    </row>
    <row r="2200" spans="1:26">
      <c r="A2200" s="81"/>
      <c r="F2200" s="81"/>
      <c r="G2200" s="82"/>
      <c r="H2200" s="82"/>
      <c r="I2200" s="82"/>
      <c r="J2200" s="82"/>
      <c r="K2200" s="82"/>
      <c r="L2200" s="82"/>
      <c r="M2200" s="82"/>
      <c r="N2200" s="82"/>
      <c r="O2200" s="82"/>
      <c r="P2200" s="82"/>
      <c r="Q2200" s="82"/>
      <c r="R2200" s="82"/>
      <c r="S2200" s="82"/>
      <c r="T2200" s="82"/>
      <c r="U2200" s="82"/>
      <c r="V2200" s="82"/>
      <c r="W2200" s="82"/>
      <c r="X2200" s="82"/>
      <c r="Y2200" s="82"/>
      <c r="Z2200" s="82"/>
    </row>
    <row r="2201" spans="1:26">
      <c r="A2201" s="81"/>
      <c r="F2201" s="81"/>
      <c r="G2201" s="82"/>
      <c r="H2201" s="82"/>
      <c r="I2201" s="82"/>
      <c r="J2201" s="82"/>
      <c r="K2201" s="82"/>
      <c r="L2201" s="82"/>
      <c r="M2201" s="82"/>
      <c r="N2201" s="82"/>
      <c r="O2201" s="82"/>
      <c r="P2201" s="82"/>
      <c r="Q2201" s="82"/>
      <c r="R2201" s="82"/>
      <c r="S2201" s="82"/>
      <c r="T2201" s="82"/>
      <c r="U2201" s="82"/>
      <c r="V2201" s="82"/>
      <c r="W2201" s="82"/>
      <c r="X2201" s="82"/>
      <c r="Y2201" s="82"/>
      <c r="Z2201" s="82"/>
    </row>
    <row r="2202" spans="1:26">
      <c r="A2202" s="81"/>
      <c r="F2202" s="81"/>
      <c r="G2202" s="82"/>
      <c r="H2202" s="82"/>
      <c r="I2202" s="82"/>
      <c r="J2202" s="82"/>
      <c r="K2202" s="82"/>
      <c r="L2202" s="82"/>
      <c r="M2202" s="82"/>
      <c r="N2202" s="82"/>
      <c r="O2202" s="82"/>
      <c r="P2202" s="82"/>
      <c r="Q2202" s="82"/>
      <c r="R2202" s="82"/>
      <c r="S2202" s="82"/>
      <c r="T2202" s="82"/>
      <c r="U2202" s="82"/>
      <c r="V2202" s="82"/>
      <c r="W2202" s="82"/>
      <c r="X2202" s="82"/>
      <c r="Y2202" s="82"/>
      <c r="Z2202" s="82"/>
    </row>
    <row r="2203" spans="1:26">
      <c r="A2203" s="81"/>
      <c r="F2203" s="81"/>
      <c r="G2203" s="82"/>
      <c r="H2203" s="82"/>
      <c r="I2203" s="82"/>
      <c r="J2203" s="82"/>
      <c r="K2203" s="82"/>
      <c r="L2203" s="82"/>
      <c r="M2203" s="82"/>
      <c r="N2203" s="82"/>
      <c r="O2203" s="82"/>
      <c r="P2203" s="82"/>
      <c r="Q2203" s="82"/>
      <c r="R2203" s="82"/>
      <c r="S2203" s="82"/>
      <c r="T2203" s="82"/>
      <c r="U2203" s="82"/>
      <c r="V2203" s="82"/>
      <c r="W2203" s="82"/>
      <c r="X2203" s="82"/>
      <c r="Y2203" s="82"/>
      <c r="Z2203" s="82"/>
    </row>
    <row r="2204" spans="1:26">
      <c r="A2204" s="81"/>
      <c r="F2204" s="81"/>
      <c r="G2204" s="82"/>
      <c r="H2204" s="82"/>
      <c r="I2204" s="82"/>
      <c r="J2204" s="82"/>
      <c r="K2204" s="82"/>
      <c r="L2204" s="82"/>
      <c r="M2204" s="82"/>
      <c r="N2204" s="82"/>
      <c r="O2204" s="82"/>
      <c r="P2204" s="82"/>
      <c r="Q2204" s="82"/>
      <c r="R2204" s="82"/>
      <c r="S2204" s="82"/>
      <c r="T2204" s="82"/>
      <c r="U2204" s="82"/>
      <c r="V2204" s="82"/>
      <c r="W2204" s="82"/>
      <c r="X2204" s="82"/>
      <c r="Y2204" s="82"/>
      <c r="Z2204" s="82"/>
    </row>
    <row r="2205" spans="1:26">
      <c r="A2205" s="81"/>
      <c r="F2205" s="81"/>
      <c r="G2205" s="82"/>
      <c r="H2205" s="82"/>
      <c r="I2205" s="82"/>
      <c r="J2205" s="82"/>
      <c r="K2205" s="82"/>
      <c r="L2205" s="82"/>
      <c r="M2205" s="82"/>
      <c r="N2205" s="82"/>
      <c r="O2205" s="82"/>
      <c r="P2205" s="82"/>
      <c r="Q2205" s="82"/>
      <c r="R2205" s="82"/>
      <c r="S2205" s="82"/>
      <c r="T2205" s="82"/>
      <c r="U2205" s="82"/>
      <c r="V2205" s="82"/>
      <c r="W2205" s="82"/>
      <c r="X2205" s="82"/>
      <c r="Y2205" s="82"/>
      <c r="Z2205" s="82"/>
    </row>
    <row r="2206" spans="1:26">
      <c r="A2206" s="81"/>
      <c r="F2206" s="81"/>
      <c r="G2206" s="82"/>
      <c r="H2206" s="82"/>
      <c r="I2206" s="82"/>
      <c r="J2206" s="82"/>
      <c r="K2206" s="82"/>
      <c r="L2206" s="82"/>
      <c r="M2206" s="82"/>
      <c r="N2206" s="82"/>
      <c r="O2206" s="82"/>
      <c r="P2206" s="82"/>
      <c r="Q2206" s="82"/>
      <c r="R2206" s="82"/>
      <c r="S2206" s="82"/>
      <c r="T2206" s="82"/>
      <c r="U2206" s="82"/>
      <c r="V2206" s="82"/>
      <c r="W2206" s="82"/>
      <c r="X2206" s="82"/>
      <c r="Y2206" s="82"/>
      <c r="Z2206" s="82"/>
    </row>
    <row r="2207" spans="1:26">
      <c r="A2207" s="81"/>
      <c r="F2207" s="81"/>
      <c r="G2207" s="82"/>
      <c r="H2207" s="82"/>
      <c r="I2207" s="82"/>
      <c r="J2207" s="82"/>
      <c r="K2207" s="82"/>
      <c r="L2207" s="82"/>
      <c r="M2207" s="82"/>
      <c r="N2207" s="82"/>
      <c r="O2207" s="82"/>
      <c r="P2207" s="82"/>
      <c r="Q2207" s="82"/>
      <c r="R2207" s="82"/>
      <c r="S2207" s="82"/>
      <c r="T2207" s="82"/>
      <c r="U2207" s="82"/>
      <c r="V2207" s="82"/>
      <c r="W2207" s="82"/>
      <c r="X2207" s="82"/>
      <c r="Y2207" s="82"/>
      <c r="Z2207" s="82"/>
    </row>
    <row r="2208" spans="1:26">
      <c r="A2208" s="81"/>
      <c r="F2208" s="81"/>
      <c r="G2208" s="82"/>
      <c r="H2208" s="82"/>
      <c r="I2208" s="82"/>
      <c r="J2208" s="82"/>
      <c r="K2208" s="82"/>
      <c r="L2208" s="82"/>
      <c r="M2208" s="82"/>
      <c r="N2208" s="82"/>
      <c r="O2208" s="82"/>
      <c r="P2208" s="82"/>
      <c r="Q2208" s="82"/>
      <c r="R2208" s="82"/>
      <c r="S2208" s="82"/>
      <c r="T2208" s="82"/>
      <c r="U2208" s="82"/>
      <c r="V2208" s="82"/>
      <c r="W2208" s="82"/>
      <c r="X2208" s="82"/>
      <c r="Y2208" s="82"/>
      <c r="Z2208" s="82"/>
    </row>
    <row r="2209" spans="1:26">
      <c r="A2209" s="81"/>
      <c r="F2209" s="81"/>
      <c r="G2209" s="82"/>
      <c r="H2209" s="82"/>
      <c r="I2209" s="82"/>
      <c r="J2209" s="82"/>
      <c r="K2209" s="82"/>
      <c r="L2209" s="82"/>
      <c r="M2209" s="82"/>
      <c r="N2209" s="82"/>
      <c r="O2209" s="82"/>
      <c r="P2209" s="82"/>
      <c r="Q2209" s="82"/>
      <c r="R2209" s="82"/>
      <c r="S2209" s="82"/>
      <c r="T2209" s="82"/>
      <c r="U2209" s="82"/>
      <c r="V2209" s="82"/>
      <c r="W2209" s="82"/>
      <c r="X2209" s="82"/>
      <c r="Y2209" s="82"/>
      <c r="Z2209" s="82"/>
    </row>
    <row r="2210" spans="1:26">
      <c r="A2210" s="81"/>
      <c r="F2210" s="81"/>
      <c r="G2210" s="82"/>
      <c r="H2210" s="82"/>
      <c r="I2210" s="82"/>
      <c r="J2210" s="82"/>
      <c r="K2210" s="82"/>
      <c r="L2210" s="82"/>
      <c r="M2210" s="82"/>
      <c r="N2210" s="82"/>
      <c r="O2210" s="82"/>
      <c r="P2210" s="82"/>
      <c r="Q2210" s="82"/>
      <c r="R2210" s="82"/>
      <c r="S2210" s="82"/>
      <c r="T2210" s="82"/>
      <c r="U2210" s="82"/>
      <c r="V2210" s="82"/>
      <c r="W2210" s="82"/>
      <c r="X2210" s="82"/>
      <c r="Y2210" s="82"/>
      <c r="Z2210" s="82"/>
    </row>
    <row r="2211" spans="1:26">
      <c r="A2211" s="81"/>
      <c r="F2211" s="81"/>
      <c r="G2211" s="82"/>
      <c r="H2211" s="82"/>
      <c r="I2211" s="82"/>
      <c r="J2211" s="82"/>
      <c r="K2211" s="82"/>
      <c r="L2211" s="82"/>
      <c r="M2211" s="82"/>
      <c r="N2211" s="82"/>
      <c r="O2211" s="82"/>
      <c r="P2211" s="82"/>
      <c r="Q2211" s="82"/>
      <c r="R2211" s="82"/>
      <c r="S2211" s="82"/>
      <c r="T2211" s="82"/>
      <c r="U2211" s="82"/>
      <c r="V2211" s="82"/>
      <c r="W2211" s="82"/>
      <c r="X2211" s="82"/>
      <c r="Y2211" s="82"/>
      <c r="Z2211" s="82"/>
    </row>
    <row r="2212" spans="1:26">
      <c r="A2212" s="81"/>
      <c r="F2212" s="81"/>
      <c r="G2212" s="82"/>
      <c r="H2212" s="82"/>
      <c r="I2212" s="82"/>
      <c r="J2212" s="82"/>
      <c r="K2212" s="82"/>
      <c r="L2212" s="82"/>
      <c r="M2212" s="82"/>
      <c r="N2212" s="82"/>
      <c r="O2212" s="82"/>
      <c r="P2212" s="82"/>
      <c r="Q2212" s="82"/>
      <c r="R2212" s="82"/>
      <c r="S2212" s="82"/>
      <c r="T2212" s="82"/>
      <c r="U2212" s="82"/>
      <c r="V2212" s="82"/>
      <c r="W2212" s="82"/>
      <c r="X2212" s="82"/>
      <c r="Y2212" s="82"/>
      <c r="Z2212" s="82"/>
    </row>
    <row r="2213" spans="1:26">
      <c r="A2213" s="81"/>
      <c r="F2213" s="81"/>
      <c r="G2213" s="82"/>
      <c r="H2213" s="82"/>
      <c r="I2213" s="82"/>
      <c r="J2213" s="82"/>
      <c r="K2213" s="82"/>
      <c r="L2213" s="82"/>
      <c r="M2213" s="82"/>
      <c r="N2213" s="82"/>
      <c r="O2213" s="82"/>
      <c r="P2213" s="82"/>
      <c r="Q2213" s="82"/>
      <c r="R2213" s="82"/>
      <c r="S2213" s="82"/>
      <c r="T2213" s="82"/>
      <c r="U2213" s="82"/>
      <c r="V2213" s="82"/>
      <c r="W2213" s="82"/>
      <c r="X2213" s="82"/>
      <c r="Y2213" s="82"/>
      <c r="Z2213" s="82"/>
    </row>
    <row r="2214" spans="1:26">
      <c r="A2214" s="81"/>
      <c r="F2214" s="81"/>
      <c r="G2214" s="82"/>
      <c r="H2214" s="82"/>
      <c r="I2214" s="82"/>
      <c r="J2214" s="82"/>
      <c r="K2214" s="82"/>
      <c r="L2214" s="82"/>
      <c r="M2214" s="82"/>
      <c r="N2214" s="82"/>
      <c r="O2214" s="82"/>
      <c r="P2214" s="82"/>
      <c r="Q2214" s="82"/>
      <c r="R2214" s="82"/>
      <c r="S2214" s="82"/>
      <c r="T2214" s="82"/>
      <c r="U2214" s="82"/>
      <c r="V2214" s="82"/>
      <c r="W2214" s="82"/>
      <c r="X2214" s="82"/>
      <c r="Y2214" s="82"/>
      <c r="Z2214" s="82"/>
    </row>
    <row r="2215" spans="1:26">
      <c r="A2215" s="81"/>
      <c r="F2215" s="81"/>
      <c r="G2215" s="82"/>
      <c r="H2215" s="82"/>
      <c r="I2215" s="82"/>
      <c r="J2215" s="82"/>
      <c r="K2215" s="82"/>
      <c r="L2215" s="82"/>
      <c r="M2215" s="82"/>
      <c r="N2215" s="82"/>
      <c r="O2215" s="82"/>
      <c r="P2215" s="82"/>
      <c r="Q2215" s="82"/>
      <c r="R2215" s="82"/>
      <c r="S2215" s="82"/>
      <c r="T2215" s="82"/>
      <c r="U2215" s="82"/>
      <c r="V2215" s="82"/>
      <c r="W2215" s="82"/>
      <c r="X2215" s="82"/>
      <c r="Y2215" s="82"/>
      <c r="Z2215" s="82"/>
    </row>
    <row r="2216" spans="1:26">
      <c r="A2216" s="81"/>
      <c r="F2216" s="81"/>
      <c r="G2216" s="82"/>
      <c r="H2216" s="82"/>
      <c r="I2216" s="82"/>
      <c r="J2216" s="82"/>
      <c r="K2216" s="82"/>
      <c r="L2216" s="82"/>
      <c r="M2216" s="82"/>
      <c r="N2216" s="82"/>
      <c r="O2216" s="82"/>
      <c r="P2216" s="82"/>
      <c r="Q2216" s="82"/>
      <c r="R2216" s="82"/>
      <c r="S2216" s="82"/>
      <c r="T2216" s="82"/>
      <c r="U2216" s="82"/>
      <c r="V2216" s="82"/>
      <c r="W2216" s="82"/>
      <c r="X2216" s="82"/>
      <c r="Y2216" s="82"/>
      <c r="Z2216" s="82"/>
    </row>
    <row r="2217" spans="1:26">
      <c r="A2217" s="81"/>
      <c r="F2217" s="81"/>
      <c r="G2217" s="82"/>
      <c r="H2217" s="82"/>
      <c r="I2217" s="82"/>
      <c r="J2217" s="82"/>
      <c r="K2217" s="82"/>
      <c r="L2217" s="82"/>
      <c r="M2217" s="82"/>
      <c r="N2217" s="82"/>
      <c r="O2217" s="82"/>
      <c r="P2217" s="82"/>
      <c r="Q2217" s="82"/>
      <c r="R2217" s="82"/>
      <c r="S2217" s="82"/>
      <c r="T2217" s="82"/>
      <c r="U2217" s="82"/>
      <c r="V2217" s="82"/>
      <c r="W2217" s="82"/>
      <c r="X2217" s="82"/>
      <c r="Y2217" s="82"/>
      <c r="Z2217" s="82"/>
    </row>
    <row r="2218" spans="1:26">
      <c r="A2218" s="81"/>
      <c r="F2218" s="81"/>
      <c r="G2218" s="82"/>
      <c r="H2218" s="82"/>
      <c r="I2218" s="82"/>
      <c r="J2218" s="82"/>
      <c r="K2218" s="82"/>
      <c r="L2218" s="82"/>
      <c r="M2218" s="82"/>
      <c r="N2218" s="82"/>
      <c r="O2218" s="82"/>
      <c r="P2218" s="82"/>
      <c r="Q2218" s="82"/>
      <c r="R2218" s="82"/>
      <c r="S2218" s="82"/>
      <c r="T2218" s="82"/>
      <c r="U2218" s="82"/>
      <c r="V2218" s="82"/>
      <c r="W2218" s="82"/>
      <c r="X2218" s="82"/>
      <c r="Y2218" s="82"/>
      <c r="Z2218" s="82"/>
    </row>
    <row r="2219" spans="1:26">
      <c r="A2219" s="81"/>
      <c r="F2219" s="81"/>
      <c r="G2219" s="82"/>
      <c r="H2219" s="82"/>
      <c r="I2219" s="82"/>
      <c r="J2219" s="82"/>
      <c r="K2219" s="82"/>
      <c r="L2219" s="82"/>
      <c r="M2219" s="82"/>
      <c r="N2219" s="82"/>
      <c r="O2219" s="82"/>
      <c r="P2219" s="82"/>
      <c r="Q2219" s="82"/>
      <c r="R2219" s="82"/>
      <c r="S2219" s="82"/>
      <c r="T2219" s="82"/>
      <c r="U2219" s="82"/>
      <c r="V2219" s="82"/>
      <c r="W2219" s="82"/>
      <c r="X2219" s="82"/>
      <c r="Y2219" s="82"/>
      <c r="Z2219" s="82"/>
    </row>
    <row r="2220" spans="1:26">
      <c r="A2220" s="81"/>
      <c r="F2220" s="81"/>
      <c r="G2220" s="82"/>
      <c r="H2220" s="82"/>
      <c r="I2220" s="82"/>
      <c r="J2220" s="82"/>
      <c r="K2220" s="82"/>
      <c r="L2220" s="82"/>
      <c r="M2220" s="82"/>
      <c r="N2220" s="82"/>
      <c r="O2220" s="82"/>
      <c r="P2220" s="82"/>
      <c r="Q2220" s="82"/>
      <c r="R2220" s="82"/>
      <c r="S2220" s="82"/>
      <c r="T2220" s="82"/>
      <c r="U2220" s="82"/>
      <c r="V2220" s="82"/>
      <c r="W2220" s="82"/>
      <c r="X2220" s="82"/>
      <c r="Y2220" s="82"/>
      <c r="Z2220" s="82"/>
    </row>
    <row r="2221" spans="1:26">
      <c r="A2221" s="81"/>
      <c r="F2221" s="81"/>
      <c r="G2221" s="82"/>
      <c r="H2221" s="82"/>
      <c r="I2221" s="82"/>
      <c r="J2221" s="82"/>
      <c r="K2221" s="82"/>
      <c r="L2221" s="82"/>
      <c r="M2221" s="82"/>
      <c r="N2221" s="82"/>
      <c r="O2221" s="82"/>
      <c r="P2221" s="82"/>
      <c r="Q2221" s="82"/>
      <c r="R2221" s="82"/>
      <c r="S2221" s="82"/>
      <c r="T2221" s="82"/>
      <c r="U2221" s="82"/>
      <c r="V2221" s="82"/>
      <c r="W2221" s="82"/>
      <c r="X2221" s="82"/>
      <c r="Y2221" s="82"/>
      <c r="Z2221" s="82"/>
    </row>
    <row r="2222" spans="1:26">
      <c r="A2222" s="81"/>
      <c r="F2222" s="81"/>
      <c r="G2222" s="82"/>
      <c r="H2222" s="82"/>
      <c r="I2222" s="82"/>
      <c r="J2222" s="82"/>
      <c r="K2222" s="82"/>
      <c r="L2222" s="82"/>
      <c r="M2222" s="82"/>
      <c r="N2222" s="82"/>
      <c r="O2222" s="82"/>
      <c r="P2222" s="82"/>
      <c r="Q2222" s="82"/>
      <c r="R2222" s="82"/>
      <c r="S2222" s="82"/>
      <c r="T2222" s="82"/>
      <c r="U2222" s="82"/>
      <c r="V2222" s="82"/>
      <c r="W2222" s="82"/>
      <c r="X2222" s="82"/>
      <c r="Y2222" s="82"/>
      <c r="Z2222" s="82"/>
    </row>
    <row r="2223" spans="1:26">
      <c r="A2223" s="81"/>
      <c r="F2223" s="81"/>
      <c r="G2223" s="82"/>
      <c r="H2223" s="82"/>
      <c r="I2223" s="82"/>
      <c r="J2223" s="82"/>
      <c r="K2223" s="82"/>
      <c r="L2223" s="82"/>
      <c r="M2223" s="82"/>
      <c r="N2223" s="82"/>
      <c r="O2223" s="82"/>
      <c r="P2223" s="82"/>
      <c r="Q2223" s="82"/>
      <c r="R2223" s="82"/>
      <c r="S2223" s="82"/>
      <c r="T2223" s="82"/>
      <c r="U2223" s="82"/>
      <c r="V2223" s="82"/>
      <c r="W2223" s="82"/>
      <c r="X2223" s="82"/>
      <c r="Y2223" s="82"/>
      <c r="Z2223" s="82"/>
    </row>
    <row r="2224" spans="1:26">
      <c r="A2224" s="81"/>
      <c r="F2224" s="81"/>
      <c r="G2224" s="82"/>
      <c r="H2224" s="82"/>
      <c r="I2224" s="82"/>
      <c r="J2224" s="82"/>
      <c r="K2224" s="82"/>
      <c r="L2224" s="82"/>
      <c r="M2224" s="82"/>
      <c r="N2224" s="82"/>
      <c r="O2224" s="82"/>
      <c r="P2224" s="82"/>
      <c r="Q2224" s="82"/>
      <c r="R2224" s="82"/>
      <c r="S2224" s="82"/>
      <c r="T2224" s="82"/>
      <c r="U2224" s="82"/>
      <c r="V2224" s="82"/>
      <c r="W2224" s="82"/>
      <c r="X2224" s="82"/>
      <c r="Y2224" s="82"/>
      <c r="Z2224" s="82"/>
    </row>
    <row r="2225" spans="1:26">
      <c r="A2225" s="81"/>
      <c r="F2225" s="81"/>
      <c r="G2225" s="82"/>
      <c r="H2225" s="82"/>
      <c r="I2225" s="82"/>
      <c r="J2225" s="82"/>
      <c r="K2225" s="82"/>
      <c r="L2225" s="82"/>
      <c r="M2225" s="82"/>
      <c r="N2225" s="82"/>
      <c r="O2225" s="82"/>
      <c r="P2225" s="82"/>
      <c r="Q2225" s="82"/>
      <c r="R2225" s="82"/>
      <c r="S2225" s="82"/>
      <c r="T2225" s="82"/>
      <c r="U2225" s="82"/>
      <c r="V2225" s="82"/>
      <c r="W2225" s="82"/>
      <c r="X2225" s="82"/>
      <c r="Y2225" s="82"/>
      <c r="Z2225" s="82"/>
    </row>
    <row r="2226" spans="1:26">
      <c r="A2226" s="81"/>
      <c r="F2226" s="81"/>
      <c r="G2226" s="82"/>
      <c r="H2226" s="82"/>
      <c r="I2226" s="82"/>
      <c r="J2226" s="82"/>
      <c r="K2226" s="82"/>
      <c r="L2226" s="82"/>
      <c r="M2226" s="82"/>
      <c r="N2226" s="82"/>
      <c r="O2226" s="82"/>
      <c r="P2226" s="82"/>
      <c r="Q2226" s="82"/>
      <c r="R2226" s="82"/>
      <c r="S2226" s="82"/>
      <c r="T2226" s="82"/>
      <c r="U2226" s="82"/>
      <c r="V2226" s="82"/>
      <c r="W2226" s="82"/>
      <c r="X2226" s="82"/>
      <c r="Y2226" s="82"/>
      <c r="Z2226" s="82"/>
    </row>
    <row r="2227" spans="1:26">
      <c r="A2227" s="81"/>
      <c r="F2227" s="81"/>
      <c r="G2227" s="82"/>
      <c r="H2227" s="82"/>
      <c r="I2227" s="82"/>
      <c r="J2227" s="82"/>
      <c r="K2227" s="82"/>
      <c r="L2227" s="82"/>
      <c r="M2227" s="82"/>
      <c r="N2227" s="82"/>
      <c r="O2227" s="82"/>
      <c r="P2227" s="82"/>
      <c r="Q2227" s="82"/>
      <c r="R2227" s="82"/>
      <c r="S2227" s="82"/>
      <c r="T2227" s="82"/>
      <c r="U2227" s="82"/>
      <c r="V2227" s="82"/>
      <c r="W2227" s="82"/>
      <c r="X2227" s="82"/>
      <c r="Y2227" s="82"/>
      <c r="Z2227" s="82"/>
    </row>
    <row r="2228" spans="1:26">
      <c r="A2228" s="81"/>
      <c r="F2228" s="81"/>
      <c r="G2228" s="82"/>
      <c r="H2228" s="82"/>
      <c r="I2228" s="82"/>
      <c r="J2228" s="82"/>
      <c r="K2228" s="82"/>
      <c r="L2228" s="82"/>
      <c r="M2228" s="82"/>
      <c r="N2228" s="82"/>
      <c r="O2228" s="82"/>
      <c r="P2228" s="82"/>
      <c r="Q2228" s="82"/>
      <c r="R2228" s="82"/>
      <c r="S2228" s="82"/>
      <c r="T2228" s="82"/>
      <c r="U2228" s="82"/>
      <c r="V2228" s="82"/>
      <c r="W2228" s="82"/>
      <c r="X2228" s="82"/>
      <c r="Y2228" s="82"/>
      <c r="Z2228" s="82"/>
    </row>
    <row r="2229" spans="1:26">
      <c r="A2229" s="81"/>
      <c r="F2229" s="81"/>
      <c r="G2229" s="82"/>
      <c r="H2229" s="82"/>
      <c r="I2229" s="82"/>
      <c r="J2229" s="82"/>
      <c r="K2229" s="82"/>
      <c r="L2229" s="82"/>
      <c r="M2229" s="82"/>
      <c r="N2229" s="82"/>
      <c r="O2229" s="82"/>
      <c r="P2229" s="82"/>
      <c r="Q2229" s="82"/>
      <c r="R2229" s="82"/>
      <c r="S2229" s="82"/>
      <c r="T2229" s="82"/>
      <c r="U2229" s="82"/>
      <c r="V2229" s="82"/>
      <c r="W2229" s="82"/>
      <c r="X2229" s="82"/>
      <c r="Y2229" s="82"/>
      <c r="Z2229" s="82"/>
    </row>
    <row r="2230" spans="1:26">
      <c r="A2230" s="81"/>
      <c r="F2230" s="81"/>
      <c r="G2230" s="82"/>
      <c r="H2230" s="82"/>
      <c r="I2230" s="82"/>
      <c r="J2230" s="82"/>
      <c r="K2230" s="82"/>
      <c r="L2230" s="82"/>
      <c r="M2230" s="82"/>
      <c r="N2230" s="82"/>
      <c r="O2230" s="82"/>
      <c r="P2230" s="82"/>
      <c r="Q2230" s="82"/>
      <c r="R2230" s="82"/>
      <c r="S2230" s="82"/>
      <c r="T2230" s="82"/>
      <c r="U2230" s="82"/>
      <c r="V2230" s="82"/>
      <c r="W2230" s="82"/>
      <c r="X2230" s="82"/>
      <c r="Y2230" s="82"/>
      <c r="Z2230" s="82"/>
    </row>
    <row r="2231" spans="1:26">
      <c r="A2231" s="81"/>
      <c r="F2231" s="81"/>
      <c r="G2231" s="82"/>
      <c r="H2231" s="82"/>
      <c r="I2231" s="82"/>
      <c r="J2231" s="82"/>
      <c r="K2231" s="82"/>
      <c r="L2231" s="82"/>
      <c r="M2231" s="82"/>
      <c r="N2231" s="82"/>
      <c r="O2231" s="82"/>
      <c r="P2231" s="82"/>
      <c r="Q2231" s="82"/>
      <c r="R2231" s="82"/>
      <c r="S2231" s="82"/>
      <c r="T2231" s="82"/>
      <c r="U2231" s="82"/>
      <c r="V2231" s="82"/>
      <c r="W2231" s="82"/>
      <c r="X2231" s="82"/>
      <c r="Y2231" s="82"/>
      <c r="Z2231" s="82"/>
    </row>
    <row r="2232" spans="1:26">
      <c r="A2232" s="81"/>
      <c r="F2232" s="81"/>
      <c r="G2232" s="82"/>
      <c r="H2232" s="82"/>
      <c r="I2232" s="82"/>
      <c r="J2232" s="82"/>
      <c r="K2232" s="82"/>
      <c r="L2232" s="82"/>
      <c r="M2232" s="82"/>
      <c r="N2232" s="82"/>
      <c r="O2232" s="82"/>
      <c r="P2232" s="82"/>
      <c r="Q2232" s="82"/>
      <c r="R2232" s="82"/>
      <c r="S2232" s="82"/>
      <c r="T2232" s="82"/>
      <c r="U2232" s="82"/>
      <c r="V2232" s="82"/>
      <c r="W2232" s="82"/>
      <c r="X2232" s="82"/>
      <c r="Y2232" s="82"/>
      <c r="Z2232" s="82"/>
    </row>
    <row r="2233" spans="1:26">
      <c r="A2233" s="81"/>
      <c r="F2233" s="81"/>
      <c r="G2233" s="82"/>
      <c r="H2233" s="82"/>
      <c r="I2233" s="82"/>
      <c r="J2233" s="82"/>
      <c r="K2233" s="82"/>
      <c r="L2233" s="82"/>
      <c r="M2233" s="82"/>
      <c r="N2233" s="82"/>
      <c r="O2233" s="82"/>
      <c r="P2233" s="82"/>
      <c r="Q2233" s="82"/>
      <c r="R2233" s="82"/>
      <c r="S2233" s="82"/>
      <c r="T2233" s="82"/>
      <c r="U2233" s="82"/>
      <c r="V2233" s="82"/>
      <c r="W2233" s="82"/>
      <c r="X2233" s="82"/>
      <c r="Y2233" s="82"/>
      <c r="Z2233" s="82"/>
    </row>
    <row r="2234" spans="1:26">
      <c r="A2234" s="81"/>
      <c r="F2234" s="81"/>
      <c r="G2234" s="82"/>
      <c r="H2234" s="82"/>
      <c r="I2234" s="82"/>
      <c r="J2234" s="82"/>
      <c r="K2234" s="82"/>
      <c r="L2234" s="82"/>
      <c r="M2234" s="82"/>
      <c r="N2234" s="82"/>
      <c r="O2234" s="82"/>
      <c r="P2234" s="82"/>
      <c r="Q2234" s="82"/>
      <c r="R2234" s="82"/>
      <c r="S2234" s="82"/>
      <c r="T2234" s="82"/>
      <c r="U2234" s="82"/>
      <c r="V2234" s="82"/>
      <c r="W2234" s="82"/>
      <c r="X2234" s="82"/>
      <c r="Y2234" s="82"/>
      <c r="Z2234" s="82"/>
    </row>
    <row r="2235" spans="1:26">
      <c r="A2235" s="81"/>
      <c r="F2235" s="81"/>
      <c r="G2235" s="82"/>
      <c r="H2235" s="82"/>
      <c r="I2235" s="82"/>
      <c r="J2235" s="82"/>
      <c r="K2235" s="82"/>
      <c r="L2235" s="82"/>
      <c r="M2235" s="82"/>
      <c r="N2235" s="82"/>
      <c r="O2235" s="82"/>
      <c r="P2235" s="82"/>
      <c r="Q2235" s="82"/>
      <c r="R2235" s="82"/>
      <c r="S2235" s="82"/>
      <c r="T2235" s="82"/>
      <c r="U2235" s="82"/>
      <c r="V2235" s="82"/>
      <c r="W2235" s="82"/>
      <c r="X2235" s="82"/>
      <c r="Y2235" s="82"/>
      <c r="Z2235" s="82"/>
    </row>
    <row r="2236" spans="1:26">
      <c r="A2236" s="81"/>
      <c r="F2236" s="81"/>
      <c r="G2236" s="82"/>
      <c r="H2236" s="82"/>
      <c r="I2236" s="82"/>
      <c r="J2236" s="82"/>
      <c r="K2236" s="82"/>
      <c r="L2236" s="82"/>
      <c r="M2236" s="82"/>
      <c r="N2236" s="82"/>
      <c r="O2236" s="82"/>
      <c r="P2236" s="82"/>
      <c r="Q2236" s="82"/>
      <c r="R2236" s="82"/>
      <c r="S2236" s="82"/>
      <c r="T2236" s="82"/>
      <c r="U2236" s="82"/>
      <c r="V2236" s="82"/>
      <c r="W2236" s="82"/>
      <c r="X2236" s="82"/>
      <c r="Y2236" s="82"/>
      <c r="Z2236" s="82"/>
    </row>
    <row r="2237" spans="1:26">
      <c r="A2237" s="81"/>
      <c r="F2237" s="81"/>
      <c r="G2237" s="82"/>
      <c r="H2237" s="82"/>
      <c r="I2237" s="82"/>
      <c r="J2237" s="82"/>
      <c r="K2237" s="82"/>
      <c r="L2237" s="82"/>
      <c r="M2237" s="82"/>
      <c r="N2237" s="82"/>
      <c r="O2237" s="82"/>
      <c r="P2237" s="82"/>
      <c r="Q2237" s="82"/>
      <c r="R2237" s="82"/>
      <c r="S2237" s="82"/>
      <c r="T2237" s="82"/>
      <c r="U2237" s="82"/>
      <c r="V2237" s="82"/>
      <c r="W2237" s="82"/>
      <c r="X2237" s="82"/>
      <c r="Y2237" s="82"/>
      <c r="Z2237" s="82"/>
    </row>
    <row r="2238" spans="1:26">
      <c r="A2238" s="81"/>
      <c r="F2238" s="81"/>
      <c r="G2238" s="82"/>
      <c r="H2238" s="82"/>
      <c r="I2238" s="82"/>
      <c r="J2238" s="82"/>
      <c r="K2238" s="82"/>
      <c r="L2238" s="82"/>
      <c r="M2238" s="82"/>
      <c r="N2238" s="82"/>
      <c r="O2238" s="82"/>
      <c r="P2238" s="82"/>
      <c r="Q2238" s="82"/>
      <c r="R2238" s="82"/>
      <c r="S2238" s="82"/>
      <c r="T2238" s="82"/>
      <c r="U2238" s="82"/>
      <c r="V2238" s="82"/>
      <c r="W2238" s="82"/>
      <c r="X2238" s="82"/>
      <c r="Y2238" s="82"/>
      <c r="Z2238" s="82"/>
    </row>
    <row r="2239" spans="1:26">
      <c r="A2239" s="81"/>
      <c r="F2239" s="81"/>
      <c r="G2239" s="82"/>
      <c r="H2239" s="82"/>
      <c r="I2239" s="82"/>
      <c r="J2239" s="82"/>
      <c r="K2239" s="82"/>
      <c r="L2239" s="82"/>
      <c r="M2239" s="82"/>
      <c r="N2239" s="82"/>
      <c r="O2239" s="82"/>
      <c r="P2239" s="82"/>
      <c r="Q2239" s="82"/>
      <c r="R2239" s="82"/>
      <c r="S2239" s="82"/>
      <c r="T2239" s="82"/>
      <c r="U2239" s="82"/>
      <c r="V2239" s="82"/>
      <c r="W2239" s="82"/>
      <c r="X2239" s="82"/>
      <c r="Y2239" s="82"/>
      <c r="Z2239" s="82"/>
    </row>
    <row r="2240" spans="1:26">
      <c r="A2240" s="81"/>
      <c r="F2240" s="81"/>
      <c r="G2240" s="82"/>
      <c r="H2240" s="82"/>
      <c r="I2240" s="82"/>
      <c r="J2240" s="82"/>
      <c r="K2240" s="82"/>
      <c r="L2240" s="82"/>
      <c r="M2240" s="82"/>
      <c r="N2240" s="82"/>
      <c r="O2240" s="82"/>
      <c r="P2240" s="82"/>
      <c r="Q2240" s="82"/>
      <c r="R2240" s="82"/>
      <c r="S2240" s="82"/>
      <c r="T2240" s="82"/>
      <c r="U2240" s="82"/>
      <c r="V2240" s="82"/>
      <c r="W2240" s="82"/>
      <c r="X2240" s="82"/>
      <c r="Y2240" s="82"/>
      <c r="Z2240" s="82"/>
    </row>
    <row r="2241" spans="1:26">
      <c r="A2241" s="81"/>
      <c r="F2241" s="81"/>
      <c r="G2241" s="82"/>
      <c r="H2241" s="82"/>
      <c r="I2241" s="82"/>
      <c r="J2241" s="82"/>
      <c r="K2241" s="82"/>
      <c r="L2241" s="82"/>
      <c r="M2241" s="82"/>
      <c r="N2241" s="82"/>
      <c r="O2241" s="82"/>
      <c r="P2241" s="82"/>
      <c r="Q2241" s="82"/>
      <c r="R2241" s="82"/>
      <c r="S2241" s="82"/>
      <c r="T2241" s="82"/>
      <c r="U2241" s="82"/>
      <c r="V2241" s="82"/>
      <c r="W2241" s="82"/>
      <c r="X2241" s="82"/>
      <c r="Y2241" s="82"/>
      <c r="Z2241" s="82"/>
    </row>
    <row r="2242" spans="1:26">
      <c r="A2242" s="81"/>
      <c r="F2242" s="81"/>
      <c r="G2242" s="82"/>
      <c r="H2242" s="82"/>
      <c r="I2242" s="82"/>
      <c r="J2242" s="82"/>
      <c r="K2242" s="82"/>
      <c r="L2242" s="82"/>
      <c r="M2242" s="82"/>
      <c r="N2242" s="82"/>
      <c r="O2242" s="82"/>
      <c r="P2242" s="82"/>
      <c r="Q2242" s="82"/>
      <c r="R2242" s="82"/>
      <c r="S2242" s="82"/>
      <c r="T2242" s="82"/>
      <c r="U2242" s="82"/>
      <c r="V2242" s="82"/>
      <c r="W2242" s="82"/>
      <c r="X2242" s="82"/>
      <c r="Y2242" s="82"/>
      <c r="Z2242" s="82"/>
    </row>
    <row r="2243" spans="1:26">
      <c r="A2243" s="81"/>
      <c r="F2243" s="81"/>
      <c r="G2243" s="82"/>
      <c r="H2243" s="82"/>
      <c r="I2243" s="82"/>
      <c r="J2243" s="82"/>
      <c r="K2243" s="82"/>
      <c r="L2243" s="82"/>
      <c r="M2243" s="82"/>
      <c r="N2243" s="82"/>
      <c r="O2243" s="82"/>
      <c r="P2243" s="82"/>
      <c r="Q2243" s="82"/>
      <c r="R2243" s="82"/>
      <c r="S2243" s="82"/>
      <c r="T2243" s="82"/>
      <c r="U2243" s="82"/>
      <c r="V2243" s="82"/>
      <c r="W2243" s="82"/>
      <c r="X2243" s="82"/>
      <c r="Y2243" s="82"/>
      <c r="Z2243" s="82"/>
    </row>
    <row r="2244" spans="1:26">
      <c r="A2244" s="81"/>
      <c r="F2244" s="81"/>
      <c r="G2244" s="82"/>
      <c r="H2244" s="82"/>
      <c r="I2244" s="82"/>
      <c r="J2244" s="82"/>
      <c r="K2244" s="82"/>
      <c r="L2244" s="82"/>
      <c r="M2244" s="82"/>
      <c r="N2244" s="82"/>
      <c r="O2244" s="82"/>
      <c r="P2244" s="82"/>
      <c r="Q2244" s="82"/>
      <c r="R2244" s="82"/>
      <c r="S2244" s="82"/>
      <c r="T2244" s="82"/>
      <c r="U2244" s="82"/>
      <c r="V2244" s="82"/>
      <c r="W2244" s="82"/>
      <c r="X2244" s="82"/>
      <c r="Y2244" s="82"/>
      <c r="Z2244" s="82"/>
    </row>
    <row r="2245" spans="1:26">
      <c r="A2245" s="81"/>
      <c r="F2245" s="81"/>
      <c r="G2245" s="82"/>
      <c r="H2245" s="82"/>
      <c r="I2245" s="82"/>
      <c r="J2245" s="82"/>
      <c r="K2245" s="82"/>
      <c r="L2245" s="82"/>
      <c r="M2245" s="82"/>
      <c r="N2245" s="82"/>
      <c r="O2245" s="82"/>
      <c r="P2245" s="82"/>
      <c r="Q2245" s="82"/>
      <c r="R2245" s="82"/>
      <c r="S2245" s="82"/>
      <c r="T2245" s="82"/>
      <c r="U2245" s="82"/>
      <c r="V2245" s="82"/>
      <c r="W2245" s="82"/>
      <c r="X2245" s="82"/>
      <c r="Y2245" s="82"/>
      <c r="Z2245" s="82"/>
    </row>
    <row r="2246" spans="1:26">
      <c r="A2246" s="81"/>
      <c r="F2246" s="81"/>
      <c r="G2246" s="82"/>
      <c r="H2246" s="82"/>
      <c r="I2246" s="82"/>
      <c r="J2246" s="82"/>
      <c r="K2246" s="82"/>
      <c r="L2246" s="82"/>
      <c r="M2246" s="82"/>
      <c r="N2246" s="82"/>
      <c r="O2246" s="82"/>
      <c r="P2246" s="82"/>
      <c r="Q2246" s="82"/>
      <c r="R2246" s="82"/>
      <c r="S2246" s="82"/>
      <c r="T2246" s="82"/>
      <c r="U2246" s="82"/>
      <c r="V2246" s="82"/>
      <c r="W2246" s="82"/>
      <c r="X2246" s="82"/>
      <c r="Y2246" s="82"/>
      <c r="Z2246" s="82"/>
    </row>
    <row r="2247" spans="1:26">
      <c r="A2247" s="81"/>
      <c r="F2247" s="81"/>
      <c r="G2247" s="82"/>
      <c r="H2247" s="82"/>
      <c r="I2247" s="82"/>
      <c r="J2247" s="82"/>
      <c r="K2247" s="82"/>
      <c r="L2247" s="82"/>
      <c r="M2247" s="82"/>
      <c r="N2247" s="82"/>
      <c r="O2247" s="82"/>
      <c r="P2247" s="82"/>
      <c r="Q2247" s="82"/>
      <c r="R2247" s="82"/>
      <c r="S2247" s="82"/>
      <c r="T2247" s="82"/>
      <c r="U2247" s="82"/>
      <c r="V2247" s="82"/>
      <c r="W2247" s="82"/>
      <c r="X2247" s="82"/>
      <c r="Y2247" s="82"/>
      <c r="Z2247" s="82"/>
    </row>
    <row r="2248" spans="1:26">
      <c r="A2248" s="81"/>
      <c r="F2248" s="81"/>
      <c r="G2248" s="82"/>
      <c r="H2248" s="82"/>
      <c r="I2248" s="82"/>
      <c r="J2248" s="82"/>
      <c r="K2248" s="82"/>
      <c r="L2248" s="82"/>
      <c r="M2248" s="82"/>
      <c r="N2248" s="82"/>
      <c r="O2248" s="82"/>
      <c r="P2248" s="82"/>
      <c r="Q2248" s="82"/>
      <c r="R2248" s="82"/>
      <c r="S2248" s="82"/>
      <c r="T2248" s="82"/>
      <c r="U2248" s="82"/>
      <c r="V2248" s="82"/>
      <c r="W2248" s="82"/>
      <c r="X2248" s="82"/>
      <c r="Y2248" s="82"/>
      <c r="Z2248" s="82"/>
    </row>
    <row r="2249" spans="1:26">
      <c r="A2249" s="81"/>
      <c r="F2249" s="81"/>
      <c r="G2249" s="82"/>
      <c r="H2249" s="82"/>
      <c r="I2249" s="82"/>
      <c r="J2249" s="82"/>
      <c r="K2249" s="82"/>
      <c r="L2249" s="82"/>
      <c r="M2249" s="82"/>
      <c r="N2249" s="82"/>
      <c r="O2249" s="82"/>
      <c r="P2249" s="82"/>
      <c r="Q2249" s="82"/>
      <c r="R2249" s="82"/>
      <c r="S2249" s="82"/>
      <c r="T2249" s="82"/>
      <c r="U2249" s="82"/>
      <c r="V2249" s="82"/>
      <c r="W2249" s="82"/>
      <c r="X2249" s="82"/>
      <c r="Y2249" s="82"/>
      <c r="Z2249" s="82"/>
    </row>
    <row r="2250" spans="1:26">
      <c r="A2250" s="81"/>
      <c r="F2250" s="81"/>
      <c r="G2250" s="82"/>
      <c r="H2250" s="82"/>
      <c r="I2250" s="82"/>
      <c r="J2250" s="82"/>
      <c r="K2250" s="82"/>
      <c r="L2250" s="82"/>
      <c r="M2250" s="82"/>
      <c r="N2250" s="82"/>
      <c r="O2250" s="82"/>
      <c r="P2250" s="82"/>
      <c r="Q2250" s="82"/>
      <c r="R2250" s="82"/>
      <c r="S2250" s="82"/>
      <c r="T2250" s="82"/>
      <c r="U2250" s="82"/>
      <c r="V2250" s="82"/>
      <c r="W2250" s="82"/>
      <c r="X2250" s="82"/>
      <c r="Y2250" s="82"/>
      <c r="Z2250" s="82"/>
    </row>
    <row r="2251" spans="1:26">
      <c r="A2251" s="81"/>
      <c r="F2251" s="81"/>
      <c r="G2251" s="82"/>
      <c r="H2251" s="82"/>
      <c r="I2251" s="82"/>
      <c r="J2251" s="82"/>
      <c r="K2251" s="82"/>
      <c r="L2251" s="82"/>
      <c r="M2251" s="82"/>
      <c r="N2251" s="82"/>
      <c r="O2251" s="82"/>
      <c r="P2251" s="82"/>
      <c r="Q2251" s="82"/>
      <c r="R2251" s="82"/>
      <c r="S2251" s="82"/>
      <c r="T2251" s="82"/>
      <c r="U2251" s="82"/>
      <c r="V2251" s="82"/>
      <c r="W2251" s="82"/>
      <c r="X2251" s="82"/>
      <c r="Y2251" s="82"/>
      <c r="Z2251" s="82"/>
    </row>
    <row r="2252" spans="1:26">
      <c r="A2252" s="81"/>
      <c r="F2252" s="81"/>
      <c r="G2252" s="82"/>
      <c r="H2252" s="82"/>
      <c r="I2252" s="82"/>
      <c r="J2252" s="82"/>
      <c r="K2252" s="82"/>
      <c r="L2252" s="82"/>
      <c r="M2252" s="82"/>
      <c r="N2252" s="82"/>
      <c r="O2252" s="82"/>
      <c r="P2252" s="82"/>
      <c r="Q2252" s="82"/>
      <c r="R2252" s="82"/>
      <c r="S2252" s="82"/>
      <c r="T2252" s="82"/>
      <c r="U2252" s="82"/>
      <c r="V2252" s="82"/>
      <c r="W2252" s="82"/>
      <c r="X2252" s="82"/>
      <c r="Y2252" s="82"/>
      <c r="Z2252" s="82"/>
    </row>
    <row r="2253" spans="1:26">
      <c r="A2253" s="81"/>
      <c r="F2253" s="81"/>
      <c r="G2253" s="82"/>
      <c r="H2253" s="82"/>
      <c r="I2253" s="82"/>
      <c r="J2253" s="82"/>
      <c r="K2253" s="82"/>
      <c r="L2253" s="82"/>
      <c r="M2253" s="82"/>
      <c r="N2253" s="82"/>
      <c r="O2253" s="82"/>
      <c r="P2253" s="82"/>
      <c r="Q2253" s="82"/>
      <c r="R2253" s="82"/>
      <c r="S2253" s="82"/>
      <c r="T2253" s="82"/>
      <c r="U2253" s="82"/>
      <c r="V2253" s="82"/>
      <c r="W2253" s="82"/>
      <c r="X2253" s="82"/>
      <c r="Y2253" s="82"/>
      <c r="Z2253" s="82"/>
    </row>
    <row r="2254" spans="1:26">
      <c r="A2254" s="81"/>
      <c r="F2254" s="81"/>
      <c r="G2254" s="82"/>
      <c r="H2254" s="82"/>
      <c r="I2254" s="82"/>
      <c r="J2254" s="82"/>
      <c r="K2254" s="82"/>
      <c r="L2254" s="82"/>
      <c r="M2254" s="82"/>
      <c r="N2254" s="82"/>
      <c r="O2254" s="82"/>
      <c r="P2254" s="82"/>
      <c r="Q2254" s="82"/>
      <c r="R2254" s="82"/>
      <c r="S2254" s="82"/>
      <c r="T2254" s="82"/>
      <c r="U2254" s="82"/>
      <c r="V2254" s="82"/>
      <c r="W2254" s="82"/>
      <c r="X2254" s="82"/>
      <c r="Y2254" s="82"/>
      <c r="Z2254" s="82"/>
    </row>
    <row r="2255" spans="1:26">
      <c r="A2255" s="81"/>
      <c r="F2255" s="81"/>
      <c r="G2255" s="82"/>
      <c r="H2255" s="82"/>
      <c r="I2255" s="82"/>
      <c r="J2255" s="82"/>
      <c r="K2255" s="82"/>
      <c r="L2255" s="82"/>
      <c r="M2255" s="82"/>
      <c r="N2255" s="82"/>
      <c r="O2255" s="82"/>
      <c r="P2255" s="82"/>
      <c r="Q2255" s="82"/>
      <c r="R2255" s="82"/>
      <c r="S2255" s="82"/>
      <c r="T2255" s="82"/>
      <c r="U2255" s="82"/>
      <c r="V2255" s="82"/>
      <c r="W2255" s="82"/>
      <c r="X2255" s="82"/>
      <c r="Y2255" s="82"/>
      <c r="Z2255" s="82"/>
    </row>
    <row r="2256" spans="1:26">
      <c r="A2256" s="81"/>
      <c r="F2256" s="81"/>
      <c r="G2256" s="82"/>
      <c r="H2256" s="82"/>
      <c r="I2256" s="82"/>
      <c r="J2256" s="82"/>
      <c r="K2256" s="82"/>
      <c r="L2256" s="82"/>
      <c r="M2256" s="82"/>
      <c r="N2256" s="82"/>
      <c r="O2256" s="82"/>
      <c r="P2256" s="82"/>
      <c r="Q2256" s="82"/>
      <c r="R2256" s="82"/>
      <c r="S2256" s="82"/>
      <c r="T2256" s="82"/>
      <c r="U2256" s="82"/>
      <c r="V2256" s="82"/>
      <c r="W2256" s="82"/>
      <c r="X2256" s="82"/>
      <c r="Y2256" s="82"/>
      <c r="Z2256" s="82"/>
    </row>
    <row r="2257" spans="1:26">
      <c r="A2257" s="81"/>
      <c r="F2257" s="81"/>
      <c r="G2257" s="82"/>
      <c r="H2257" s="82"/>
      <c r="I2257" s="82"/>
      <c r="J2257" s="82"/>
      <c r="K2257" s="82"/>
      <c r="L2257" s="82"/>
      <c r="M2257" s="82"/>
      <c r="N2257" s="82"/>
      <c r="O2257" s="82"/>
      <c r="P2257" s="82"/>
      <c r="Q2257" s="82"/>
      <c r="R2257" s="82"/>
      <c r="S2257" s="82"/>
      <c r="T2257" s="82"/>
      <c r="U2257" s="82"/>
      <c r="V2257" s="82"/>
      <c r="W2257" s="82"/>
      <c r="X2257" s="82"/>
      <c r="Y2257" s="82"/>
      <c r="Z2257" s="82"/>
    </row>
    <row r="2258" spans="1:26">
      <c r="A2258" s="81"/>
      <c r="F2258" s="81"/>
      <c r="G2258" s="82"/>
      <c r="H2258" s="82"/>
      <c r="I2258" s="82"/>
      <c r="J2258" s="82"/>
      <c r="K2258" s="82"/>
      <c r="L2258" s="82"/>
      <c r="M2258" s="82"/>
      <c r="N2258" s="82"/>
      <c r="O2258" s="82"/>
      <c r="P2258" s="82"/>
      <c r="Q2258" s="82"/>
      <c r="R2258" s="82"/>
      <c r="S2258" s="82"/>
      <c r="T2258" s="82"/>
      <c r="U2258" s="82"/>
      <c r="V2258" s="82"/>
      <c r="W2258" s="82"/>
      <c r="X2258" s="82"/>
      <c r="Y2258" s="82"/>
      <c r="Z2258" s="82"/>
    </row>
    <row r="2259" spans="1:26">
      <c r="A2259" s="81"/>
      <c r="F2259" s="81"/>
      <c r="G2259" s="82"/>
      <c r="H2259" s="82"/>
      <c r="I2259" s="82"/>
      <c r="J2259" s="82"/>
      <c r="K2259" s="82"/>
      <c r="L2259" s="82"/>
      <c r="M2259" s="82"/>
      <c r="N2259" s="82"/>
      <c r="O2259" s="82"/>
      <c r="P2259" s="82"/>
      <c r="Q2259" s="82"/>
      <c r="R2259" s="82"/>
      <c r="S2259" s="82"/>
      <c r="T2259" s="82"/>
      <c r="U2259" s="82"/>
      <c r="V2259" s="82"/>
      <c r="W2259" s="82"/>
      <c r="X2259" s="82"/>
      <c r="Y2259" s="82"/>
      <c r="Z2259" s="82"/>
    </row>
    <row r="2260" spans="1:26">
      <c r="A2260" s="81"/>
      <c r="F2260" s="81"/>
      <c r="G2260" s="82"/>
      <c r="H2260" s="82"/>
      <c r="I2260" s="82"/>
      <c r="J2260" s="82"/>
      <c r="K2260" s="82"/>
      <c r="L2260" s="82"/>
      <c r="M2260" s="82"/>
      <c r="N2260" s="82"/>
      <c r="O2260" s="82"/>
      <c r="P2260" s="82"/>
      <c r="Q2260" s="82"/>
      <c r="R2260" s="82"/>
      <c r="S2260" s="82"/>
      <c r="T2260" s="82"/>
      <c r="U2260" s="82"/>
      <c r="V2260" s="82"/>
      <c r="W2260" s="82"/>
      <c r="X2260" s="82"/>
      <c r="Y2260" s="82"/>
      <c r="Z2260" s="82"/>
    </row>
    <row r="2261" spans="1:26">
      <c r="A2261" s="81"/>
      <c r="F2261" s="81"/>
      <c r="G2261" s="82"/>
      <c r="H2261" s="82"/>
      <c r="I2261" s="82"/>
      <c r="J2261" s="82"/>
      <c r="K2261" s="82"/>
      <c r="L2261" s="82"/>
      <c r="M2261" s="82"/>
      <c r="N2261" s="82"/>
      <c r="O2261" s="82"/>
      <c r="P2261" s="82"/>
      <c r="Q2261" s="82"/>
      <c r="R2261" s="82"/>
      <c r="S2261" s="82"/>
      <c r="T2261" s="82"/>
      <c r="U2261" s="82"/>
      <c r="V2261" s="82"/>
      <c r="W2261" s="82"/>
      <c r="X2261" s="82"/>
      <c r="Y2261" s="82"/>
      <c r="Z2261" s="82"/>
    </row>
    <row r="2262" spans="1:26">
      <c r="A2262" s="81"/>
      <c r="F2262" s="81"/>
      <c r="G2262" s="82"/>
      <c r="H2262" s="82"/>
      <c r="I2262" s="82"/>
      <c r="J2262" s="82"/>
      <c r="K2262" s="82"/>
      <c r="L2262" s="82"/>
      <c r="M2262" s="82"/>
      <c r="N2262" s="82"/>
      <c r="O2262" s="82"/>
      <c r="P2262" s="82"/>
      <c r="Q2262" s="82"/>
      <c r="R2262" s="82"/>
      <c r="S2262" s="82"/>
      <c r="T2262" s="82"/>
      <c r="U2262" s="82"/>
      <c r="V2262" s="82"/>
      <c r="W2262" s="82"/>
      <c r="X2262" s="82"/>
      <c r="Y2262" s="82"/>
      <c r="Z2262" s="82"/>
    </row>
    <row r="2263" spans="1:26">
      <c r="A2263" s="81"/>
      <c r="F2263" s="81"/>
      <c r="G2263" s="82"/>
      <c r="H2263" s="82"/>
      <c r="I2263" s="82"/>
      <c r="J2263" s="82"/>
      <c r="K2263" s="82"/>
      <c r="L2263" s="82"/>
      <c r="M2263" s="82"/>
      <c r="N2263" s="82"/>
      <c r="O2263" s="82"/>
      <c r="P2263" s="82"/>
      <c r="Q2263" s="82"/>
      <c r="R2263" s="82"/>
      <c r="S2263" s="82"/>
      <c r="T2263" s="82"/>
      <c r="U2263" s="82"/>
      <c r="V2263" s="82"/>
      <c r="W2263" s="82"/>
      <c r="X2263" s="82"/>
      <c r="Y2263" s="82"/>
      <c r="Z2263" s="82"/>
    </row>
    <row r="2264" spans="1:26">
      <c r="A2264" s="81"/>
      <c r="F2264" s="81"/>
      <c r="G2264" s="82"/>
      <c r="H2264" s="82"/>
      <c r="I2264" s="82"/>
      <c r="J2264" s="82"/>
      <c r="K2264" s="82"/>
      <c r="L2264" s="82"/>
      <c r="M2264" s="82"/>
      <c r="N2264" s="82"/>
      <c r="O2264" s="82"/>
      <c r="P2264" s="82"/>
      <c r="Q2264" s="82"/>
      <c r="R2264" s="82"/>
      <c r="S2264" s="82"/>
      <c r="T2264" s="82"/>
      <c r="U2264" s="82"/>
      <c r="V2264" s="82"/>
      <c r="W2264" s="82"/>
      <c r="X2264" s="82"/>
      <c r="Y2264" s="82"/>
      <c r="Z2264" s="82"/>
    </row>
    <row r="2265" spans="1:26">
      <c r="A2265" s="81"/>
      <c r="F2265" s="81"/>
      <c r="G2265" s="82"/>
      <c r="H2265" s="82"/>
      <c r="I2265" s="82"/>
      <c r="J2265" s="82"/>
      <c r="K2265" s="82"/>
      <c r="L2265" s="82"/>
      <c r="M2265" s="82"/>
      <c r="N2265" s="82"/>
      <c r="O2265" s="82"/>
      <c r="P2265" s="82"/>
      <c r="Q2265" s="82"/>
      <c r="R2265" s="82"/>
      <c r="S2265" s="82"/>
      <c r="T2265" s="82"/>
      <c r="U2265" s="82"/>
      <c r="V2265" s="82"/>
      <c r="W2265" s="82"/>
      <c r="X2265" s="82"/>
      <c r="Y2265" s="82"/>
      <c r="Z2265" s="82"/>
    </row>
    <row r="2266" spans="1:26">
      <c r="A2266" s="81"/>
      <c r="F2266" s="81"/>
      <c r="G2266" s="82"/>
      <c r="H2266" s="82"/>
      <c r="I2266" s="82"/>
      <c r="J2266" s="82"/>
      <c r="K2266" s="82"/>
      <c r="L2266" s="82"/>
      <c r="M2266" s="82"/>
      <c r="N2266" s="82"/>
      <c r="O2266" s="82"/>
      <c r="P2266" s="82"/>
      <c r="Q2266" s="82"/>
      <c r="R2266" s="82"/>
      <c r="S2266" s="82"/>
      <c r="T2266" s="82"/>
      <c r="U2266" s="82"/>
      <c r="V2266" s="82"/>
      <c r="W2266" s="82"/>
      <c r="X2266" s="82"/>
      <c r="Y2266" s="82"/>
      <c r="Z2266" s="82"/>
    </row>
    <row r="2267" spans="1:26">
      <c r="A2267" s="81"/>
      <c r="F2267" s="81"/>
      <c r="G2267" s="82"/>
      <c r="H2267" s="82"/>
      <c r="I2267" s="82"/>
      <c r="J2267" s="82"/>
      <c r="K2267" s="82"/>
      <c r="L2267" s="82"/>
      <c r="M2267" s="82"/>
      <c r="N2267" s="82"/>
      <c r="O2267" s="82"/>
      <c r="P2267" s="82"/>
      <c r="Q2267" s="82"/>
      <c r="R2267" s="82"/>
      <c r="S2267" s="82"/>
      <c r="T2267" s="82"/>
      <c r="U2267" s="82"/>
      <c r="V2267" s="82"/>
      <c r="W2267" s="82"/>
      <c r="X2267" s="82"/>
      <c r="Y2267" s="82"/>
      <c r="Z2267" s="82"/>
    </row>
    <row r="2268" spans="1:26">
      <c r="A2268" s="81"/>
      <c r="F2268" s="81"/>
      <c r="G2268" s="82"/>
      <c r="H2268" s="82"/>
      <c r="I2268" s="82"/>
      <c r="J2268" s="82"/>
      <c r="K2268" s="82"/>
      <c r="L2268" s="82"/>
      <c r="M2268" s="82"/>
      <c r="N2268" s="82"/>
      <c r="O2268" s="82"/>
      <c r="P2268" s="82"/>
      <c r="Q2268" s="82"/>
      <c r="R2268" s="82"/>
      <c r="S2268" s="82"/>
      <c r="T2268" s="82"/>
      <c r="U2268" s="82"/>
      <c r="V2268" s="82"/>
      <c r="W2268" s="82"/>
      <c r="X2268" s="82"/>
      <c r="Y2268" s="82"/>
      <c r="Z2268" s="82"/>
    </row>
    <row r="2269" spans="1:26">
      <c r="A2269" s="81"/>
      <c r="F2269" s="81"/>
      <c r="G2269" s="82"/>
      <c r="H2269" s="82"/>
      <c r="I2269" s="82"/>
      <c r="J2269" s="82"/>
      <c r="K2269" s="82"/>
      <c r="L2269" s="82"/>
      <c r="M2269" s="82"/>
      <c r="N2269" s="82"/>
      <c r="O2269" s="82"/>
      <c r="P2269" s="82"/>
      <c r="Q2269" s="82"/>
      <c r="R2269" s="82"/>
      <c r="S2269" s="82"/>
      <c r="T2269" s="82"/>
      <c r="U2269" s="82"/>
      <c r="V2269" s="82"/>
      <c r="W2269" s="82"/>
      <c r="X2269" s="82"/>
      <c r="Y2269" s="82"/>
      <c r="Z2269" s="82"/>
    </row>
    <row r="2270" spans="1:26">
      <c r="A2270" s="81"/>
      <c r="F2270" s="81"/>
      <c r="G2270" s="82"/>
      <c r="H2270" s="82"/>
      <c r="I2270" s="82"/>
      <c r="J2270" s="82"/>
      <c r="K2270" s="82"/>
      <c r="L2270" s="82"/>
      <c r="M2270" s="82"/>
      <c r="N2270" s="82"/>
      <c r="O2270" s="82"/>
      <c r="P2270" s="82"/>
      <c r="Q2270" s="82"/>
      <c r="R2270" s="82"/>
      <c r="S2270" s="82"/>
      <c r="T2270" s="82"/>
      <c r="U2270" s="82"/>
      <c r="V2270" s="82"/>
      <c r="W2270" s="82"/>
      <c r="X2270" s="82"/>
      <c r="Y2270" s="82"/>
      <c r="Z2270" s="82"/>
    </row>
    <row r="2271" spans="1:26">
      <c r="A2271" s="81"/>
      <c r="F2271" s="81"/>
      <c r="G2271" s="82"/>
      <c r="H2271" s="82"/>
      <c r="I2271" s="82"/>
      <c r="J2271" s="82"/>
      <c r="K2271" s="82"/>
      <c r="L2271" s="82"/>
      <c r="M2271" s="82"/>
      <c r="N2271" s="82"/>
      <c r="O2271" s="82"/>
      <c r="P2271" s="82"/>
      <c r="Q2271" s="82"/>
      <c r="R2271" s="82"/>
      <c r="S2271" s="82"/>
      <c r="T2271" s="82"/>
      <c r="U2271" s="82"/>
      <c r="V2271" s="82"/>
      <c r="W2271" s="82"/>
      <c r="X2271" s="82"/>
      <c r="Y2271" s="82"/>
      <c r="Z2271" s="82"/>
    </row>
    <row r="2272" spans="1:26">
      <c r="A2272" s="81"/>
      <c r="F2272" s="81"/>
      <c r="G2272" s="82"/>
      <c r="H2272" s="82"/>
      <c r="I2272" s="82"/>
      <c r="J2272" s="82"/>
      <c r="K2272" s="82"/>
      <c r="L2272" s="82"/>
      <c r="M2272" s="82"/>
      <c r="N2272" s="82"/>
      <c r="O2272" s="82"/>
      <c r="P2272" s="82"/>
      <c r="Q2272" s="82"/>
      <c r="R2272" s="82"/>
      <c r="S2272" s="82"/>
      <c r="T2272" s="82"/>
      <c r="U2272" s="82"/>
      <c r="V2272" s="82"/>
      <c r="W2272" s="82"/>
      <c r="X2272" s="82"/>
      <c r="Y2272" s="82"/>
      <c r="Z2272" s="82"/>
    </row>
    <row r="2273" spans="1:26">
      <c r="A2273" s="81"/>
      <c r="F2273" s="81"/>
      <c r="G2273" s="82"/>
      <c r="H2273" s="82"/>
      <c r="I2273" s="82"/>
      <c r="J2273" s="82"/>
      <c r="K2273" s="82"/>
      <c r="L2273" s="82"/>
      <c r="M2273" s="82"/>
      <c r="N2273" s="82"/>
      <c r="O2273" s="82"/>
      <c r="P2273" s="82"/>
      <c r="Q2273" s="82"/>
      <c r="R2273" s="82"/>
      <c r="S2273" s="82"/>
      <c r="T2273" s="82"/>
      <c r="U2273" s="82"/>
      <c r="V2273" s="82"/>
      <c r="W2273" s="82"/>
      <c r="X2273" s="82"/>
      <c r="Y2273" s="82"/>
      <c r="Z2273" s="82"/>
    </row>
    <row r="2274" spans="1:26">
      <c r="A2274" s="81"/>
      <c r="F2274" s="81"/>
      <c r="G2274" s="82"/>
      <c r="H2274" s="82"/>
      <c r="I2274" s="82"/>
      <c r="J2274" s="82"/>
      <c r="K2274" s="82"/>
      <c r="L2274" s="82"/>
      <c r="M2274" s="82"/>
      <c r="N2274" s="82"/>
      <c r="O2274" s="82"/>
      <c r="P2274" s="82"/>
      <c r="Q2274" s="82"/>
      <c r="R2274" s="82"/>
      <c r="S2274" s="82"/>
      <c r="T2274" s="82"/>
      <c r="U2274" s="82"/>
      <c r="V2274" s="82"/>
      <c r="W2274" s="82"/>
      <c r="X2274" s="82"/>
      <c r="Y2274" s="82"/>
      <c r="Z2274" s="82"/>
    </row>
    <row r="2275" spans="1:26">
      <c r="A2275" s="81"/>
      <c r="F2275" s="81"/>
      <c r="G2275" s="82"/>
      <c r="H2275" s="82"/>
      <c r="I2275" s="82"/>
      <c r="J2275" s="82"/>
      <c r="K2275" s="82"/>
      <c r="L2275" s="82"/>
      <c r="M2275" s="82"/>
      <c r="N2275" s="82"/>
      <c r="O2275" s="82"/>
      <c r="P2275" s="82"/>
      <c r="Q2275" s="82"/>
      <c r="R2275" s="82"/>
      <c r="S2275" s="82"/>
      <c r="T2275" s="82"/>
      <c r="U2275" s="82"/>
      <c r="V2275" s="82"/>
      <c r="W2275" s="82"/>
      <c r="X2275" s="82"/>
      <c r="Y2275" s="82"/>
      <c r="Z2275" s="82"/>
    </row>
    <row r="2276" spans="1:26">
      <c r="A2276" s="81"/>
      <c r="F2276" s="81"/>
      <c r="G2276" s="82"/>
      <c r="H2276" s="82"/>
      <c r="I2276" s="82"/>
      <c r="J2276" s="82"/>
      <c r="K2276" s="82"/>
      <c r="L2276" s="82"/>
      <c r="M2276" s="82"/>
      <c r="N2276" s="82"/>
      <c r="O2276" s="82"/>
      <c r="P2276" s="82"/>
      <c r="Q2276" s="82"/>
      <c r="R2276" s="82"/>
      <c r="S2276" s="82"/>
      <c r="T2276" s="82"/>
      <c r="U2276" s="82"/>
      <c r="V2276" s="82"/>
      <c r="W2276" s="82"/>
      <c r="X2276" s="82"/>
      <c r="Y2276" s="82"/>
      <c r="Z2276" s="82"/>
    </row>
    <row r="2277" spans="1:26">
      <c r="A2277" s="81"/>
      <c r="F2277" s="81"/>
      <c r="G2277" s="82"/>
      <c r="H2277" s="82"/>
      <c r="I2277" s="82"/>
      <c r="J2277" s="82"/>
      <c r="K2277" s="82"/>
      <c r="L2277" s="82"/>
      <c r="M2277" s="82"/>
      <c r="N2277" s="82"/>
      <c r="O2277" s="82"/>
      <c r="P2277" s="82"/>
      <c r="Q2277" s="82"/>
      <c r="R2277" s="82"/>
      <c r="S2277" s="82"/>
      <c r="T2277" s="82"/>
      <c r="U2277" s="82"/>
      <c r="V2277" s="82"/>
      <c r="W2277" s="82"/>
      <c r="X2277" s="82"/>
      <c r="Y2277" s="82"/>
      <c r="Z2277" s="82"/>
    </row>
    <row r="2278" spans="1:26">
      <c r="A2278" s="81"/>
      <c r="F2278" s="81"/>
      <c r="G2278" s="82"/>
      <c r="H2278" s="82"/>
      <c r="I2278" s="82"/>
      <c r="J2278" s="82"/>
      <c r="K2278" s="82"/>
      <c r="L2278" s="82"/>
      <c r="M2278" s="82"/>
      <c r="N2278" s="82"/>
      <c r="O2278" s="82"/>
      <c r="P2278" s="82"/>
      <c r="Q2278" s="82"/>
      <c r="R2278" s="82"/>
      <c r="S2278" s="82"/>
      <c r="T2278" s="82"/>
      <c r="U2278" s="82"/>
      <c r="V2278" s="82"/>
      <c r="W2278" s="82"/>
      <c r="X2278" s="82"/>
      <c r="Y2278" s="82"/>
      <c r="Z2278" s="82"/>
    </row>
    <row r="2279" spans="1:26">
      <c r="A2279" s="81"/>
      <c r="F2279" s="81"/>
      <c r="G2279" s="82"/>
      <c r="H2279" s="82"/>
      <c r="I2279" s="82"/>
      <c r="J2279" s="82"/>
      <c r="K2279" s="82"/>
      <c r="L2279" s="82"/>
      <c r="M2279" s="82"/>
      <c r="N2279" s="82"/>
      <c r="O2279" s="82"/>
      <c r="P2279" s="82"/>
      <c r="Q2279" s="82"/>
      <c r="R2279" s="82"/>
      <c r="S2279" s="82"/>
      <c r="T2279" s="82"/>
      <c r="U2279" s="82"/>
      <c r="V2279" s="82"/>
      <c r="W2279" s="82"/>
      <c r="X2279" s="82"/>
      <c r="Y2279" s="82"/>
      <c r="Z2279" s="82"/>
    </row>
    <row r="2280" spans="1:26">
      <c r="A2280" s="81"/>
      <c r="F2280" s="81"/>
      <c r="G2280" s="82"/>
      <c r="H2280" s="82"/>
      <c r="I2280" s="82"/>
      <c r="J2280" s="82"/>
      <c r="K2280" s="82"/>
      <c r="L2280" s="82"/>
      <c r="M2280" s="82"/>
      <c r="N2280" s="82"/>
      <c r="O2280" s="82"/>
      <c r="P2280" s="82"/>
      <c r="Q2280" s="82"/>
      <c r="R2280" s="82"/>
      <c r="S2280" s="82"/>
      <c r="T2280" s="82"/>
      <c r="U2280" s="82"/>
      <c r="V2280" s="82"/>
      <c r="W2280" s="82"/>
      <c r="X2280" s="82"/>
      <c r="Y2280" s="82"/>
      <c r="Z2280" s="82"/>
    </row>
    <row r="2281" spans="1:26">
      <c r="A2281" s="81"/>
      <c r="F2281" s="81"/>
      <c r="G2281" s="82"/>
      <c r="H2281" s="82"/>
      <c r="I2281" s="82"/>
      <c r="J2281" s="82"/>
      <c r="K2281" s="82"/>
      <c r="L2281" s="82"/>
      <c r="M2281" s="82"/>
      <c r="N2281" s="82"/>
      <c r="O2281" s="82"/>
      <c r="P2281" s="82"/>
      <c r="Q2281" s="82"/>
      <c r="R2281" s="82"/>
      <c r="S2281" s="82"/>
      <c r="T2281" s="82"/>
      <c r="U2281" s="82"/>
      <c r="V2281" s="82"/>
      <c r="W2281" s="82"/>
      <c r="X2281" s="82"/>
      <c r="Y2281" s="82"/>
      <c r="Z2281" s="82"/>
    </row>
    <row r="2282" spans="1:26">
      <c r="A2282" s="81"/>
      <c r="F2282" s="81"/>
      <c r="G2282" s="82"/>
      <c r="H2282" s="82"/>
      <c r="I2282" s="82"/>
      <c r="J2282" s="82"/>
      <c r="K2282" s="82"/>
      <c r="L2282" s="82"/>
      <c r="M2282" s="82"/>
      <c r="N2282" s="82"/>
      <c r="O2282" s="82"/>
      <c r="P2282" s="82"/>
      <c r="Q2282" s="82"/>
      <c r="R2282" s="82"/>
      <c r="S2282" s="82"/>
      <c r="T2282" s="82"/>
      <c r="U2282" s="82"/>
      <c r="V2282" s="82"/>
      <c r="W2282" s="82"/>
      <c r="X2282" s="82"/>
      <c r="Y2282" s="82"/>
      <c r="Z2282" s="82"/>
    </row>
    <row r="2283" spans="1:26">
      <c r="A2283" s="81"/>
      <c r="F2283" s="81"/>
      <c r="G2283" s="82"/>
      <c r="H2283" s="82"/>
      <c r="I2283" s="82"/>
      <c r="J2283" s="82"/>
      <c r="K2283" s="82"/>
      <c r="L2283" s="82"/>
      <c r="M2283" s="82"/>
      <c r="N2283" s="82"/>
      <c r="O2283" s="82"/>
      <c r="P2283" s="82"/>
      <c r="Q2283" s="82"/>
      <c r="R2283" s="82"/>
      <c r="S2283" s="82"/>
      <c r="T2283" s="82"/>
      <c r="U2283" s="82"/>
      <c r="V2283" s="82"/>
      <c r="W2283" s="82"/>
      <c r="X2283" s="82"/>
      <c r="Y2283" s="82"/>
      <c r="Z2283" s="82"/>
    </row>
    <row r="2284" spans="1:26">
      <c r="A2284" s="81"/>
      <c r="F2284" s="81"/>
      <c r="G2284" s="82"/>
      <c r="H2284" s="82"/>
      <c r="I2284" s="82"/>
      <c r="J2284" s="82"/>
      <c r="K2284" s="82"/>
      <c r="L2284" s="82"/>
      <c r="M2284" s="82"/>
      <c r="N2284" s="82"/>
      <c r="O2284" s="82"/>
      <c r="P2284" s="82"/>
      <c r="Q2284" s="82"/>
      <c r="R2284" s="82"/>
      <c r="S2284" s="82"/>
      <c r="T2284" s="82"/>
      <c r="U2284" s="82"/>
      <c r="V2284" s="82"/>
      <c r="W2284" s="82"/>
      <c r="X2284" s="82"/>
      <c r="Y2284" s="82"/>
      <c r="Z2284" s="82"/>
    </row>
    <row r="2285" spans="1:26">
      <c r="A2285" s="81"/>
      <c r="F2285" s="81"/>
      <c r="G2285" s="82"/>
      <c r="H2285" s="82"/>
      <c r="I2285" s="82"/>
      <c r="J2285" s="82"/>
      <c r="K2285" s="82"/>
      <c r="L2285" s="82"/>
      <c r="M2285" s="82"/>
      <c r="N2285" s="82"/>
      <c r="O2285" s="82"/>
      <c r="P2285" s="82"/>
      <c r="Q2285" s="82"/>
      <c r="R2285" s="82"/>
      <c r="S2285" s="82"/>
      <c r="T2285" s="82"/>
      <c r="U2285" s="82"/>
      <c r="V2285" s="82"/>
      <c r="W2285" s="82"/>
      <c r="X2285" s="82"/>
      <c r="Y2285" s="82"/>
      <c r="Z2285" s="82"/>
    </row>
    <row r="2286" spans="1:26">
      <c r="A2286" s="81"/>
      <c r="F2286" s="81"/>
      <c r="G2286" s="82"/>
      <c r="H2286" s="82"/>
      <c r="I2286" s="82"/>
      <c r="J2286" s="82"/>
      <c r="K2286" s="82"/>
      <c r="L2286" s="82"/>
      <c r="M2286" s="82"/>
      <c r="N2286" s="82"/>
      <c r="O2286" s="82"/>
      <c r="P2286" s="82"/>
      <c r="Q2286" s="82"/>
      <c r="R2286" s="82"/>
      <c r="S2286" s="82"/>
      <c r="T2286" s="82"/>
      <c r="U2286" s="82"/>
      <c r="V2286" s="82"/>
      <c r="W2286" s="82"/>
      <c r="X2286" s="82"/>
      <c r="Y2286" s="82"/>
      <c r="Z2286" s="82"/>
    </row>
    <row r="2287" spans="1:26">
      <c r="A2287" s="81"/>
      <c r="F2287" s="81"/>
      <c r="G2287" s="82"/>
      <c r="H2287" s="82"/>
      <c r="I2287" s="82"/>
      <c r="J2287" s="82"/>
      <c r="K2287" s="82"/>
      <c r="L2287" s="82"/>
      <c r="M2287" s="82"/>
      <c r="N2287" s="82"/>
      <c r="O2287" s="82"/>
      <c r="P2287" s="82"/>
      <c r="Q2287" s="82"/>
      <c r="R2287" s="82"/>
      <c r="S2287" s="82"/>
      <c r="T2287" s="82"/>
      <c r="U2287" s="82"/>
      <c r="V2287" s="82"/>
      <c r="W2287" s="82"/>
      <c r="X2287" s="82"/>
      <c r="Y2287" s="82"/>
      <c r="Z2287" s="82"/>
    </row>
    <row r="2288" spans="1:26">
      <c r="A2288" s="81"/>
      <c r="F2288" s="81"/>
      <c r="G2288" s="82"/>
      <c r="H2288" s="82"/>
      <c r="I2288" s="82"/>
      <c r="J2288" s="82"/>
      <c r="K2288" s="82"/>
      <c r="L2288" s="82"/>
      <c r="M2288" s="82"/>
      <c r="N2288" s="82"/>
      <c r="O2288" s="82"/>
      <c r="P2288" s="82"/>
      <c r="Q2288" s="82"/>
      <c r="R2288" s="82"/>
      <c r="S2288" s="82"/>
      <c r="T2288" s="82"/>
      <c r="U2288" s="82"/>
      <c r="V2288" s="82"/>
      <c r="W2288" s="82"/>
      <c r="X2288" s="82"/>
      <c r="Y2288" s="82"/>
      <c r="Z2288" s="82"/>
    </row>
    <row r="2289" spans="1:26">
      <c r="A2289" s="81"/>
      <c r="F2289" s="81"/>
      <c r="G2289" s="82"/>
      <c r="H2289" s="82"/>
      <c r="I2289" s="82"/>
      <c r="J2289" s="82"/>
      <c r="K2289" s="82"/>
      <c r="L2289" s="82"/>
      <c r="M2289" s="82"/>
      <c r="N2289" s="82"/>
      <c r="O2289" s="82"/>
      <c r="P2289" s="82"/>
      <c r="Q2289" s="82"/>
      <c r="R2289" s="82"/>
      <c r="S2289" s="82"/>
      <c r="T2289" s="82"/>
      <c r="U2289" s="82"/>
      <c r="V2289" s="82"/>
      <c r="W2289" s="82"/>
      <c r="X2289" s="82"/>
      <c r="Y2289" s="82"/>
      <c r="Z2289" s="82"/>
    </row>
    <row r="2290" spans="1:26">
      <c r="A2290" s="81"/>
      <c r="F2290" s="81"/>
      <c r="G2290" s="82"/>
      <c r="H2290" s="82"/>
      <c r="I2290" s="82"/>
      <c r="J2290" s="82"/>
      <c r="K2290" s="82"/>
      <c r="L2290" s="82"/>
      <c r="M2290" s="82"/>
      <c r="N2290" s="82"/>
      <c r="O2290" s="82"/>
      <c r="P2290" s="82"/>
      <c r="Q2290" s="82"/>
      <c r="R2290" s="82"/>
      <c r="S2290" s="82"/>
      <c r="T2290" s="82"/>
      <c r="U2290" s="82"/>
      <c r="V2290" s="82"/>
      <c r="W2290" s="82"/>
      <c r="X2290" s="82"/>
      <c r="Y2290" s="82"/>
      <c r="Z2290" s="82"/>
    </row>
    <row r="2291" spans="1:26">
      <c r="A2291" s="81"/>
      <c r="F2291" s="81"/>
      <c r="G2291" s="82"/>
      <c r="H2291" s="82"/>
      <c r="I2291" s="82"/>
      <c r="J2291" s="82"/>
      <c r="K2291" s="82"/>
      <c r="L2291" s="82"/>
      <c r="M2291" s="82"/>
      <c r="N2291" s="82"/>
      <c r="O2291" s="82"/>
      <c r="P2291" s="82"/>
      <c r="Q2291" s="82"/>
      <c r="R2291" s="82"/>
      <c r="S2291" s="82"/>
      <c r="T2291" s="82"/>
      <c r="U2291" s="82"/>
      <c r="V2291" s="82"/>
      <c r="W2291" s="82"/>
      <c r="X2291" s="82"/>
      <c r="Y2291" s="82"/>
      <c r="Z2291" s="82"/>
    </row>
    <row r="2292" spans="1:26">
      <c r="A2292" s="81"/>
      <c r="F2292" s="81"/>
      <c r="G2292" s="82"/>
      <c r="H2292" s="82"/>
      <c r="I2292" s="82"/>
      <c r="J2292" s="82"/>
      <c r="K2292" s="82"/>
      <c r="L2292" s="82"/>
      <c r="M2292" s="82"/>
      <c r="N2292" s="82"/>
      <c r="O2292" s="82"/>
      <c r="P2292" s="82"/>
      <c r="Q2292" s="82"/>
      <c r="R2292" s="82"/>
      <c r="S2292" s="82"/>
      <c r="T2292" s="82"/>
      <c r="U2292" s="82"/>
      <c r="V2292" s="82"/>
      <c r="W2292" s="82"/>
      <c r="X2292" s="82"/>
      <c r="Y2292" s="82"/>
      <c r="Z2292" s="82"/>
    </row>
    <row r="2293" spans="1:26">
      <c r="A2293" s="81"/>
      <c r="F2293" s="81"/>
      <c r="G2293" s="82"/>
      <c r="H2293" s="82"/>
      <c r="I2293" s="82"/>
      <c r="J2293" s="82"/>
      <c r="K2293" s="82"/>
      <c r="L2293" s="82"/>
      <c r="M2293" s="82"/>
      <c r="N2293" s="82"/>
      <c r="O2293" s="82"/>
      <c r="P2293" s="82"/>
      <c r="Q2293" s="82"/>
      <c r="R2293" s="82"/>
      <c r="S2293" s="82"/>
      <c r="T2293" s="82"/>
      <c r="U2293" s="82"/>
      <c r="V2293" s="82"/>
      <c r="W2293" s="82"/>
      <c r="X2293" s="82"/>
      <c r="Y2293" s="82"/>
      <c r="Z2293" s="82"/>
    </row>
    <row r="2294" spans="1:26">
      <c r="A2294" s="81"/>
      <c r="F2294" s="81"/>
      <c r="G2294" s="82"/>
      <c r="H2294" s="82"/>
      <c r="I2294" s="82"/>
      <c r="J2294" s="82"/>
      <c r="K2294" s="82"/>
      <c r="L2294" s="82"/>
      <c r="M2294" s="82"/>
      <c r="N2294" s="82"/>
      <c r="O2294" s="82"/>
      <c r="P2294" s="82"/>
      <c r="Q2294" s="82"/>
      <c r="R2294" s="82"/>
      <c r="S2294" s="82"/>
      <c r="T2294" s="82"/>
      <c r="U2294" s="82"/>
      <c r="V2294" s="82"/>
      <c r="W2294" s="82"/>
      <c r="X2294" s="82"/>
      <c r="Y2294" s="82"/>
      <c r="Z2294" s="82"/>
    </row>
    <row r="2295" spans="1:26">
      <c r="A2295" s="81"/>
      <c r="F2295" s="81"/>
      <c r="G2295" s="82"/>
      <c r="H2295" s="82"/>
      <c r="I2295" s="82"/>
      <c r="J2295" s="82"/>
      <c r="K2295" s="82"/>
      <c r="L2295" s="82"/>
      <c r="M2295" s="82"/>
      <c r="N2295" s="82"/>
      <c r="O2295" s="82"/>
      <c r="P2295" s="82"/>
      <c r="Q2295" s="82"/>
      <c r="R2295" s="82"/>
      <c r="S2295" s="82"/>
      <c r="T2295" s="82"/>
      <c r="U2295" s="82"/>
      <c r="V2295" s="82"/>
      <c r="W2295" s="82"/>
      <c r="X2295" s="82"/>
      <c r="Y2295" s="82"/>
      <c r="Z2295" s="82"/>
    </row>
    <row r="2296" spans="1:26">
      <c r="A2296" s="81"/>
      <c r="F2296" s="81"/>
      <c r="G2296" s="82"/>
      <c r="H2296" s="82"/>
      <c r="I2296" s="82"/>
      <c r="J2296" s="82"/>
      <c r="K2296" s="82"/>
      <c r="L2296" s="82"/>
      <c r="M2296" s="82"/>
      <c r="N2296" s="82"/>
      <c r="O2296" s="82"/>
      <c r="P2296" s="82"/>
      <c r="Q2296" s="82"/>
      <c r="R2296" s="82"/>
      <c r="S2296" s="82"/>
      <c r="T2296" s="82"/>
      <c r="U2296" s="82"/>
      <c r="V2296" s="82"/>
      <c r="W2296" s="82"/>
      <c r="X2296" s="82"/>
      <c r="Y2296" s="82"/>
      <c r="Z2296" s="82"/>
    </row>
    <row r="2297" spans="1:26">
      <c r="A2297" s="81"/>
      <c r="F2297" s="81"/>
      <c r="G2297" s="82"/>
      <c r="H2297" s="82"/>
      <c r="I2297" s="82"/>
      <c r="J2297" s="82"/>
      <c r="K2297" s="82"/>
      <c r="L2297" s="82"/>
      <c r="M2297" s="82"/>
      <c r="N2297" s="82"/>
      <c r="O2297" s="82"/>
      <c r="P2297" s="82"/>
      <c r="Q2297" s="82"/>
      <c r="R2297" s="82"/>
      <c r="S2297" s="82"/>
      <c r="T2297" s="82"/>
      <c r="U2297" s="82"/>
      <c r="V2297" s="82"/>
      <c r="W2297" s="82"/>
      <c r="X2297" s="82"/>
      <c r="Y2297" s="82"/>
      <c r="Z2297" s="82"/>
    </row>
    <row r="2298" spans="1:26">
      <c r="A2298" s="81"/>
      <c r="F2298" s="81"/>
      <c r="G2298" s="82"/>
      <c r="H2298" s="82"/>
      <c r="I2298" s="82"/>
      <c r="J2298" s="82"/>
      <c r="K2298" s="82"/>
      <c r="L2298" s="82"/>
      <c r="M2298" s="82"/>
      <c r="N2298" s="82"/>
      <c r="O2298" s="82"/>
      <c r="P2298" s="82"/>
      <c r="Q2298" s="82"/>
      <c r="R2298" s="82"/>
      <c r="S2298" s="82"/>
      <c r="T2298" s="82"/>
      <c r="U2298" s="82"/>
      <c r="V2298" s="82"/>
      <c r="W2298" s="82"/>
      <c r="X2298" s="82"/>
      <c r="Y2298" s="82"/>
      <c r="Z2298" s="82"/>
    </row>
    <row r="2299" spans="1:26">
      <c r="A2299" s="81"/>
      <c r="F2299" s="81"/>
      <c r="G2299" s="82"/>
      <c r="H2299" s="82"/>
      <c r="I2299" s="82"/>
      <c r="J2299" s="82"/>
      <c r="K2299" s="82"/>
      <c r="L2299" s="82"/>
      <c r="M2299" s="82"/>
      <c r="N2299" s="82"/>
      <c r="O2299" s="82"/>
      <c r="P2299" s="82"/>
      <c r="Q2299" s="82"/>
      <c r="R2299" s="82"/>
      <c r="S2299" s="82"/>
      <c r="T2299" s="82"/>
      <c r="U2299" s="82"/>
      <c r="V2299" s="82"/>
      <c r="W2299" s="82"/>
      <c r="X2299" s="82"/>
      <c r="Y2299" s="82"/>
      <c r="Z2299" s="82"/>
    </row>
    <row r="2300" spans="1:26">
      <c r="A2300" s="81"/>
      <c r="F2300" s="81"/>
      <c r="G2300" s="82"/>
      <c r="H2300" s="82"/>
      <c r="I2300" s="82"/>
      <c r="J2300" s="82"/>
      <c r="K2300" s="82"/>
      <c r="L2300" s="82"/>
      <c r="M2300" s="82"/>
      <c r="N2300" s="82"/>
      <c r="O2300" s="82"/>
      <c r="P2300" s="82"/>
      <c r="Q2300" s="82"/>
      <c r="R2300" s="82"/>
      <c r="S2300" s="82"/>
      <c r="T2300" s="82"/>
      <c r="U2300" s="82"/>
      <c r="V2300" s="82"/>
      <c r="W2300" s="82"/>
      <c r="X2300" s="82"/>
      <c r="Y2300" s="82"/>
      <c r="Z2300" s="82"/>
    </row>
    <row r="2301" spans="1:26">
      <c r="A2301" s="81"/>
      <c r="F2301" s="81"/>
      <c r="G2301" s="82"/>
      <c r="H2301" s="82"/>
      <c r="I2301" s="82"/>
      <c r="J2301" s="82"/>
      <c r="K2301" s="82"/>
      <c r="L2301" s="82"/>
      <c r="M2301" s="82"/>
      <c r="N2301" s="82"/>
      <c r="O2301" s="82"/>
      <c r="P2301" s="82"/>
      <c r="Q2301" s="82"/>
      <c r="R2301" s="82"/>
      <c r="S2301" s="82"/>
      <c r="T2301" s="82"/>
      <c r="U2301" s="82"/>
      <c r="V2301" s="82"/>
      <c r="W2301" s="82"/>
      <c r="X2301" s="82"/>
      <c r="Y2301" s="82"/>
      <c r="Z2301" s="82"/>
    </row>
    <row r="2302" spans="1:26">
      <c r="A2302" s="81"/>
      <c r="F2302" s="81"/>
      <c r="G2302" s="82"/>
      <c r="H2302" s="82"/>
      <c r="I2302" s="82"/>
      <c r="J2302" s="82"/>
      <c r="K2302" s="82"/>
      <c r="L2302" s="82"/>
      <c r="M2302" s="82"/>
      <c r="N2302" s="82"/>
      <c r="O2302" s="82"/>
      <c r="P2302" s="82"/>
      <c r="Q2302" s="82"/>
      <c r="R2302" s="82"/>
      <c r="S2302" s="82"/>
      <c r="T2302" s="82"/>
      <c r="U2302" s="82"/>
      <c r="V2302" s="82"/>
      <c r="W2302" s="82"/>
      <c r="X2302" s="82"/>
      <c r="Y2302" s="82"/>
      <c r="Z2302" s="82"/>
    </row>
    <row r="2303" spans="1:26">
      <c r="A2303" s="81"/>
      <c r="F2303" s="81"/>
      <c r="G2303" s="82"/>
      <c r="H2303" s="82"/>
      <c r="I2303" s="82"/>
      <c r="J2303" s="82"/>
      <c r="K2303" s="82"/>
      <c r="L2303" s="82"/>
      <c r="M2303" s="82"/>
      <c r="N2303" s="82"/>
      <c r="O2303" s="82"/>
      <c r="P2303" s="82"/>
      <c r="Q2303" s="82"/>
      <c r="R2303" s="82"/>
      <c r="S2303" s="82"/>
      <c r="T2303" s="82"/>
      <c r="U2303" s="82"/>
      <c r="V2303" s="82"/>
      <c r="W2303" s="82"/>
      <c r="X2303" s="82"/>
      <c r="Y2303" s="82"/>
      <c r="Z2303" s="82"/>
    </row>
    <row r="2304" spans="1:26">
      <c r="A2304" s="81"/>
      <c r="F2304" s="81"/>
      <c r="G2304" s="82"/>
      <c r="H2304" s="82"/>
      <c r="I2304" s="82"/>
      <c r="J2304" s="82"/>
      <c r="K2304" s="82"/>
      <c r="L2304" s="82"/>
      <c r="M2304" s="82"/>
      <c r="N2304" s="82"/>
      <c r="O2304" s="82"/>
      <c r="P2304" s="82"/>
      <c r="Q2304" s="82"/>
      <c r="R2304" s="82"/>
      <c r="S2304" s="82"/>
      <c r="T2304" s="82"/>
      <c r="U2304" s="82"/>
      <c r="V2304" s="82"/>
      <c r="W2304" s="82"/>
      <c r="X2304" s="82"/>
      <c r="Y2304" s="82"/>
      <c r="Z2304" s="82"/>
    </row>
    <row r="2305" spans="1:26">
      <c r="A2305" s="81"/>
      <c r="F2305" s="81"/>
      <c r="G2305" s="82"/>
      <c r="H2305" s="82"/>
      <c r="I2305" s="82"/>
      <c r="J2305" s="82"/>
      <c r="K2305" s="82"/>
      <c r="L2305" s="82"/>
      <c r="M2305" s="82"/>
      <c r="N2305" s="82"/>
      <c r="O2305" s="82"/>
      <c r="P2305" s="82"/>
      <c r="Q2305" s="82"/>
      <c r="R2305" s="82"/>
      <c r="S2305" s="82"/>
      <c r="T2305" s="82"/>
      <c r="U2305" s="82"/>
      <c r="V2305" s="82"/>
      <c r="W2305" s="82"/>
      <c r="X2305" s="82"/>
      <c r="Y2305" s="82"/>
      <c r="Z2305" s="82"/>
    </row>
    <row r="2306" spans="1:26">
      <c r="A2306" s="81"/>
      <c r="F2306" s="81"/>
      <c r="G2306" s="82"/>
      <c r="H2306" s="82"/>
      <c r="I2306" s="82"/>
      <c r="J2306" s="82"/>
      <c r="K2306" s="82"/>
      <c r="L2306" s="82"/>
      <c r="M2306" s="82"/>
      <c r="N2306" s="82"/>
      <c r="O2306" s="82"/>
      <c r="P2306" s="82"/>
      <c r="Q2306" s="82"/>
      <c r="R2306" s="82"/>
      <c r="S2306" s="82"/>
      <c r="T2306" s="82"/>
      <c r="U2306" s="82"/>
      <c r="V2306" s="82"/>
      <c r="W2306" s="82"/>
      <c r="X2306" s="82"/>
      <c r="Y2306" s="82"/>
      <c r="Z2306" s="82"/>
    </row>
    <row r="2307" spans="1:26">
      <c r="A2307" s="81"/>
      <c r="F2307" s="81"/>
      <c r="G2307" s="82"/>
      <c r="H2307" s="82"/>
      <c r="I2307" s="82"/>
      <c r="J2307" s="82"/>
      <c r="K2307" s="82"/>
      <c r="L2307" s="82"/>
      <c r="M2307" s="82"/>
      <c r="N2307" s="82"/>
      <c r="O2307" s="82"/>
      <c r="P2307" s="82"/>
      <c r="Q2307" s="82"/>
      <c r="R2307" s="82"/>
      <c r="S2307" s="82"/>
      <c r="T2307" s="82"/>
      <c r="U2307" s="82"/>
      <c r="V2307" s="82"/>
      <c r="W2307" s="82"/>
      <c r="X2307" s="82"/>
      <c r="Y2307" s="82"/>
      <c r="Z2307" s="82"/>
    </row>
    <row r="2308" spans="1:26">
      <c r="A2308" s="81"/>
      <c r="F2308" s="81"/>
      <c r="G2308" s="82"/>
      <c r="H2308" s="82"/>
      <c r="I2308" s="82"/>
      <c r="J2308" s="82"/>
      <c r="K2308" s="82"/>
      <c r="L2308" s="82"/>
      <c r="M2308" s="82"/>
      <c r="N2308" s="82"/>
      <c r="O2308" s="82"/>
      <c r="P2308" s="82"/>
      <c r="Q2308" s="82"/>
      <c r="R2308" s="82"/>
      <c r="S2308" s="82"/>
      <c r="T2308" s="82"/>
      <c r="U2308" s="82"/>
      <c r="V2308" s="82"/>
      <c r="W2308" s="82"/>
      <c r="X2308" s="82"/>
      <c r="Y2308" s="82"/>
      <c r="Z2308" s="82"/>
    </row>
    <row r="2309" spans="1:26">
      <c r="A2309" s="81"/>
      <c r="F2309" s="81"/>
      <c r="G2309" s="82"/>
      <c r="H2309" s="82"/>
      <c r="I2309" s="82"/>
      <c r="J2309" s="82"/>
      <c r="K2309" s="82"/>
      <c r="L2309" s="82"/>
      <c r="M2309" s="82"/>
      <c r="N2309" s="82"/>
      <c r="O2309" s="82"/>
      <c r="P2309" s="82"/>
      <c r="Q2309" s="82"/>
      <c r="R2309" s="82"/>
      <c r="S2309" s="82"/>
      <c r="T2309" s="82"/>
      <c r="U2309" s="82"/>
      <c r="V2309" s="82"/>
      <c r="W2309" s="82"/>
      <c r="X2309" s="82"/>
      <c r="Y2309" s="82"/>
      <c r="Z2309" s="82"/>
    </row>
    <row r="2310" spans="1:26">
      <c r="A2310" s="81"/>
      <c r="F2310" s="81"/>
      <c r="G2310" s="82"/>
      <c r="H2310" s="82"/>
      <c r="I2310" s="82"/>
      <c r="J2310" s="82"/>
      <c r="K2310" s="82"/>
      <c r="L2310" s="82"/>
      <c r="M2310" s="82"/>
      <c r="N2310" s="82"/>
      <c r="O2310" s="82"/>
      <c r="P2310" s="82"/>
      <c r="Q2310" s="82"/>
      <c r="R2310" s="82"/>
      <c r="S2310" s="82"/>
      <c r="T2310" s="82"/>
      <c r="U2310" s="82"/>
      <c r="V2310" s="82"/>
      <c r="W2310" s="82"/>
      <c r="X2310" s="82"/>
      <c r="Y2310" s="82"/>
      <c r="Z2310" s="82"/>
    </row>
    <row r="2311" spans="1:26">
      <c r="A2311" s="81"/>
      <c r="F2311" s="81"/>
      <c r="G2311" s="82"/>
      <c r="H2311" s="82"/>
      <c r="I2311" s="82"/>
      <c r="J2311" s="82"/>
      <c r="K2311" s="82"/>
      <c r="L2311" s="82"/>
      <c r="M2311" s="82"/>
      <c r="N2311" s="82"/>
      <c r="O2311" s="82"/>
      <c r="P2311" s="82"/>
      <c r="Q2311" s="82"/>
      <c r="R2311" s="82"/>
      <c r="S2311" s="82"/>
      <c r="T2311" s="82"/>
      <c r="U2311" s="82"/>
      <c r="V2311" s="82"/>
      <c r="W2311" s="82"/>
      <c r="X2311" s="82"/>
      <c r="Y2311" s="82"/>
      <c r="Z2311" s="82"/>
    </row>
    <row r="2312" spans="1:26">
      <c r="A2312" s="81"/>
      <c r="F2312" s="81"/>
      <c r="G2312" s="82"/>
      <c r="H2312" s="82"/>
      <c r="I2312" s="82"/>
      <c r="J2312" s="82"/>
      <c r="K2312" s="82"/>
      <c r="L2312" s="82"/>
      <c r="M2312" s="82"/>
      <c r="N2312" s="82"/>
      <c r="O2312" s="82"/>
      <c r="P2312" s="82"/>
      <c r="Q2312" s="82"/>
      <c r="R2312" s="82"/>
      <c r="S2312" s="82"/>
      <c r="T2312" s="82"/>
      <c r="U2312" s="82"/>
      <c r="V2312" s="82"/>
      <c r="W2312" s="82"/>
      <c r="X2312" s="82"/>
      <c r="Y2312" s="82"/>
      <c r="Z2312" s="82"/>
    </row>
    <row r="2313" spans="1:26">
      <c r="A2313" s="81"/>
      <c r="F2313" s="81"/>
      <c r="G2313" s="82"/>
      <c r="H2313" s="82"/>
      <c r="I2313" s="82"/>
      <c r="J2313" s="82"/>
      <c r="K2313" s="82"/>
      <c r="L2313" s="82"/>
      <c r="M2313" s="82"/>
      <c r="N2313" s="82"/>
      <c r="O2313" s="82"/>
      <c r="P2313" s="82"/>
      <c r="Q2313" s="82"/>
      <c r="R2313" s="82"/>
      <c r="S2313" s="82"/>
      <c r="T2313" s="82"/>
      <c r="U2313" s="82"/>
      <c r="V2313" s="82"/>
      <c r="W2313" s="82"/>
      <c r="X2313" s="82"/>
      <c r="Y2313" s="82"/>
      <c r="Z2313" s="82"/>
    </row>
    <row r="2314" spans="1:26">
      <c r="A2314" s="81"/>
      <c r="F2314" s="81"/>
      <c r="G2314" s="82"/>
      <c r="H2314" s="82"/>
      <c r="I2314" s="82"/>
      <c r="J2314" s="82"/>
      <c r="K2314" s="82"/>
      <c r="L2314" s="82"/>
      <c r="M2314" s="82"/>
      <c r="N2314" s="82"/>
      <c r="O2314" s="82"/>
      <c r="P2314" s="82"/>
      <c r="Q2314" s="82"/>
      <c r="R2314" s="82"/>
      <c r="S2314" s="82"/>
      <c r="T2314" s="82"/>
      <c r="U2314" s="82"/>
      <c r="V2314" s="82"/>
      <c r="W2314" s="82"/>
      <c r="X2314" s="82"/>
      <c r="Y2314" s="82"/>
      <c r="Z2314" s="82"/>
    </row>
    <row r="2315" spans="1:26">
      <c r="A2315" s="81"/>
      <c r="F2315" s="81"/>
      <c r="G2315" s="82"/>
      <c r="H2315" s="82"/>
      <c r="I2315" s="82"/>
      <c r="J2315" s="82"/>
      <c r="K2315" s="82"/>
      <c r="L2315" s="82"/>
      <c r="M2315" s="82"/>
      <c r="N2315" s="82"/>
      <c r="O2315" s="82"/>
      <c r="P2315" s="82"/>
      <c r="Q2315" s="82"/>
      <c r="R2315" s="82"/>
      <c r="S2315" s="82"/>
      <c r="T2315" s="82"/>
      <c r="U2315" s="82"/>
      <c r="V2315" s="82"/>
      <c r="W2315" s="82"/>
      <c r="X2315" s="82"/>
      <c r="Y2315" s="82"/>
      <c r="Z2315" s="82"/>
    </row>
    <row r="2316" spans="1:26">
      <c r="A2316" s="81"/>
      <c r="F2316" s="81"/>
      <c r="G2316" s="82"/>
      <c r="H2316" s="82"/>
      <c r="I2316" s="82"/>
      <c r="J2316" s="82"/>
      <c r="K2316" s="82"/>
      <c r="L2316" s="82"/>
      <c r="M2316" s="82"/>
      <c r="N2316" s="82"/>
      <c r="O2316" s="82"/>
      <c r="P2316" s="82"/>
      <c r="Q2316" s="82"/>
      <c r="R2316" s="82"/>
      <c r="S2316" s="82"/>
      <c r="T2316" s="82"/>
      <c r="U2316" s="82"/>
      <c r="V2316" s="82"/>
      <c r="W2316" s="82"/>
      <c r="X2316" s="82"/>
      <c r="Y2316" s="82"/>
      <c r="Z2316" s="82"/>
    </row>
    <row r="2317" spans="1:26">
      <c r="A2317" s="81"/>
      <c r="F2317" s="81"/>
      <c r="G2317" s="82"/>
      <c r="H2317" s="82"/>
      <c r="I2317" s="82"/>
      <c r="J2317" s="82"/>
      <c r="K2317" s="82"/>
      <c r="L2317" s="82"/>
      <c r="M2317" s="82"/>
      <c r="N2317" s="82"/>
      <c r="O2317" s="82"/>
      <c r="P2317" s="82"/>
      <c r="Q2317" s="82"/>
      <c r="R2317" s="82"/>
      <c r="S2317" s="82"/>
      <c r="T2317" s="82"/>
      <c r="U2317" s="82"/>
      <c r="V2317" s="82"/>
      <c r="W2317" s="82"/>
      <c r="X2317" s="82"/>
      <c r="Y2317" s="82"/>
      <c r="Z2317" s="82"/>
    </row>
    <row r="2318" spans="1:26">
      <c r="A2318" s="81"/>
      <c r="F2318" s="81"/>
      <c r="G2318" s="82"/>
      <c r="H2318" s="82"/>
      <c r="I2318" s="82"/>
      <c r="J2318" s="82"/>
      <c r="K2318" s="82"/>
      <c r="L2318" s="82"/>
      <c r="M2318" s="82"/>
      <c r="N2318" s="82"/>
      <c r="O2318" s="82"/>
      <c r="P2318" s="82"/>
      <c r="Q2318" s="82"/>
      <c r="R2318" s="82"/>
      <c r="S2318" s="82"/>
      <c r="T2318" s="82"/>
      <c r="U2318" s="82"/>
      <c r="V2318" s="82"/>
      <c r="W2318" s="82"/>
      <c r="X2318" s="82"/>
      <c r="Y2318" s="82"/>
      <c r="Z2318" s="82"/>
    </row>
    <row r="2319" spans="1:26">
      <c r="A2319" s="81"/>
      <c r="F2319" s="81"/>
      <c r="G2319" s="82"/>
      <c r="H2319" s="82"/>
      <c r="I2319" s="82"/>
      <c r="J2319" s="82"/>
      <c r="K2319" s="82"/>
      <c r="L2319" s="82"/>
      <c r="M2319" s="82"/>
      <c r="N2319" s="82"/>
      <c r="O2319" s="82"/>
      <c r="P2319" s="82"/>
      <c r="Q2319" s="82"/>
      <c r="R2319" s="82"/>
      <c r="S2319" s="82"/>
      <c r="T2319" s="82"/>
      <c r="U2319" s="82"/>
      <c r="V2319" s="82"/>
      <c r="W2319" s="82"/>
      <c r="X2319" s="82"/>
      <c r="Y2319" s="82"/>
      <c r="Z2319" s="82"/>
    </row>
    <row r="2320" spans="1:26">
      <c r="A2320" s="81"/>
      <c r="F2320" s="81"/>
      <c r="G2320" s="82"/>
      <c r="H2320" s="82"/>
      <c r="I2320" s="82"/>
      <c r="J2320" s="82"/>
      <c r="K2320" s="82"/>
      <c r="L2320" s="82"/>
      <c r="M2320" s="82"/>
      <c r="N2320" s="82"/>
      <c r="O2320" s="82"/>
      <c r="P2320" s="82"/>
      <c r="Q2320" s="82"/>
      <c r="R2320" s="82"/>
      <c r="S2320" s="82"/>
      <c r="T2320" s="82"/>
      <c r="U2320" s="82"/>
      <c r="V2320" s="82"/>
      <c r="W2320" s="82"/>
      <c r="X2320" s="82"/>
      <c r="Y2320" s="82"/>
      <c r="Z2320" s="82"/>
    </row>
    <row r="2321" spans="1:26">
      <c r="A2321" s="81"/>
      <c r="F2321" s="81"/>
      <c r="G2321" s="82"/>
      <c r="H2321" s="82"/>
      <c r="I2321" s="82"/>
      <c r="J2321" s="82"/>
      <c r="K2321" s="82"/>
      <c r="L2321" s="82"/>
      <c r="M2321" s="82"/>
      <c r="N2321" s="82"/>
      <c r="O2321" s="82"/>
      <c r="P2321" s="82"/>
      <c r="Q2321" s="82"/>
      <c r="R2321" s="82"/>
      <c r="S2321" s="82"/>
      <c r="T2321" s="82"/>
      <c r="U2321" s="82"/>
      <c r="V2321" s="82"/>
      <c r="W2321" s="82"/>
      <c r="X2321" s="82"/>
      <c r="Y2321" s="82"/>
      <c r="Z2321" s="82"/>
    </row>
    <row r="2322" spans="1:26">
      <c r="A2322" s="81"/>
      <c r="F2322" s="81"/>
      <c r="G2322" s="82"/>
      <c r="H2322" s="82"/>
      <c r="I2322" s="82"/>
      <c r="J2322" s="82"/>
      <c r="K2322" s="82"/>
      <c r="L2322" s="82"/>
      <c r="M2322" s="82"/>
      <c r="N2322" s="82"/>
      <c r="O2322" s="82"/>
      <c r="P2322" s="82"/>
      <c r="Q2322" s="82"/>
      <c r="R2322" s="82"/>
      <c r="S2322" s="82"/>
      <c r="T2322" s="82"/>
      <c r="U2322" s="82"/>
      <c r="V2322" s="82"/>
      <c r="W2322" s="82"/>
      <c r="X2322" s="82"/>
      <c r="Y2322" s="82"/>
      <c r="Z2322" s="82"/>
    </row>
    <row r="2323" spans="1:26">
      <c r="A2323" s="81"/>
      <c r="F2323" s="81"/>
      <c r="G2323" s="82"/>
      <c r="H2323" s="82"/>
      <c r="I2323" s="82"/>
      <c r="J2323" s="82"/>
      <c r="K2323" s="82"/>
      <c r="L2323" s="82"/>
      <c r="M2323" s="82"/>
      <c r="N2323" s="82"/>
      <c r="O2323" s="82"/>
      <c r="P2323" s="82"/>
      <c r="Q2323" s="82"/>
      <c r="R2323" s="82"/>
      <c r="S2323" s="82"/>
      <c r="T2323" s="82"/>
      <c r="U2323" s="82"/>
      <c r="V2323" s="82"/>
      <c r="W2323" s="82"/>
      <c r="X2323" s="82"/>
      <c r="Y2323" s="82"/>
      <c r="Z2323" s="82"/>
    </row>
    <row r="2324" spans="1:26">
      <c r="A2324" s="81"/>
      <c r="F2324" s="81"/>
      <c r="G2324" s="82"/>
      <c r="H2324" s="82"/>
      <c r="I2324" s="82"/>
      <c r="J2324" s="82"/>
      <c r="K2324" s="82"/>
      <c r="L2324" s="82"/>
      <c r="M2324" s="82"/>
      <c r="N2324" s="82"/>
      <c r="O2324" s="82"/>
      <c r="P2324" s="82"/>
      <c r="Q2324" s="82"/>
      <c r="R2324" s="82"/>
      <c r="S2324" s="82"/>
      <c r="T2324" s="82"/>
      <c r="U2324" s="82"/>
      <c r="V2324" s="82"/>
      <c r="W2324" s="82"/>
      <c r="X2324" s="82"/>
      <c r="Y2324" s="82"/>
      <c r="Z2324" s="82"/>
    </row>
    <row r="2325" spans="1:26">
      <c r="A2325" s="81"/>
      <c r="F2325" s="81"/>
      <c r="G2325" s="82"/>
      <c r="H2325" s="82"/>
      <c r="I2325" s="82"/>
      <c r="J2325" s="82"/>
      <c r="K2325" s="82"/>
      <c r="L2325" s="82"/>
      <c r="M2325" s="82"/>
      <c r="N2325" s="82"/>
      <c r="O2325" s="82"/>
      <c r="P2325" s="82"/>
      <c r="Q2325" s="82"/>
      <c r="R2325" s="82"/>
      <c r="S2325" s="82"/>
      <c r="T2325" s="82"/>
      <c r="U2325" s="82"/>
      <c r="V2325" s="82"/>
      <c r="W2325" s="82"/>
      <c r="X2325" s="82"/>
      <c r="Y2325" s="82"/>
      <c r="Z2325" s="82"/>
    </row>
    <row r="2326" spans="1:26">
      <c r="A2326" s="81"/>
      <c r="F2326" s="81"/>
      <c r="G2326" s="82"/>
      <c r="H2326" s="82"/>
      <c r="I2326" s="82"/>
      <c r="J2326" s="82"/>
      <c r="K2326" s="82"/>
      <c r="L2326" s="82"/>
      <c r="M2326" s="82"/>
      <c r="N2326" s="82"/>
      <c r="O2326" s="82"/>
      <c r="P2326" s="82"/>
      <c r="Q2326" s="82"/>
      <c r="R2326" s="82"/>
      <c r="S2326" s="82"/>
      <c r="T2326" s="82"/>
      <c r="U2326" s="82"/>
      <c r="V2326" s="82"/>
      <c r="W2326" s="82"/>
      <c r="X2326" s="82"/>
      <c r="Y2326" s="82"/>
      <c r="Z2326" s="82"/>
    </row>
    <row r="2327" spans="1:26">
      <c r="A2327" s="81"/>
      <c r="F2327" s="81"/>
      <c r="G2327" s="82"/>
      <c r="H2327" s="82"/>
      <c r="I2327" s="82"/>
      <c r="J2327" s="82"/>
      <c r="K2327" s="82"/>
      <c r="L2327" s="82"/>
      <c r="M2327" s="82"/>
      <c r="N2327" s="82"/>
      <c r="O2327" s="82"/>
      <c r="P2327" s="82"/>
      <c r="Q2327" s="82"/>
      <c r="R2327" s="82"/>
      <c r="S2327" s="82"/>
      <c r="T2327" s="82"/>
      <c r="U2327" s="82"/>
      <c r="V2327" s="82"/>
      <c r="W2327" s="82"/>
      <c r="X2327" s="82"/>
      <c r="Y2327" s="82"/>
      <c r="Z2327" s="82"/>
    </row>
    <row r="2328" spans="1:26">
      <c r="A2328" s="81"/>
      <c r="F2328" s="81"/>
      <c r="G2328" s="82"/>
      <c r="H2328" s="82"/>
      <c r="I2328" s="82"/>
      <c r="J2328" s="82"/>
      <c r="K2328" s="82"/>
      <c r="L2328" s="82"/>
      <c r="M2328" s="82"/>
      <c r="N2328" s="82"/>
      <c r="O2328" s="82"/>
      <c r="P2328" s="82"/>
      <c r="Q2328" s="82"/>
      <c r="R2328" s="82"/>
      <c r="S2328" s="82"/>
      <c r="T2328" s="82"/>
      <c r="U2328" s="82"/>
      <c r="V2328" s="82"/>
      <c r="W2328" s="82"/>
      <c r="X2328" s="82"/>
      <c r="Y2328" s="82"/>
      <c r="Z2328" s="82"/>
    </row>
    <row r="2329" spans="1:26">
      <c r="A2329" s="81"/>
      <c r="F2329" s="81"/>
      <c r="G2329" s="82"/>
      <c r="H2329" s="82"/>
      <c r="I2329" s="82"/>
      <c r="J2329" s="82"/>
      <c r="K2329" s="82"/>
      <c r="L2329" s="82"/>
      <c r="M2329" s="82"/>
      <c r="N2329" s="82"/>
      <c r="O2329" s="82"/>
      <c r="P2329" s="82"/>
      <c r="Q2329" s="82"/>
      <c r="R2329" s="82"/>
      <c r="S2329" s="82"/>
      <c r="T2329" s="82"/>
      <c r="U2329" s="82"/>
      <c r="V2329" s="82"/>
      <c r="W2329" s="82"/>
      <c r="X2329" s="82"/>
      <c r="Y2329" s="82"/>
      <c r="Z2329" s="82"/>
    </row>
    <row r="2330" spans="1:26">
      <c r="A2330" s="81"/>
      <c r="F2330" s="81"/>
      <c r="G2330" s="82"/>
      <c r="H2330" s="82"/>
      <c r="I2330" s="82"/>
      <c r="J2330" s="82"/>
      <c r="K2330" s="82"/>
      <c r="L2330" s="82"/>
      <c r="M2330" s="82"/>
      <c r="N2330" s="82"/>
      <c r="O2330" s="82"/>
      <c r="P2330" s="82"/>
      <c r="Q2330" s="82"/>
      <c r="R2330" s="82"/>
      <c r="S2330" s="82"/>
      <c r="T2330" s="82"/>
      <c r="U2330" s="82"/>
      <c r="V2330" s="82"/>
      <c r="W2330" s="82"/>
      <c r="X2330" s="82"/>
      <c r="Y2330" s="82"/>
      <c r="Z2330" s="82"/>
    </row>
    <row r="2331" spans="1:26">
      <c r="A2331" s="81"/>
      <c r="F2331" s="81"/>
      <c r="G2331" s="82"/>
      <c r="H2331" s="82"/>
      <c r="I2331" s="82"/>
      <c r="J2331" s="82"/>
      <c r="K2331" s="82"/>
      <c r="L2331" s="82"/>
      <c r="M2331" s="82"/>
      <c r="N2331" s="82"/>
      <c r="O2331" s="82"/>
      <c r="P2331" s="82"/>
      <c r="Q2331" s="82"/>
      <c r="R2331" s="82"/>
      <c r="S2331" s="82"/>
      <c r="T2331" s="82"/>
      <c r="U2331" s="82"/>
      <c r="V2331" s="82"/>
      <c r="W2331" s="82"/>
      <c r="X2331" s="82"/>
      <c r="Y2331" s="82"/>
      <c r="Z2331" s="82"/>
    </row>
    <row r="2332" spans="1:26">
      <c r="A2332" s="81"/>
      <c r="F2332" s="81"/>
      <c r="G2332" s="82"/>
      <c r="H2332" s="82"/>
      <c r="I2332" s="82"/>
      <c r="J2332" s="82"/>
      <c r="K2332" s="82"/>
      <c r="L2332" s="82"/>
      <c r="M2332" s="82"/>
      <c r="N2332" s="82"/>
      <c r="O2332" s="82"/>
      <c r="P2332" s="82"/>
      <c r="Q2332" s="82"/>
      <c r="R2332" s="82"/>
      <c r="S2332" s="82"/>
      <c r="T2332" s="82"/>
      <c r="U2332" s="82"/>
      <c r="V2332" s="82"/>
      <c r="W2332" s="82"/>
      <c r="X2332" s="82"/>
      <c r="Y2332" s="82"/>
      <c r="Z2332" s="82"/>
    </row>
    <row r="2333" spans="1:26">
      <c r="A2333" s="81"/>
      <c r="F2333" s="81"/>
      <c r="G2333" s="82"/>
      <c r="H2333" s="82"/>
      <c r="I2333" s="82"/>
      <c r="J2333" s="82"/>
      <c r="K2333" s="82"/>
      <c r="L2333" s="82"/>
      <c r="M2333" s="82"/>
      <c r="N2333" s="82"/>
      <c r="O2333" s="82"/>
      <c r="P2333" s="82"/>
      <c r="Q2333" s="82"/>
      <c r="R2333" s="82"/>
      <c r="S2333" s="82"/>
      <c r="T2333" s="82"/>
      <c r="U2333" s="82"/>
      <c r="V2333" s="82"/>
      <c r="W2333" s="82"/>
      <c r="X2333" s="82"/>
      <c r="Y2333" s="82"/>
      <c r="Z2333" s="82"/>
    </row>
    <row r="2334" spans="1:26">
      <c r="A2334" s="81"/>
      <c r="F2334" s="81"/>
      <c r="G2334" s="82"/>
      <c r="H2334" s="82"/>
      <c r="I2334" s="82"/>
      <c r="J2334" s="82"/>
      <c r="K2334" s="82"/>
      <c r="L2334" s="82"/>
      <c r="M2334" s="82"/>
      <c r="N2334" s="82"/>
      <c r="O2334" s="82"/>
      <c r="P2334" s="82"/>
      <c r="Q2334" s="82"/>
      <c r="R2334" s="82"/>
      <c r="S2334" s="82"/>
      <c r="T2334" s="82"/>
      <c r="U2334" s="82"/>
      <c r="V2334" s="82"/>
      <c r="W2334" s="82"/>
      <c r="X2334" s="82"/>
      <c r="Y2334" s="82"/>
      <c r="Z2334" s="82"/>
    </row>
    <row r="2335" spans="1:26">
      <c r="A2335" s="81"/>
      <c r="F2335" s="81"/>
      <c r="G2335" s="82"/>
      <c r="H2335" s="82"/>
      <c r="I2335" s="82"/>
      <c r="J2335" s="82"/>
      <c r="K2335" s="82"/>
      <c r="L2335" s="82"/>
      <c r="M2335" s="82"/>
      <c r="N2335" s="82"/>
      <c r="O2335" s="82"/>
      <c r="P2335" s="82"/>
      <c r="Q2335" s="82"/>
      <c r="R2335" s="82"/>
      <c r="S2335" s="82"/>
      <c r="T2335" s="82"/>
      <c r="U2335" s="82"/>
      <c r="V2335" s="82"/>
      <c r="W2335" s="82"/>
      <c r="X2335" s="82"/>
      <c r="Y2335" s="82"/>
      <c r="Z2335" s="82"/>
    </row>
    <row r="2336" spans="1:26">
      <c r="A2336" s="81"/>
      <c r="F2336" s="81"/>
      <c r="G2336" s="82"/>
      <c r="H2336" s="82"/>
      <c r="I2336" s="82"/>
      <c r="J2336" s="82"/>
      <c r="K2336" s="82"/>
      <c r="L2336" s="82"/>
      <c r="M2336" s="82"/>
      <c r="N2336" s="82"/>
      <c r="O2336" s="82"/>
      <c r="P2336" s="82"/>
      <c r="Q2336" s="82"/>
      <c r="R2336" s="82"/>
      <c r="S2336" s="82"/>
      <c r="T2336" s="82"/>
      <c r="U2336" s="82"/>
      <c r="V2336" s="82"/>
      <c r="W2336" s="82"/>
      <c r="X2336" s="82"/>
      <c r="Y2336" s="82"/>
      <c r="Z2336" s="82"/>
    </row>
    <row r="2337" spans="1:26">
      <c r="A2337" s="81"/>
      <c r="F2337" s="81"/>
      <c r="G2337" s="82"/>
      <c r="H2337" s="82"/>
      <c r="I2337" s="82"/>
      <c r="J2337" s="82"/>
      <c r="K2337" s="82"/>
      <c r="L2337" s="82"/>
      <c r="M2337" s="82"/>
      <c r="N2337" s="82"/>
      <c r="O2337" s="82"/>
      <c r="P2337" s="82"/>
      <c r="Q2337" s="82"/>
      <c r="R2337" s="82"/>
      <c r="S2337" s="82"/>
      <c r="T2337" s="82"/>
      <c r="U2337" s="82"/>
      <c r="V2337" s="82"/>
      <c r="W2337" s="82"/>
      <c r="X2337" s="82"/>
      <c r="Y2337" s="82"/>
      <c r="Z2337" s="82"/>
    </row>
    <row r="2338" spans="1:26">
      <c r="A2338" s="81"/>
      <c r="F2338" s="81"/>
      <c r="G2338" s="82"/>
      <c r="H2338" s="82"/>
      <c r="I2338" s="82"/>
      <c r="J2338" s="82"/>
      <c r="K2338" s="82"/>
      <c r="L2338" s="82"/>
      <c r="M2338" s="82"/>
      <c r="N2338" s="82"/>
      <c r="O2338" s="82"/>
      <c r="P2338" s="82"/>
      <c r="Q2338" s="82"/>
      <c r="R2338" s="82"/>
      <c r="S2338" s="82"/>
      <c r="T2338" s="82"/>
      <c r="U2338" s="82"/>
      <c r="V2338" s="82"/>
      <c r="W2338" s="82"/>
      <c r="X2338" s="82"/>
      <c r="Y2338" s="82"/>
      <c r="Z2338" s="82"/>
    </row>
    <row r="2339" spans="1:26">
      <c r="A2339" s="81"/>
      <c r="F2339" s="81"/>
      <c r="G2339" s="82"/>
      <c r="H2339" s="82"/>
      <c r="I2339" s="82"/>
      <c r="J2339" s="82"/>
      <c r="K2339" s="82"/>
      <c r="L2339" s="82"/>
      <c r="M2339" s="82"/>
      <c r="N2339" s="82"/>
      <c r="O2339" s="82"/>
      <c r="P2339" s="82"/>
      <c r="Q2339" s="82"/>
      <c r="R2339" s="82"/>
      <c r="S2339" s="82"/>
      <c r="T2339" s="82"/>
      <c r="U2339" s="82"/>
      <c r="V2339" s="82"/>
      <c r="W2339" s="82"/>
      <c r="X2339" s="82"/>
      <c r="Y2339" s="82"/>
      <c r="Z2339" s="82"/>
    </row>
    <row r="2340" spans="1:26">
      <c r="A2340" s="81"/>
      <c r="F2340" s="81"/>
      <c r="G2340" s="82"/>
      <c r="H2340" s="82"/>
      <c r="I2340" s="82"/>
      <c r="J2340" s="82"/>
      <c r="K2340" s="82"/>
      <c r="L2340" s="82"/>
      <c r="M2340" s="82"/>
      <c r="N2340" s="82"/>
      <c r="O2340" s="82"/>
      <c r="P2340" s="82"/>
      <c r="Q2340" s="82"/>
      <c r="R2340" s="82"/>
      <c r="S2340" s="82"/>
      <c r="T2340" s="82"/>
      <c r="U2340" s="82"/>
      <c r="V2340" s="82"/>
      <c r="W2340" s="82"/>
      <c r="X2340" s="82"/>
      <c r="Y2340" s="82"/>
      <c r="Z2340" s="82"/>
    </row>
    <row r="2341" spans="1:26">
      <c r="A2341" s="81"/>
      <c r="F2341" s="81"/>
      <c r="G2341" s="82"/>
      <c r="H2341" s="82"/>
      <c r="I2341" s="82"/>
      <c r="J2341" s="82"/>
      <c r="K2341" s="82"/>
      <c r="L2341" s="82"/>
      <c r="M2341" s="82"/>
      <c r="N2341" s="82"/>
      <c r="O2341" s="82"/>
      <c r="P2341" s="82"/>
      <c r="Q2341" s="82"/>
      <c r="R2341" s="82"/>
      <c r="S2341" s="82"/>
      <c r="T2341" s="82"/>
      <c r="U2341" s="82"/>
      <c r="V2341" s="82"/>
      <c r="W2341" s="82"/>
      <c r="X2341" s="82"/>
      <c r="Y2341" s="82"/>
      <c r="Z2341" s="82"/>
    </row>
    <row r="2342" spans="1:26">
      <c r="A2342" s="81"/>
      <c r="F2342" s="81"/>
      <c r="G2342" s="82"/>
      <c r="H2342" s="82"/>
      <c r="I2342" s="82"/>
      <c r="J2342" s="82"/>
      <c r="K2342" s="82"/>
      <c r="L2342" s="82"/>
      <c r="M2342" s="82"/>
      <c r="N2342" s="82"/>
      <c r="O2342" s="82"/>
      <c r="P2342" s="82"/>
      <c r="Q2342" s="82"/>
      <c r="R2342" s="82"/>
      <c r="S2342" s="82"/>
      <c r="T2342" s="82"/>
      <c r="U2342" s="82"/>
      <c r="V2342" s="82"/>
      <c r="W2342" s="82"/>
      <c r="X2342" s="82"/>
      <c r="Y2342" s="82"/>
      <c r="Z2342" s="82"/>
    </row>
    <row r="2343" spans="1:26">
      <c r="A2343" s="81"/>
      <c r="F2343" s="81"/>
      <c r="G2343" s="82"/>
      <c r="H2343" s="82"/>
      <c r="I2343" s="82"/>
      <c r="J2343" s="82"/>
      <c r="K2343" s="82"/>
      <c r="L2343" s="82"/>
      <c r="M2343" s="82"/>
      <c r="N2343" s="82"/>
      <c r="O2343" s="82"/>
      <c r="P2343" s="82"/>
      <c r="Q2343" s="82"/>
      <c r="R2343" s="82"/>
      <c r="S2343" s="82"/>
      <c r="T2343" s="82"/>
      <c r="U2343" s="82"/>
      <c r="V2343" s="82"/>
      <c r="W2343" s="82"/>
      <c r="X2343" s="82"/>
      <c r="Y2343" s="82"/>
      <c r="Z2343" s="82"/>
    </row>
    <row r="2344" spans="1:26">
      <c r="A2344" s="81"/>
      <c r="F2344" s="81"/>
      <c r="G2344" s="82"/>
      <c r="H2344" s="82"/>
      <c r="I2344" s="82"/>
      <c r="J2344" s="82"/>
      <c r="K2344" s="82"/>
      <c r="L2344" s="82"/>
      <c r="M2344" s="82"/>
      <c r="N2344" s="82"/>
      <c r="O2344" s="82"/>
      <c r="P2344" s="82"/>
      <c r="Q2344" s="82"/>
      <c r="R2344" s="82"/>
      <c r="S2344" s="82"/>
      <c r="T2344" s="82"/>
      <c r="U2344" s="82"/>
      <c r="V2344" s="82"/>
      <c r="W2344" s="82"/>
      <c r="X2344" s="82"/>
      <c r="Y2344" s="82"/>
      <c r="Z2344" s="82"/>
    </row>
    <row r="2345" spans="1:26">
      <c r="A2345" s="81"/>
      <c r="F2345" s="81"/>
      <c r="G2345" s="82"/>
      <c r="H2345" s="82"/>
      <c r="I2345" s="82"/>
      <c r="J2345" s="82"/>
      <c r="K2345" s="82"/>
      <c r="L2345" s="82"/>
      <c r="M2345" s="82"/>
      <c r="N2345" s="82"/>
      <c r="O2345" s="82"/>
      <c r="P2345" s="82"/>
      <c r="Q2345" s="82"/>
      <c r="R2345" s="82"/>
      <c r="S2345" s="82"/>
      <c r="T2345" s="82"/>
      <c r="U2345" s="82"/>
      <c r="V2345" s="82"/>
      <c r="W2345" s="82"/>
      <c r="X2345" s="82"/>
      <c r="Y2345" s="82"/>
      <c r="Z2345" s="82"/>
    </row>
    <row r="2346" spans="1:26">
      <c r="A2346" s="81"/>
      <c r="F2346" s="81"/>
      <c r="G2346" s="82"/>
      <c r="H2346" s="82"/>
      <c r="I2346" s="82"/>
      <c r="J2346" s="82"/>
      <c r="K2346" s="82"/>
      <c r="L2346" s="82"/>
      <c r="M2346" s="82"/>
      <c r="N2346" s="82"/>
      <c r="O2346" s="82"/>
      <c r="P2346" s="82"/>
      <c r="Q2346" s="82"/>
      <c r="R2346" s="82"/>
      <c r="S2346" s="82"/>
      <c r="T2346" s="82"/>
      <c r="U2346" s="82"/>
      <c r="V2346" s="82"/>
      <c r="W2346" s="82"/>
      <c r="X2346" s="82"/>
      <c r="Y2346" s="82"/>
      <c r="Z2346" s="82"/>
    </row>
    <row r="2347" spans="1:26">
      <c r="A2347" s="81"/>
      <c r="F2347" s="81"/>
      <c r="G2347" s="82"/>
      <c r="H2347" s="82"/>
      <c r="I2347" s="82"/>
      <c r="J2347" s="82"/>
      <c r="K2347" s="82"/>
      <c r="L2347" s="82"/>
      <c r="M2347" s="82"/>
      <c r="N2347" s="82"/>
      <c r="O2347" s="82"/>
      <c r="P2347" s="82"/>
      <c r="Q2347" s="82"/>
      <c r="R2347" s="82"/>
      <c r="S2347" s="82"/>
      <c r="T2347" s="82"/>
      <c r="U2347" s="82"/>
      <c r="V2347" s="82"/>
      <c r="W2347" s="82"/>
      <c r="X2347" s="82"/>
      <c r="Y2347" s="82"/>
      <c r="Z2347" s="82"/>
    </row>
    <row r="2348" spans="1:26">
      <c r="A2348" s="81"/>
      <c r="F2348" s="81"/>
      <c r="G2348" s="82"/>
      <c r="H2348" s="82"/>
      <c r="I2348" s="82"/>
      <c r="J2348" s="82"/>
      <c r="K2348" s="82"/>
      <c r="L2348" s="82"/>
      <c r="M2348" s="82"/>
      <c r="N2348" s="82"/>
      <c r="O2348" s="82"/>
      <c r="P2348" s="82"/>
      <c r="Q2348" s="82"/>
      <c r="R2348" s="82"/>
      <c r="S2348" s="82"/>
      <c r="T2348" s="82"/>
      <c r="U2348" s="82"/>
      <c r="V2348" s="82"/>
      <c r="W2348" s="82"/>
      <c r="X2348" s="82"/>
      <c r="Y2348" s="82"/>
      <c r="Z2348" s="82"/>
    </row>
    <row r="2349" spans="1:26">
      <c r="A2349" s="81"/>
      <c r="F2349" s="81"/>
      <c r="G2349" s="82"/>
      <c r="H2349" s="82"/>
      <c r="I2349" s="82"/>
      <c r="J2349" s="82"/>
      <c r="K2349" s="82"/>
      <c r="L2349" s="82"/>
      <c r="M2349" s="82"/>
      <c r="N2349" s="82"/>
      <c r="O2349" s="82"/>
      <c r="P2349" s="82"/>
      <c r="Q2349" s="82"/>
      <c r="R2349" s="82"/>
      <c r="S2349" s="82"/>
      <c r="T2349" s="82"/>
      <c r="U2349" s="82"/>
      <c r="V2349" s="82"/>
      <c r="W2349" s="82"/>
      <c r="X2349" s="82"/>
      <c r="Y2349" s="82"/>
      <c r="Z2349" s="82"/>
    </row>
    <row r="2350" spans="1:26">
      <c r="A2350" s="81"/>
      <c r="F2350" s="81"/>
      <c r="G2350" s="82"/>
      <c r="H2350" s="82"/>
      <c r="I2350" s="82"/>
      <c r="J2350" s="82"/>
      <c r="K2350" s="82"/>
      <c r="L2350" s="82"/>
      <c r="M2350" s="82"/>
      <c r="N2350" s="82"/>
      <c r="O2350" s="82"/>
      <c r="P2350" s="82"/>
      <c r="Q2350" s="82"/>
      <c r="R2350" s="82"/>
      <c r="S2350" s="82"/>
      <c r="T2350" s="82"/>
      <c r="U2350" s="82"/>
      <c r="V2350" s="82"/>
      <c r="W2350" s="82"/>
      <c r="X2350" s="82"/>
      <c r="Y2350" s="82"/>
      <c r="Z2350" s="82"/>
    </row>
    <row r="2351" spans="1:26">
      <c r="A2351" s="81"/>
      <c r="F2351" s="81"/>
      <c r="G2351" s="82"/>
      <c r="H2351" s="82"/>
      <c r="I2351" s="82"/>
      <c r="J2351" s="82"/>
      <c r="K2351" s="82"/>
      <c r="L2351" s="82"/>
      <c r="M2351" s="82"/>
      <c r="N2351" s="82"/>
      <c r="O2351" s="82"/>
      <c r="P2351" s="82"/>
      <c r="Q2351" s="82"/>
      <c r="R2351" s="82"/>
      <c r="S2351" s="82"/>
      <c r="T2351" s="82"/>
      <c r="U2351" s="82"/>
      <c r="V2351" s="82"/>
      <c r="W2351" s="82"/>
      <c r="X2351" s="82"/>
      <c r="Y2351" s="82"/>
      <c r="Z2351" s="82"/>
    </row>
    <row r="2352" spans="1:26">
      <c r="A2352" s="81"/>
      <c r="F2352" s="81"/>
      <c r="G2352" s="82"/>
      <c r="H2352" s="82"/>
      <c r="I2352" s="82"/>
      <c r="J2352" s="82"/>
      <c r="K2352" s="82"/>
      <c r="L2352" s="82"/>
      <c r="M2352" s="82"/>
      <c r="N2352" s="82"/>
      <c r="O2352" s="82"/>
      <c r="P2352" s="82"/>
      <c r="Q2352" s="82"/>
      <c r="R2352" s="82"/>
      <c r="S2352" s="82"/>
      <c r="T2352" s="82"/>
      <c r="U2352" s="82"/>
      <c r="V2352" s="82"/>
      <c r="W2352" s="82"/>
      <c r="X2352" s="82"/>
      <c r="Y2352" s="82"/>
      <c r="Z2352" s="82"/>
    </row>
    <row r="2353" spans="1:26">
      <c r="A2353" s="81"/>
      <c r="F2353" s="81"/>
      <c r="G2353" s="82"/>
      <c r="H2353" s="82"/>
      <c r="I2353" s="82"/>
      <c r="J2353" s="82"/>
      <c r="K2353" s="82"/>
      <c r="L2353" s="82"/>
      <c r="M2353" s="82"/>
      <c r="N2353" s="82"/>
      <c r="O2353" s="82"/>
      <c r="P2353" s="82"/>
      <c r="Q2353" s="82"/>
      <c r="R2353" s="82"/>
      <c r="S2353" s="82"/>
      <c r="T2353" s="82"/>
      <c r="U2353" s="82"/>
      <c r="V2353" s="82"/>
      <c r="W2353" s="82"/>
      <c r="X2353" s="82"/>
      <c r="Y2353" s="82"/>
      <c r="Z2353" s="82"/>
    </row>
    <row r="2354" spans="1:26">
      <c r="A2354" s="81"/>
      <c r="F2354" s="81"/>
      <c r="G2354" s="82"/>
      <c r="H2354" s="82"/>
      <c r="I2354" s="82"/>
      <c r="J2354" s="82"/>
      <c r="K2354" s="82"/>
      <c r="L2354" s="82"/>
      <c r="M2354" s="82"/>
      <c r="N2354" s="82"/>
      <c r="O2354" s="82"/>
      <c r="P2354" s="82"/>
      <c r="Q2354" s="82"/>
      <c r="R2354" s="82"/>
      <c r="S2354" s="82"/>
      <c r="T2354" s="82"/>
      <c r="U2354" s="82"/>
      <c r="V2354" s="82"/>
      <c r="W2354" s="82"/>
      <c r="X2354" s="82"/>
      <c r="Y2354" s="82"/>
      <c r="Z2354" s="82"/>
    </row>
    <row r="2355" spans="1:26">
      <c r="A2355" s="81"/>
      <c r="F2355" s="81"/>
      <c r="G2355" s="82"/>
      <c r="H2355" s="82"/>
      <c r="I2355" s="82"/>
      <c r="J2355" s="82"/>
      <c r="K2355" s="82"/>
      <c r="L2355" s="82"/>
      <c r="M2355" s="82"/>
      <c r="N2355" s="82"/>
      <c r="O2355" s="82"/>
      <c r="P2355" s="82"/>
      <c r="Q2355" s="82"/>
      <c r="R2355" s="82"/>
      <c r="S2355" s="82"/>
      <c r="T2355" s="82"/>
      <c r="U2355" s="82"/>
      <c r="V2355" s="82"/>
      <c r="W2355" s="82"/>
      <c r="X2355" s="82"/>
      <c r="Y2355" s="82"/>
      <c r="Z2355" s="82"/>
    </row>
    <row r="2356" spans="1:26">
      <c r="A2356" s="81"/>
      <c r="F2356" s="81"/>
      <c r="G2356" s="82"/>
      <c r="H2356" s="82"/>
      <c r="I2356" s="82"/>
      <c r="J2356" s="82"/>
      <c r="K2356" s="82"/>
      <c r="L2356" s="82"/>
      <c r="M2356" s="82"/>
      <c r="N2356" s="82"/>
      <c r="O2356" s="82"/>
      <c r="P2356" s="82"/>
      <c r="Q2356" s="82"/>
      <c r="R2356" s="82"/>
      <c r="S2356" s="82"/>
      <c r="T2356" s="82"/>
      <c r="U2356" s="82"/>
      <c r="V2356" s="82"/>
      <c r="W2356" s="82"/>
      <c r="X2356" s="82"/>
      <c r="Y2356" s="82"/>
      <c r="Z2356" s="82"/>
    </row>
    <row r="2357" spans="1:26">
      <c r="A2357" s="81"/>
      <c r="F2357" s="81"/>
      <c r="G2357" s="82"/>
      <c r="H2357" s="82"/>
      <c r="I2357" s="82"/>
      <c r="J2357" s="82"/>
      <c r="K2357" s="82"/>
      <c r="L2357" s="82"/>
      <c r="M2357" s="82"/>
      <c r="N2357" s="82"/>
      <c r="O2357" s="82"/>
      <c r="P2357" s="82"/>
      <c r="Q2357" s="82"/>
      <c r="R2357" s="82"/>
      <c r="S2357" s="82"/>
      <c r="T2357" s="82"/>
      <c r="U2357" s="82"/>
      <c r="V2357" s="82"/>
      <c r="W2357" s="82"/>
      <c r="X2357" s="82"/>
      <c r="Y2357" s="82"/>
      <c r="Z2357" s="82"/>
    </row>
    <row r="2358" spans="1:26">
      <c r="A2358" s="81"/>
      <c r="F2358" s="81"/>
      <c r="G2358" s="82"/>
      <c r="H2358" s="82"/>
      <c r="I2358" s="82"/>
      <c r="J2358" s="82"/>
      <c r="K2358" s="82"/>
      <c r="L2358" s="82"/>
      <c r="M2358" s="82"/>
      <c r="N2358" s="82"/>
      <c r="O2358" s="82"/>
      <c r="P2358" s="82"/>
      <c r="Q2358" s="82"/>
      <c r="R2358" s="82"/>
      <c r="S2358" s="82"/>
      <c r="T2358" s="82"/>
      <c r="U2358" s="82"/>
      <c r="V2358" s="82"/>
      <c r="W2358" s="82"/>
      <c r="X2358" s="82"/>
      <c r="Y2358" s="82"/>
      <c r="Z2358" s="82"/>
    </row>
    <row r="2359" spans="1:26">
      <c r="A2359" s="81"/>
      <c r="F2359" s="81"/>
      <c r="G2359" s="82"/>
      <c r="H2359" s="82"/>
      <c r="I2359" s="82"/>
      <c r="J2359" s="82"/>
      <c r="K2359" s="82"/>
      <c r="L2359" s="82"/>
      <c r="M2359" s="82"/>
      <c r="N2359" s="82"/>
      <c r="O2359" s="82"/>
      <c r="P2359" s="82"/>
      <c r="Q2359" s="82"/>
      <c r="R2359" s="82"/>
      <c r="S2359" s="82"/>
      <c r="T2359" s="82"/>
      <c r="U2359" s="82"/>
      <c r="V2359" s="82"/>
      <c r="W2359" s="82"/>
      <c r="X2359" s="82"/>
      <c r="Y2359" s="82"/>
      <c r="Z2359" s="82"/>
    </row>
    <row r="2360" spans="1:26">
      <c r="A2360" s="81"/>
      <c r="F2360" s="81"/>
      <c r="G2360" s="82"/>
      <c r="H2360" s="82"/>
      <c r="I2360" s="82"/>
      <c r="J2360" s="82"/>
      <c r="K2360" s="82"/>
      <c r="L2360" s="82"/>
      <c r="M2360" s="82"/>
      <c r="N2360" s="82"/>
      <c r="O2360" s="82"/>
      <c r="P2360" s="82"/>
      <c r="Q2360" s="82"/>
      <c r="R2360" s="82"/>
      <c r="S2360" s="82"/>
      <c r="T2360" s="82"/>
      <c r="U2360" s="82"/>
      <c r="V2360" s="82"/>
      <c r="W2360" s="82"/>
      <c r="X2360" s="82"/>
      <c r="Y2360" s="82"/>
      <c r="Z2360" s="82"/>
    </row>
    <row r="2361" spans="1:26">
      <c r="A2361" s="81"/>
      <c r="F2361" s="81"/>
      <c r="G2361" s="82"/>
      <c r="H2361" s="82"/>
      <c r="I2361" s="82"/>
      <c r="J2361" s="82"/>
      <c r="K2361" s="82"/>
      <c r="L2361" s="82"/>
      <c r="M2361" s="82"/>
      <c r="N2361" s="82"/>
      <c r="O2361" s="82"/>
      <c r="P2361" s="82"/>
      <c r="Q2361" s="82"/>
      <c r="R2361" s="82"/>
      <c r="S2361" s="82"/>
      <c r="T2361" s="82"/>
      <c r="U2361" s="82"/>
      <c r="V2361" s="82"/>
      <c r="W2361" s="82"/>
      <c r="X2361" s="82"/>
      <c r="Y2361" s="82"/>
      <c r="Z2361" s="82"/>
    </row>
    <row r="2362" spans="1:26">
      <c r="A2362" s="81"/>
      <c r="F2362" s="81"/>
      <c r="G2362" s="82"/>
      <c r="H2362" s="82"/>
      <c r="I2362" s="82"/>
      <c r="J2362" s="82"/>
      <c r="K2362" s="82"/>
      <c r="L2362" s="82"/>
      <c r="M2362" s="82"/>
      <c r="N2362" s="82"/>
      <c r="O2362" s="82"/>
      <c r="P2362" s="82"/>
      <c r="Q2362" s="82"/>
      <c r="R2362" s="82"/>
      <c r="S2362" s="82"/>
      <c r="T2362" s="82"/>
      <c r="U2362" s="82"/>
      <c r="V2362" s="82"/>
      <c r="W2362" s="82"/>
      <c r="X2362" s="82"/>
      <c r="Y2362" s="82"/>
      <c r="Z2362" s="82"/>
    </row>
    <row r="2363" spans="1:26">
      <c r="A2363" s="81"/>
      <c r="F2363" s="81"/>
      <c r="G2363" s="82"/>
      <c r="H2363" s="82"/>
      <c r="I2363" s="82"/>
      <c r="J2363" s="82"/>
      <c r="K2363" s="82"/>
      <c r="L2363" s="82"/>
      <c r="M2363" s="82"/>
      <c r="N2363" s="82"/>
      <c r="O2363" s="82"/>
      <c r="P2363" s="82"/>
      <c r="Q2363" s="82"/>
      <c r="R2363" s="82"/>
      <c r="S2363" s="82"/>
      <c r="T2363" s="82"/>
      <c r="U2363" s="82"/>
      <c r="V2363" s="82"/>
      <c r="W2363" s="82"/>
      <c r="X2363" s="82"/>
      <c r="Y2363" s="82"/>
      <c r="Z2363" s="82"/>
    </row>
    <row r="2364" spans="1:26">
      <c r="A2364" s="81"/>
      <c r="F2364" s="81"/>
      <c r="G2364" s="82"/>
      <c r="H2364" s="82"/>
      <c r="I2364" s="82"/>
      <c r="J2364" s="82"/>
      <c r="K2364" s="82"/>
      <c r="L2364" s="82"/>
      <c r="M2364" s="82"/>
      <c r="N2364" s="82"/>
      <c r="O2364" s="82"/>
      <c r="P2364" s="82"/>
      <c r="Q2364" s="82"/>
      <c r="R2364" s="82"/>
      <c r="S2364" s="82"/>
      <c r="T2364" s="82"/>
      <c r="U2364" s="82"/>
      <c r="V2364" s="82"/>
      <c r="W2364" s="82"/>
      <c r="X2364" s="82"/>
      <c r="Y2364" s="82"/>
      <c r="Z2364" s="82"/>
    </row>
    <row r="2365" spans="1:26">
      <c r="A2365" s="81"/>
      <c r="F2365" s="81"/>
      <c r="G2365" s="82"/>
      <c r="H2365" s="82"/>
      <c r="I2365" s="82"/>
      <c r="J2365" s="82"/>
      <c r="K2365" s="82"/>
      <c r="L2365" s="82"/>
      <c r="M2365" s="82"/>
      <c r="N2365" s="82"/>
      <c r="O2365" s="82"/>
      <c r="P2365" s="82"/>
      <c r="Q2365" s="82"/>
      <c r="R2365" s="82"/>
      <c r="S2365" s="82"/>
      <c r="T2365" s="82"/>
      <c r="U2365" s="82"/>
      <c r="V2365" s="82"/>
      <c r="W2365" s="82"/>
      <c r="X2365" s="82"/>
      <c r="Y2365" s="82"/>
      <c r="Z2365" s="82"/>
    </row>
    <row r="2366" spans="1:26">
      <c r="A2366" s="81"/>
      <c r="F2366" s="81"/>
      <c r="G2366" s="82"/>
      <c r="H2366" s="82"/>
      <c r="I2366" s="82"/>
      <c r="J2366" s="82"/>
      <c r="K2366" s="82"/>
      <c r="L2366" s="82"/>
      <c r="M2366" s="82"/>
      <c r="N2366" s="82"/>
      <c r="O2366" s="82"/>
      <c r="P2366" s="82"/>
      <c r="Q2366" s="82"/>
      <c r="R2366" s="82"/>
      <c r="S2366" s="82"/>
      <c r="T2366" s="82"/>
      <c r="U2366" s="82"/>
      <c r="V2366" s="82"/>
      <c r="W2366" s="82"/>
      <c r="X2366" s="82"/>
      <c r="Y2366" s="82"/>
      <c r="Z2366" s="82"/>
    </row>
    <row r="2367" spans="1:26">
      <c r="A2367" s="81"/>
      <c r="F2367" s="81"/>
      <c r="G2367" s="82"/>
      <c r="H2367" s="82"/>
      <c r="I2367" s="82"/>
      <c r="J2367" s="82"/>
      <c r="K2367" s="82"/>
      <c r="L2367" s="82"/>
      <c r="M2367" s="82"/>
      <c r="N2367" s="82"/>
      <c r="O2367" s="82"/>
      <c r="P2367" s="82"/>
      <c r="Q2367" s="82"/>
      <c r="R2367" s="82"/>
      <c r="S2367" s="82"/>
      <c r="T2367" s="82"/>
      <c r="U2367" s="82"/>
      <c r="V2367" s="82"/>
      <c r="W2367" s="82"/>
      <c r="X2367" s="82"/>
      <c r="Y2367" s="82"/>
      <c r="Z2367" s="82"/>
    </row>
    <row r="2368" spans="1:26">
      <c r="A2368" s="81"/>
      <c r="F2368" s="81"/>
      <c r="G2368" s="82"/>
      <c r="H2368" s="82"/>
      <c r="I2368" s="82"/>
      <c r="J2368" s="82"/>
      <c r="K2368" s="82"/>
      <c r="L2368" s="82"/>
      <c r="M2368" s="82"/>
      <c r="N2368" s="82"/>
      <c r="O2368" s="82"/>
      <c r="P2368" s="82"/>
      <c r="Q2368" s="82"/>
      <c r="R2368" s="82"/>
      <c r="S2368" s="82"/>
      <c r="T2368" s="82"/>
      <c r="U2368" s="82"/>
      <c r="V2368" s="82"/>
      <c r="W2368" s="82"/>
      <c r="X2368" s="82"/>
      <c r="Y2368" s="82"/>
      <c r="Z2368" s="82"/>
    </row>
    <row r="2369" spans="1:26">
      <c r="A2369" s="81"/>
      <c r="F2369" s="81"/>
      <c r="G2369" s="82"/>
      <c r="H2369" s="82"/>
      <c r="I2369" s="82"/>
      <c r="J2369" s="82"/>
      <c r="K2369" s="82"/>
      <c r="L2369" s="82"/>
      <c r="M2369" s="82"/>
      <c r="N2369" s="82"/>
      <c r="O2369" s="82"/>
      <c r="P2369" s="82"/>
      <c r="Q2369" s="82"/>
      <c r="R2369" s="82"/>
      <c r="S2369" s="82"/>
      <c r="T2369" s="82"/>
      <c r="U2369" s="82"/>
      <c r="V2369" s="82"/>
      <c r="W2369" s="82"/>
      <c r="X2369" s="82"/>
      <c r="Y2369" s="82"/>
      <c r="Z2369" s="82"/>
    </row>
    <row r="2370" spans="1:26">
      <c r="A2370" s="81"/>
      <c r="F2370" s="81"/>
      <c r="G2370" s="82"/>
      <c r="H2370" s="82"/>
      <c r="I2370" s="82"/>
      <c r="J2370" s="82"/>
      <c r="K2370" s="82"/>
      <c r="L2370" s="82"/>
      <c r="M2370" s="82"/>
      <c r="N2370" s="82"/>
      <c r="O2370" s="82"/>
      <c r="P2370" s="82"/>
      <c r="Q2370" s="82"/>
      <c r="R2370" s="82"/>
      <c r="S2370" s="82"/>
      <c r="T2370" s="82"/>
      <c r="U2370" s="82"/>
      <c r="V2370" s="82"/>
      <c r="W2370" s="82"/>
      <c r="X2370" s="82"/>
      <c r="Y2370" s="82"/>
      <c r="Z2370" s="82"/>
    </row>
    <row r="2371" spans="1:26">
      <c r="A2371" s="81"/>
      <c r="F2371" s="81"/>
      <c r="G2371" s="82"/>
      <c r="H2371" s="82"/>
      <c r="I2371" s="82"/>
      <c r="J2371" s="82"/>
      <c r="K2371" s="82"/>
      <c r="L2371" s="82"/>
      <c r="M2371" s="82"/>
      <c r="N2371" s="82"/>
      <c r="O2371" s="82"/>
      <c r="P2371" s="82"/>
      <c r="Q2371" s="82"/>
      <c r="R2371" s="82"/>
      <c r="S2371" s="82"/>
      <c r="T2371" s="82"/>
      <c r="U2371" s="82"/>
      <c r="V2371" s="82"/>
      <c r="W2371" s="82"/>
      <c r="X2371" s="82"/>
      <c r="Y2371" s="82"/>
      <c r="Z2371" s="82"/>
    </row>
    <row r="2372" spans="1:26">
      <c r="A2372" s="81"/>
      <c r="F2372" s="81"/>
      <c r="G2372" s="82"/>
      <c r="H2372" s="82"/>
      <c r="I2372" s="82"/>
      <c r="J2372" s="82"/>
      <c r="K2372" s="82"/>
      <c r="L2372" s="82"/>
      <c r="M2372" s="82"/>
      <c r="N2372" s="82"/>
      <c r="O2372" s="82"/>
      <c r="P2372" s="82"/>
      <c r="Q2372" s="82"/>
      <c r="R2372" s="82"/>
      <c r="S2372" s="82"/>
      <c r="T2372" s="82"/>
      <c r="U2372" s="82"/>
      <c r="V2372" s="82"/>
      <c r="W2372" s="82"/>
      <c r="X2372" s="82"/>
      <c r="Y2372" s="82"/>
      <c r="Z2372" s="82"/>
    </row>
    <row r="2373" spans="1:26">
      <c r="A2373" s="81"/>
      <c r="F2373" s="81"/>
      <c r="G2373" s="82"/>
      <c r="H2373" s="82"/>
      <c r="I2373" s="82"/>
      <c r="J2373" s="82"/>
      <c r="K2373" s="82"/>
      <c r="L2373" s="82"/>
      <c r="M2373" s="82"/>
      <c r="N2373" s="82"/>
      <c r="O2373" s="82"/>
      <c r="P2373" s="82"/>
      <c r="Q2373" s="82"/>
      <c r="R2373" s="82"/>
      <c r="S2373" s="82"/>
      <c r="T2373" s="82"/>
      <c r="U2373" s="82"/>
      <c r="V2373" s="82"/>
      <c r="W2373" s="82"/>
      <c r="X2373" s="82"/>
      <c r="Y2373" s="82"/>
      <c r="Z2373" s="82"/>
    </row>
    <row r="2374" spans="1:26">
      <c r="A2374" s="81"/>
      <c r="F2374" s="81"/>
      <c r="G2374" s="82"/>
      <c r="H2374" s="82"/>
      <c r="I2374" s="82"/>
      <c r="J2374" s="82"/>
      <c r="K2374" s="82"/>
      <c r="L2374" s="82"/>
      <c r="M2374" s="82"/>
      <c r="N2374" s="82"/>
      <c r="O2374" s="82"/>
      <c r="P2374" s="82"/>
      <c r="Q2374" s="82"/>
      <c r="R2374" s="82"/>
      <c r="S2374" s="82"/>
      <c r="T2374" s="82"/>
      <c r="U2374" s="82"/>
      <c r="V2374" s="82"/>
      <c r="W2374" s="82"/>
      <c r="X2374" s="82"/>
      <c r="Y2374" s="82"/>
      <c r="Z2374" s="82"/>
    </row>
    <row r="2375" spans="1:26">
      <c r="A2375" s="81"/>
      <c r="F2375" s="81"/>
      <c r="G2375" s="82"/>
      <c r="H2375" s="82"/>
      <c r="I2375" s="82"/>
      <c r="J2375" s="82"/>
      <c r="K2375" s="82"/>
      <c r="L2375" s="82"/>
      <c r="M2375" s="82"/>
      <c r="N2375" s="82"/>
      <c r="O2375" s="82"/>
      <c r="P2375" s="82"/>
      <c r="Q2375" s="82"/>
      <c r="R2375" s="82"/>
      <c r="S2375" s="82"/>
      <c r="T2375" s="82"/>
      <c r="U2375" s="82"/>
      <c r="V2375" s="82"/>
      <c r="W2375" s="82"/>
      <c r="X2375" s="82"/>
      <c r="Y2375" s="82"/>
      <c r="Z2375" s="82"/>
    </row>
    <row r="2376" spans="1:26">
      <c r="A2376" s="81"/>
      <c r="F2376" s="81"/>
      <c r="G2376" s="82"/>
      <c r="H2376" s="82"/>
      <c r="I2376" s="82"/>
      <c r="J2376" s="82"/>
      <c r="K2376" s="82"/>
      <c r="L2376" s="82"/>
      <c r="M2376" s="82"/>
      <c r="N2376" s="82"/>
      <c r="O2376" s="82"/>
      <c r="P2376" s="82"/>
      <c r="Q2376" s="82"/>
      <c r="R2376" s="82"/>
      <c r="S2376" s="82"/>
      <c r="T2376" s="82"/>
      <c r="U2376" s="82"/>
      <c r="V2376" s="82"/>
      <c r="W2376" s="82"/>
      <c r="X2376" s="82"/>
      <c r="Y2376" s="82"/>
      <c r="Z2376" s="82"/>
    </row>
    <row r="2377" spans="1:26">
      <c r="A2377" s="81"/>
      <c r="F2377" s="81"/>
      <c r="G2377" s="82"/>
      <c r="H2377" s="82"/>
      <c r="I2377" s="82"/>
      <c r="J2377" s="82"/>
      <c r="K2377" s="82"/>
      <c r="L2377" s="82"/>
      <c r="M2377" s="82"/>
      <c r="N2377" s="82"/>
      <c r="O2377" s="82"/>
      <c r="P2377" s="82"/>
      <c r="Q2377" s="82"/>
      <c r="R2377" s="82"/>
      <c r="S2377" s="82"/>
      <c r="T2377" s="82"/>
      <c r="U2377" s="82"/>
      <c r="V2377" s="82"/>
      <c r="W2377" s="82"/>
      <c r="X2377" s="82"/>
      <c r="Y2377" s="82"/>
      <c r="Z2377" s="82"/>
    </row>
    <row r="2378" spans="1:26">
      <c r="A2378" s="81"/>
      <c r="F2378" s="81"/>
      <c r="G2378" s="82"/>
      <c r="H2378" s="82"/>
      <c r="I2378" s="82"/>
      <c r="J2378" s="82"/>
      <c r="K2378" s="82"/>
      <c r="L2378" s="82"/>
      <c r="M2378" s="82"/>
      <c r="N2378" s="82"/>
      <c r="O2378" s="82"/>
      <c r="P2378" s="82"/>
      <c r="Q2378" s="82"/>
      <c r="R2378" s="82"/>
      <c r="S2378" s="82"/>
      <c r="T2378" s="82"/>
      <c r="U2378" s="82"/>
      <c r="V2378" s="82"/>
      <c r="W2378" s="82"/>
      <c r="X2378" s="82"/>
      <c r="Y2378" s="82"/>
      <c r="Z2378" s="82"/>
    </row>
    <row r="2379" spans="1:26">
      <c r="A2379" s="81"/>
      <c r="F2379" s="81"/>
      <c r="G2379" s="82"/>
      <c r="H2379" s="82"/>
      <c r="I2379" s="82"/>
      <c r="J2379" s="82"/>
      <c r="K2379" s="82"/>
      <c r="L2379" s="82"/>
      <c r="M2379" s="82"/>
      <c r="N2379" s="82"/>
      <c r="O2379" s="82"/>
      <c r="P2379" s="82"/>
      <c r="Q2379" s="82"/>
      <c r="R2379" s="82"/>
      <c r="S2379" s="82"/>
      <c r="T2379" s="82"/>
      <c r="U2379" s="82"/>
      <c r="V2379" s="82"/>
      <c r="W2379" s="82"/>
      <c r="X2379" s="82"/>
      <c r="Y2379" s="82"/>
      <c r="Z2379" s="82"/>
    </row>
    <row r="2380" spans="1:26">
      <c r="A2380" s="81"/>
      <c r="F2380" s="81"/>
      <c r="G2380" s="82"/>
      <c r="H2380" s="82"/>
      <c r="I2380" s="82"/>
      <c r="J2380" s="82"/>
      <c r="K2380" s="82"/>
      <c r="L2380" s="82"/>
      <c r="M2380" s="82"/>
      <c r="N2380" s="82"/>
      <c r="O2380" s="82"/>
      <c r="P2380" s="82"/>
      <c r="Q2380" s="82"/>
      <c r="R2380" s="82"/>
      <c r="S2380" s="82"/>
      <c r="T2380" s="82"/>
      <c r="U2380" s="82"/>
      <c r="V2380" s="82"/>
      <c r="W2380" s="82"/>
      <c r="X2380" s="82"/>
      <c r="Y2380" s="82"/>
      <c r="Z2380" s="82"/>
    </row>
    <row r="2381" spans="1:26">
      <c r="A2381" s="81"/>
      <c r="F2381" s="81"/>
      <c r="G2381" s="82"/>
      <c r="H2381" s="82"/>
      <c r="I2381" s="82"/>
      <c r="J2381" s="82"/>
      <c r="K2381" s="82"/>
      <c r="L2381" s="82"/>
      <c r="M2381" s="82"/>
      <c r="N2381" s="82"/>
      <c r="O2381" s="82"/>
      <c r="P2381" s="82"/>
      <c r="Q2381" s="82"/>
      <c r="R2381" s="82"/>
      <c r="S2381" s="82"/>
      <c r="T2381" s="82"/>
      <c r="U2381" s="82"/>
      <c r="V2381" s="82"/>
      <c r="W2381" s="82"/>
      <c r="X2381" s="82"/>
      <c r="Y2381" s="82"/>
      <c r="Z2381" s="82"/>
    </row>
    <row r="2382" spans="1:26">
      <c r="A2382" s="81"/>
      <c r="F2382" s="81"/>
      <c r="G2382" s="82"/>
      <c r="H2382" s="82"/>
      <c r="I2382" s="82"/>
      <c r="J2382" s="82"/>
      <c r="K2382" s="82"/>
      <c r="L2382" s="82"/>
      <c r="M2382" s="82"/>
      <c r="N2382" s="82"/>
      <c r="O2382" s="82"/>
      <c r="P2382" s="82"/>
      <c r="Q2382" s="82"/>
      <c r="R2382" s="82"/>
      <c r="S2382" s="82"/>
      <c r="T2382" s="82"/>
      <c r="U2382" s="82"/>
      <c r="V2382" s="82"/>
      <c r="W2382" s="82"/>
      <c r="X2382" s="82"/>
      <c r="Y2382" s="82"/>
      <c r="Z2382" s="82"/>
    </row>
    <row r="2383" spans="1:26">
      <c r="A2383" s="81"/>
      <c r="F2383" s="81"/>
      <c r="G2383" s="82"/>
      <c r="H2383" s="82"/>
      <c r="I2383" s="82"/>
      <c r="J2383" s="82"/>
      <c r="K2383" s="82"/>
      <c r="L2383" s="82"/>
      <c r="M2383" s="82"/>
      <c r="N2383" s="82"/>
      <c r="O2383" s="82"/>
      <c r="P2383" s="82"/>
      <c r="Q2383" s="82"/>
      <c r="R2383" s="82"/>
      <c r="S2383" s="82"/>
      <c r="T2383" s="82"/>
      <c r="U2383" s="82"/>
      <c r="V2383" s="82"/>
      <c r="W2383" s="82"/>
      <c r="X2383" s="82"/>
      <c r="Y2383" s="82"/>
      <c r="Z2383" s="82"/>
    </row>
    <row r="2384" spans="1:26">
      <c r="A2384" s="81"/>
      <c r="F2384" s="81"/>
      <c r="G2384" s="82"/>
      <c r="H2384" s="82"/>
      <c r="I2384" s="82"/>
      <c r="J2384" s="82"/>
      <c r="K2384" s="82"/>
      <c r="L2384" s="82"/>
      <c r="M2384" s="82"/>
      <c r="N2384" s="82"/>
      <c r="O2384" s="82"/>
      <c r="P2384" s="82"/>
      <c r="Q2384" s="82"/>
      <c r="R2384" s="82"/>
      <c r="S2384" s="82"/>
      <c r="T2384" s="82"/>
      <c r="U2384" s="82"/>
      <c r="V2384" s="82"/>
      <c r="W2384" s="82"/>
      <c r="X2384" s="82"/>
      <c r="Y2384" s="82"/>
      <c r="Z2384" s="82"/>
    </row>
    <row r="2385" spans="1:26">
      <c r="A2385" s="81"/>
      <c r="F2385" s="81"/>
      <c r="G2385" s="82"/>
      <c r="H2385" s="82"/>
      <c r="I2385" s="82"/>
      <c r="J2385" s="82"/>
      <c r="K2385" s="82"/>
      <c r="L2385" s="82"/>
      <c r="M2385" s="82"/>
      <c r="N2385" s="82"/>
      <c r="O2385" s="82"/>
      <c r="P2385" s="82"/>
      <c r="Q2385" s="82"/>
      <c r="R2385" s="82"/>
      <c r="S2385" s="82"/>
      <c r="T2385" s="82"/>
      <c r="U2385" s="82"/>
      <c r="V2385" s="82"/>
      <c r="W2385" s="82"/>
      <c r="X2385" s="82"/>
      <c r="Y2385" s="82"/>
      <c r="Z2385" s="82"/>
    </row>
    <row r="2386" spans="1:26">
      <c r="A2386" s="81"/>
      <c r="F2386" s="81"/>
      <c r="G2386" s="82"/>
      <c r="H2386" s="82"/>
      <c r="I2386" s="82"/>
      <c r="J2386" s="82"/>
      <c r="K2386" s="82"/>
      <c r="L2386" s="82"/>
      <c r="M2386" s="82"/>
      <c r="N2386" s="82"/>
      <c r="O2386" s="82"/>
      <c r="P2386" s="82"/>
      <c r="Q2386" s="82"/>
      <c r="R2386" s="82"/>
      <c r="S2386" s="82"/>
      <c r="T2386" s="82"/>
      <c r="U2386" s="82"/>
      <c r="V2386" s="82"/>
      <c r="W2386" s="82"/>
      <c r="X2386" s="82"/>
      <c r="Y2386" s="82"/>
      <c r="Z2386" s="82"/>
    </row>
    <row r="2387" spans="1:26">
      <c r="A2387" s="81"/>
      <c r="F2387" s="81"/>
      <c r="G2387" s="82"/>
      <c r="H2387" s="82"/>
      <c r="I2387" s="82"/>
      <c r="J2387" s="82"/>
      <c r="K2387" s="82"/>
      <c r="L2387" s="82"/>
      <c r="M2387" s="82"/>
      <c r="N2387" s="82"/>
      <c r="O2387" s="82"/>
      <c r="P2387" s="82"/>
      <c r="Q2387" s="82"/>
      <c r="R2387" s="82"/>
      <c r="S2387" s="82"/>
      <c r="T2387" s="82"/>
      <c r="U2387" s="82"/>
      <c r="V2387" s="82"/>
      <c r="W2387" s="82"/>
      <c r="X2387" s="82"/>
      <c r="Y2387" s="82"/>
      <c r="Z2387" s="82"/>
    </row>
    <row r="2388" spans="1:26">
      <c r="A2388" s="81"/>
      <c r="F2388" s="81"/>
      <c r="G2388" s="82"/>
      <c r="H2388" s="82"/>
      <c r="I2388" s="82"/>
      <c r="J2388" s="82"/>
      <c r="K2388" s="82"/>
      <c r="L2388" s="82"/>
      <c r="M2388" s="82"/>
      <c r="N2388" s="82"/>
      <c r="O2388" s="82"/>
      <c r="P2388" s="82"/>
      <c r="Q2388" s="82"/>
      <c r="R2388" s="82"/>
      <c r="S2388" s="82"/>
      <c r="T2388" s="82"/>
      <c r="U2388" s="82"/>
      <c r="V2388" s="82"/>
      <c r="W2388" s="82"/>
      <c r="X2388" s="82"/>
      <c r="Y2388" s="82"/>
      <c r="Z2388" s="82"/>
    </row>
    <row r="2389" spans="1:26">
      <c r="A2389" s="81"/>
      <c r="F2389" s="81"/>
      <c r="G2389" s="82"/>
      <c r="H2389" s="82"/>
      <c r="I2389" s="82"/>
      <c r="J2389" s="82"/>
      <c r="K2389" s="82"/>
      <c r="L2389" s="82"/>
      <c r="M2389" s="82"/>
      <c r="N2389" s="82"/>
      <c r="O2389" s="82"/>
      <c r="P2389" s="82"/>
      <c r="Q2389" s="82"/>
      <c r="R2389" s="82"/>
      <c r="S2389" s="82"/>
      <c r="T2389" s="82"/>
      <c r="U2389" s="82"/>
      <c r="V2389" s="82"/>
      <c r="W2389" s="82"/>
      <c r="X2389" s="82"/>
      <c r="Y2389" s="82"/>
      <c r="Z2389" s="82"/>
    </row>
    <row r="2390" spans="1:26">
      <c r="A2390" s="81"/>
      <c r="F2390" s="81"/>
      <c r="G2390" s="82"/>
      <c r="H2390" s="82"/>
      <c r="I2390" s="82"/>
      <c r="J2390" s="82"/>
      <c r="K2390" s="82"/>
      <c r="L2390" s="82"/>
      <c r="M2390" s="82"/>
      <c r="N2390" s="82"/>
      <c r="O2390" s="82"/>
      <c r="P2390" s="82"/>
      <c r="Q2390" s="82"/>
      <c r="R2390" s="82"/>
      <c r="S2390" s="82"/>
      <c r="T2390" s="82"/>
      <c r="U2390" s="82"/>
      <c r="V2390" s="82"/>
      <c r="W2390" s="82"/>
      <c r="X2390" s="82"/>
      <c r="Y2390" s="82"/>
      <c r="Z2390" s="82"/>
    </row>
    <row r="2391" spans="1:26">
      <c r="A2391" s="81"/>
      <c r="F2391" s="81"/>
      <c r="G2391" s="82"/>
      <c r="H2391" s="82"/>
      <c r="I2391" s="82"/>
      <c r="J2391" s="82"/>
      <c r="K2391" s="82"/>
      <c r="L2391" s="82"/>
      <c r="M2391" s="82"/>
      <c r="N2391" s="82"/>
      <c r="O2391" s="82"/>
      <c r="P2391" s="82"/>
      <c r="Q2391" s="82"/>
      <c r="R2391" s="82"/>
      <c r="S2391" s="82"/>
      <c r="T2391" s="82"/>
      <c r="U2391" s="82"/>
      <c r="V2391" s="82"/>
      <c r="W2391" s="82"/>
      <c r="X2391" s="82"/>
      <c r="Y2391" s="82"/>
      <c r="Z2391" s="82"/>
    </row>
    <row r="2392" spans="1:26">
      <c r="A2392" s="81"/>
      <c r="F2392" s="81"/>
      <c r="G2392" s="82"/>
      <c r="H2392" s="82"/>
      <c r="I2392" s="82"/>
      <c r="J2392" s="82"/>
      <c r="K2392" s="82"/>
      <c r="L2392" s="82"/>
      <c r="M2392" s="82"/>
      <c r="N2392" s="82"/>
      <c r="O2392" s="82"/>
      <c r="P2392" s="82"/>
      <c r="Q2392" s="82"/>
      <c r="R2392" s="82"/>
      <c r="S2392" s="82"/>
      <c r="T2392" s="82"/>
      <c r="U2392" s="82"/>
      <c r="V2392" s="82"/>
      <c r="W2392" s="82"/>
      <c r="X2392" s="82"/>
      <c r="Y2392" s="82"/>
      <c r="Z2392" s="82"/>
    </row>
    <row r="2393" spans="1:26">
      <c r="A2393" s="81"/>
      <c r="F2393" s="81"/>
      <c r="G2393" s="82"/>
      <c r="H2393" s="82"/>
      <c r="I2393" s="82"/>
      <c r="J2393" s="82"/>
      <c r="K2393" s="82"/>
      <c r="L2393" s="82"/>
      <c r="M2393" s="82"/>
      <c r="N2393" s="82"/>
      <c r="O2393" s="82"/>
      <c r="P2393" s="82"/>
      <c r="Q2393" s="82"/>
      <c r="R2393" s="82"/>
      <c r="S2393" s="82"/>
      <c r="T2393" s="82"/>
      <c r="U2393" s="82"/>
      <c r="V2393" s="82"/>
      <c r="W2393" s="82"/>
      <c r="X2393" s="82"/>
      <c r="Y2393" s="82"/>
      <c r="Z2393" s="82"/>
    </row>
    <row r="2394" spans="1:26">
      <c r="A2394" s="81"/>
      <c r="F2394" s="81"/>
      <c r="G2394" s="82"/>
      <c r="H2394" s="82"/>
      <c r="I2394" s="82"/>
      <c r="J2394" s="82"/>
      <c r="K2394" s="82"/>
      <c r="L2394" s="82"/>
      <c r="M2394" s="82"/>
      <c r="N2394" s="82"/>
      <c r="O2394" s="82"/>
      <c r="P2394" s="82"/>
      <c r="Q2394" s="82"/>
      <c r="R2394" s="82"/>
      <c r="S2394" s="82"/>
      <c r="T2394" s="82"/>
      <c r="U2394" s="82"/>
      <c r="V2394" s="82"/>
      <c r="W2394" s="82"/>
      <c r="X2394" s="82"/>
      <c r="Y2394" s="82"/>
      <c r="Z2394" s="82"/>
    </row>
    <row r="2395" spans="1:26">
      <c r="A2395" s="81"/>
      <c r="F2395" s="81"/>
      <c r="G2395" s="82"/>
      <c r="H2395" s="82"/>
      <c r="I2395" s="82"/>
      <c r="J2395" s="82"/>
      <c r="K2395" s="82"/>
      <c r="L2395" s="82"/>
      <c r="M2395" s="82"/>
      <c r="N2395" s="82"/>
      <c r="O2395" s="82"/>
      <c r="P2395" s="82"/>
      <c r="Q2395" s="82"/>
      <c r="R2395" s="82"/>
      <c r="S2395" s="82"/>
      <c r="T2395" s="82"/>
      <c r="U2395" s="82"/>
      <c r="V2395" s="82"/>
      <c r="W2395" s="82"/>
      <c r="X2395" s="82"/>
      <c r="Y2395" s="82"/>
      <c r="Z2395" s="82"/>
    </row>
    <row r="2396" spans="1:26">
      <c r="A2396" s="81"/>
      <c r="F2396" s="81"/>
      <c r="G2396" s="82"/>
      <c r="H2396" s="82"/>
      <c r="I2396" s="82"/>
      <c r="J2396" s="82"/>
      <c r="K2396" s="82"/>
      <c r="L2396" s="82"/>
      <c r="M2396" s="82"/>
      <c r="N2396" s="82"/>
      <c r="O2396" s="82"/>
      <c r="P2396" s="82"/>
      <c r="Q2396" s="82"/>
      <c r="R2396" s="82"/>
      <c r="S2396" s="82"/>
      <c r="T2396" s="82"/>
      <c r="U2396" s="82"/>
      <c r="V2396" s="82"/>
      <c r="W2396" s="82"/>
      <c r="X2396" s="82"/>
      <c r="Y2396" s="82"/>
      <c r="Z2396" s="82"/>
    </row>
    <row r="2397" spans="1:26">
      <c r="A2397" s="81"/>
      <c r="F2397" s="81"/>
      <c r="G2397" s="82"/>
      <c r="H2397" s="82"/>
      <c r="I2397" s="82"/>
      <c r="J2397" s="82"/>
      <c r="K2397" s="82"/>
      <c r="L2397" s="82"/>
      <c r="M2397" s="82"/>
      <c r="N2397" s="82"/>
      <c r="O2397" s="82"/>
      <c r="P2397" s="82"/>
      <c r="Q2397" s="82"/>
      <c r="R2397" s="82"/>
      <c r="S2397" s="82"/>
      <c r="T2397" s="82"/>
      <c r="U2397" s="82"/>
      <c r="V2397" s="82"/>
      <c r="W2397" s="82"/>
      <c r="X2397" s="82"/>
      <c r="Y2397" s="82"/>
      <c r="Z2397" s="82"/>
    </row>
    <row r="2398" spans="1:26">
      <c r="A2398" s="81"/>
      <c r="F2398" s="81"/>
      <c r="G2398" s="82"/>
      <c r="H2398" s="82"/>
      <c r="I2398" s="82"/>
      <c r="J2398" s="82"/>
      <c r="K2398" s="82"/>
      <c r="L2398" s="82"/>
      <c r="M2398" s="82"/>
      <c r="N2398" s="82"/>
      <c r="O2398" s="82"/>
      <c r="P2398" s="82"/>
      <c r="Q2398" s="82"/>
      <c r="R2398" s="82"/>
      <c r="S2398" s="82"/>
      <c r="T2398" s="82"/>
      <c r="U2398" s="82"/>
      <c r="V2398" s="82"/>
      <c r="W2398" s="82"/>
      <c r="X2398" s="82"/>
      <c r="Y2398" s="82"/>
      <c r="Z2398" s="82"/>
    </row>
    <row r="2399" spans="1:26">
      <c r="A2399" s="81"/>
      <c r="F2399" s="81"/>
      <c r="G2399" s="82"/>
      <c r="H2399" s="82"/>
      <c r="I2399" s="82"/>
      <c r="J2399" s="82"/>
      <c r="K2399" s="82"/>
      <c r="L2399" s="82"/>
      <c r="M2399" s="82"/>
      <c r="N2399" s="82"/>
      <c r="O2399" s="82"/>
      <c r="P2399" s="82"/>
      <c r="Q2399" s="82"/>
      <c r="R2399" s="82"/>
      <c r="S2399" s="82"/>
      <c r="T2399" s="82"/>
      <c r="U2399" s="82"/>
      <c r="V2399" s="82"/>
      <c r="W2399" s="82"/>
      <c r="X2399" s="82"/>
      <c r="Y2399" s="82"/>
      <c r="Z2399" s="82"/>
    </row>
    <row r="2400" spans="1:26">
      <c r="A2400" s="81"/>
      <c r="F2400" s="81"/>
      <c r="G2400" s="82"/>
      <c r="H2400" s="82"/>
      <c r="I2400" s="82"/>
      <c r="J2400" s="82"/>
      <c r="K2400" s="82"/>
      <c r="L2400" s="82"/>
      <c r="M2400" s="82"/>
      <c r="N2400" s="82"/>
      <c r="O2400" s="82"/>
      <c r="P2400" s="82"/>
      <c r="Q2400" s="82"/>
      <c r="R2400" s="82"/>
      <c r="S2400" s="82"/>
      <c r="T2400" s="82"/>
      <c r="U2400" s="82"/>
      <c r="V2400" s="82"/>
      <c r="W2400" s="82"/>
      <c r="X2400" s="82"/>
      <c r="Y2400" s="82"/>
      <c r="Z2400" s="82"/>
    </row>
    <row r="2401" spans="1:26">
      <c r="A2401" s="81"/>
      <c r="F2401" s="81"/>
      <c r="G2401" s="82"/>
      <c r="H2401" s="82"/>
      <c r="I2401" s="82"/>
      <c r="J2401" s="82"/>
      <c r="K2401" s="82"/>
      <c r="L2401" s="82"/>
      <c r="M2401" s="82"/>
      <c r="N2401" s="82"/>
      <c r="O2401" s="82"/>
      <c r="P2401" s="82"/>
      <c r="Q2401" s="82"/>
      <c r="R2401" s="82"/>
      <c r="S2401" s="82"/>
      <c r="T2401" s="82"/>
      <c r="U2401" s="82"/>
      <c r="V2401" s="82"/>
      <c r="W2401" s="82"/>
      <c r="X2401" s="82"/>
      <c r="Y2401" s="82"/>
      <c r="Z2401" s="82"/>
    </row>
    <row r="2402" spans="1:26">
      <c r="A2402" s="81"/>
      <c r="F2402" s="81"/>
      <c r="G2402" s="82"/>
      <c r="H2402" s="82"/>
      <c r="I2402" s="82"/>
      <c r="J2402" s="82"/>
      <c r="K2402" s="82"/>
      <c r="L2402" s="82"/>
      <c r="M2402" s="82"/>
      <c r="N2402" s="82"/>
      <c r="O2402" s="82"/>
      <c r="P2402" s="82"/>
      <c r="Q2402" s="82"/>
      <c r="R2402" s="82"/>
      <c r="S2402" s="82"/>
      <c r="T2402" s="82"/>
      <c r="U2402" s="82"/>
      <c r="V2402" s="82"/>
      <c r="W2402" s="82"/>
      <c r="X2402" s="82"/>
      <c r="Y2402" s="82"/>
      <c r="Z2402" s="82"/>
    </row>
    <row r="2403" spans="1:26">
      <c r="A2403" s="81"/>
      <c r="F2403" s="81"/>
      <c r="G2403" s="82"/>
      <c r="H2403" s="82"/>
      <c r="I2403" s="82"/>
      <c r="J2403" s="82"/>
      <c r="K2403" s="82"/>
      <c r="L2403" s="82"/>
      <c r="M2403" s="82"/>
      <c r="N2403" s="82"/>
      <c r="O2403" s="82"/>
      <c r="P2403" s="82"/>
      <c r="Q2403" s="82"/>
      <c r="R2403" s="82"/>
      <c r="S2403" s="82"/>
      <c r="T2403" s="82"/>
      <c r="U2403" s="82"/>
      <c r="V2403" s="82"/>
      <c r="W2403" s="82"/>
      <c r="X2403" s="82"/>
      <c r="Y2403" s="82"/>
      <c r="Z2403" s="82"/>
    </row>
    <row r="2404" spans="1:26">
      <c r="A2404" s="81"/>
      <c r="F2404" s="81"/>
      <c r="G2404" s="82"/>
      <c r="H2404" s="82"/>
      <c r="I2404" s="82"/>
      <c r="J2404" s="82"/>
      <c r="K2404" s="82"/>
      <c r="L2404" s="82"/>
      <c r="M2404" s="82"/>
      <c r="N2404" s="82"/>
      <c r="O2404" s="82"/>
      <c r="P2404" s="82"/>
      <c r="Q2404" s="82"/>
      <c r="R2404" s="82"/>
      <c r="S2404" s="82"/>
      <c r="T2404" s="82"/>
      <c r="U2404" s="82"/>
      <c r="V2404" s="82"/>
      <c r="W2404" s="82"/>
      <c r="X2404" s="82"/>
      <c r="Y2404" s="82"/>
      <c r="Z2404" s="82"/>
    </row>
    <row r="2405" spans="1:26">
      <c r="A2405" s="81"/>
      <c r="F2405" s="81"/>
      <c r="G2405" s="82"/>
      <c r="H2405" s="82"/>
      <c r="I2405" s="82"/>
      <c r="J2405" s="82"/>
      <c r="K2405" s="82"/>
      <c r="L2405" s="82"/>
      <c r="M2405" s="82"/>
      <c r="N2405" s="82"/>
      <c r="O2405" s="82"/>
      <c r="P2405" s="82"/>
      <c r="Q2405" s="82"/>
      <c r="R2405" s="82"/>
      <c r="S2405" s="82"/>
      <c r="T2405" s="82"/>
      <c r="U2405" s="82"/>
      <c r="V2405" s="82"/>
      <c r="W2405" s="82"/>
      <c r="X2405" s="82"/>
      <c r="Y2405" s="82"/>
      <c r="Z2405" s="82"/>
    </row>
    <row r="2406" spans="1:26">
      <c r="A2406" s="81"/>
      <c r="F2406" s="81"/>
      <c r="G2406" s="82"/>
      <c r="H2406" s="82"/>
      <c r="I2406" s="82"/>
      <c r="J2406" s="82"/>
      <c r="K2406" s="82"/>
      <c r="L2406" s="82"/>
      <c r="M2406" s="82"/>
      <c r="N2406" s="82"/>
      <c r="O2406" s="82"/>
      <c r="P2406" s="82"/>
      <c r="Q2406" s="82"/>
      <c r="R2406" s="82"/>
      <c r="S2406" s="82"/>
      <c r="T2406" s="82"/>
      <c r="U2406" s="82"/>
      <c r="V2406" s="82"/>
      <c r="W2406" s="82"/>
      <c r="X2406" s="82"/>
      <c r="Y2406" s="82"/>
      <c r="Z2406" s="82"/>
    </row>
    <row r="2407" spans="1:26">
      <c r="A2407" s="81"/>
      <c r="F2407" s="81"/>
      <c r="G2407" s="82"/>
      <c r="H2407" s="82"/>
      <c r="I2407" s="82"/>
      <c r="J2407" s="82"/>
      <c r="K2407" s="82"/>
      <c r="L2407" s="82"/>
      <c r="M2407" s="82"/>
      <c r="N2407" s="82"/>
      <c r="O2407" s="82"/>
      <c r="P2407" s="82"/>
      <c r="Q2407" s="82"/>
      <c r="R2407" s="82"/>
      <c r="S2407" s="82"/>
      <c r="T2407" s="82"/>
      <c r="U2407" s="82"/>
      <c r="V2407" s="82"/>
      <c r="W2407" s="82"/>
      <c r="X2407" s="82"/>
      <c r="Y2407" s="82"/>
      <c r="Z2407" s="82"/>
    </row>
    <row r="2408" spans="1:26">
      <c r="A2408" s="81"/>
      <c r="F2408" s="81"/>
      <c r="G2408" s="82"/>
      <c r="H2408" s="82"/>
      <c r="I2408" s="82"/>
      <c r="J2408" s="82"/>
      <c r="K2408" s="82"/>
      <c r="L2408" s="82"/>
      <c r="M2408" s="82"/>
      <c r="N2408" s="82"/>
      <c r="O2408" s="82"/>
      <c r="P2408" s="82"/>
      <c r="Q2408" s="82"/>
      <c r="R2408" s="82"/>
      <c r="S2408" s="82"/>
      <c r="T2408" s="82"/>
      <c r="U2408" s="82"/>
      <c r="V2408" s="82"/>
      <c r="W2408" s="82"/>
      <c r="X2408" s="82"/>
      <c r="Y2408" s="82"/>
      <c r="Z2408" s="82"/>
    </row>
    <row r="2409" spans="1:26">
      <c r="A2409" s="81"/>
      <c r="F2409" s="81"/>
      <c r="G2409" s="82"/>
      <c r="H2409" s="82"/>
      <c r="I2409" s="82"/>
      <c r="J2409" s="82"/>
      <c r="K2409" s="82"/>
      <c r="L2409" s="82"/>
      <c r="M2409" s="82"/>
      <c r="N2409" s="82"/>
      <c r="O2409" s="82"/>
      <c r="P2409" s="82"/>
      <c r="Q2409" s="82"/>
      <c r="R2409" s="82"/>
      <c r="S2409" s="82"/>
      <c r="T2409" s="82"/>
      <c r="U2409" s="82"/>
      <c r="V2409" s="82"/>
      <c r="W2409" s="82"/>
      <c r="X2409" s="82"/>
      <c r="Y2409" s="82"/>
      <c r="Z2409" s="82"/>
    </row>
    <row r="2410" spans="1:26">
      <c r="A2410" s="81"/>
      <c r="F2410" s="81"/>
      <c r="G2410" s="82"/>
      <c r="H2410" s="82"/>
      <c r="I2410" s="82"/>
      <c r="J2410" s="82"/>
      <c r="K2410" s="82"/>
      <c r="L2410" s="82"/>
      <c r="M2410" s="82"/>
      <c r="N2410" s="82"/>
      <c r="O2410" s="82"/>
      <c r="P2410" s="82"/>
      <c r="Q2410" s="82"/>
      <c r="R2410" s="82"/>
      <c r="S2410" s="82"/>
      <c r="T2410" s="82"/>
      <c r="U2410" s="82"/>
      <c r="V2410" s="82"/>
      <c r="W2410" s="82"/>
      <c r="X2410" s="82"/>
      <c r="Y2410" s="82"/>
      <c r="Z2410" s="82"/>
    </row>
    <row r="2411" spans="1:26">
      <c r="A2411" s="81"/>
      <c r="F2411" s="81"/>
      <c r="G2411" s="82"/>
      <c r="H2411" s="82"/>
      <c r="I2411" s="82"/>
      <c r="J2411" s="82"/>
      <c r="K2411" s="82"/>
      <c r="L2411" s="82"/>
      <c r="M2411" s="82"/>
      <c r="N2411" s="82"/>
      <c r="O2411" s="82"/>
      <c r="P2411" s="82"/>
      <c r="Q2411" s="82"/>
      <c r="R2411" s="82"/>
      <c r="S2411" s="82"/>
      <c r="T2411" s="82"/>
      <c r="U2411" s="82"/>
      <c r="V2411" s="82"/>
      <c r="W2411" s="82"/>
      <c r="X2411" s="82"/>
      <c r="Y2411" s="82"/>
      <c r="Z2411" s="82"/>
    </row>
    <row r="2412" spans="1:26">
      <c r="A2412" s="81"/>
      <c r="F2412" s="81"/>
      <c r="G2412" s="82"/>
      <c r="H2412" s="82"/>
      <c r="I2412" s="82"/>
      <c r="J2412" s="82"/>
      <c r="K2412" s="82"/>
      <c r="L2412" s="82"/>
      <c r="M2412" s="82"/>
      <c r="N2412" s="82"/>
      <c r="O2412" s="82"/>
      <c r="P2412" s="82"/>
      <c r="Q2412" s="82"/>
      <c r="R2412" s="82"/>
      <c r="S2412" s="82"/>
      <c r="T2412" s="82"/>
      <c r="U2412" s="82"/>
      <c r="V2412" s="82"/>
      <c r="W2412" s="82"/>
      <c r="X2412" s="82"/>
      <c r="Y2412" s="82"/>
      <c r="Z2412" s="82"/>
    </row>
    <row r="2413" spans="1:26">
      <c r="A2413" s="81"/>
      <c r="F2413" s="81"/>
      <c r="G2413" s="82"/>
      <c r="H2413" s="82"/>
      <c r="I2413" s="82"/>
      <c r="J2413" s="82"/>
      <c r="K2413" s="82"/>
      <c r="L2413" s="82"/>
      <c r="M2413" s="82"/>
      <c r="N2413" s="82"/>
      <c r="O2413" s="82"/>
      <c r="P2413" s="82"/>
      <c r="Q2413" s="82"/>
      <c r="R2413" s="82"/>
      <c r="S2413" s="82"/>
      <c r="T2413" s="82"/>
      <c r="U2413" s="82"/>
      <c r="V2413" s="82"/>
      <c r="W2413" s="82"/>
      <c r="X2413" s="82"/>
      <c r="Y2413" s="82"/>
      <c r="Z2413" s="82"/>
    </row>
    <row r="2414" spans="1:26">
      <c r="A2414" s="81"/>
      <c r="F2414" s="81"/>
      <c r="G2414" s="82"/>
      <c r="H2414" s="82"/>
      <c r="I2414" s="82"/>
      <c r="J2414" s="82"/>
      <c r="K2414" s="82"/>
      <c r="L2414" s="82"/>
      <c r="M2414" s="82"/>
      <c r="N2414" s="82"/>
      <c r="O2414" s="82"/>
      <c r="P2414" s="82"/>
      <c r="Q2414" s="82"/>
      <c r="R2414" s="82"/>
      <c r="S2414" s="82"/>
      <c r="T2414" s="82"/>
      <c r="U2414" s="82"/>
      <c r="V2414" s="82"/>
      <c r="W2414" s="82"/>
      <c r="X2414" s="82"/>
      <c r="Y2414" s="82"/>
      <c r="Z2414" s="82"/>
    </row>
    <row r="2415" spans="1:26">
      <c r="A2415" s="81"/>
      <c r="F2415" s="81"/>
      <c r="G2415" s="82"/>
      <c r="H2415" s="82"/>
      <c r="I2415" s="82"/>
      <c r="J2415" s="82"/>
      <c r="K2415" s="82"/>
      <c r="L2415" s="82"/>
      <c r="M2415" s="82"/>
      <c r="N2415" s="82"/>
      <c r="O2415" s="82"/>
      <c r="P2415" s="82"/>
      <c r="Q2415" s="82"/>
      <c r="R2415" s="82"/>
      <c r="S2415" s="82"/>
      <c r="T2415" s="82"/>
      <c r="U2415" s="82"/>
      <c r="V2415" s="82"/>
      <c r="W2415" s="82"/>
      <c r="X2415" s="82"/>
      <c r="Y2415" s="82"/>
      <c r="Z2415" s="82"/>
    </row>
    <row r="2416" spans="1:26">
      <c r="A2416" s="81"/>
      <c r="F2416" s="81"/>
      <c r="G2416" s="82"/>
      <c r="H2416" s="82"/>
      <c r="I2416" s="82"/>
      <c r="J2416" s="82"/>
      <c r="K2416" s="82"/>
      <c r="L2416" s="82"/>
      <c r="M2416" s="82"/>
      <c r="N2416" s="82"/>
      <c r="O2416" s="82"/>
      <c r="P2416" s="82"/>
      <c r="Q2416" s="82"/>
      <c r="R2416" s="82"/>
      <c r="S2416" s="82"/>
      <c r="T2416" s="82"/>
      <c r="U2416" s="82"/>
      <c r="V2416" s="82"/>
      <c r="W2416" s="82"/>
      <c r="X2416" s="82"/>
      <c r="Y2416" s="82"/>
      <c r="Z2416" s="82"/>
    </row>
    <row r="2417" spans="1:26">
      <c r="A2417" s="81"/>
      <c r="F2417" s="81"/>
      <c r="G2417" s="82"/>
      <c r="H2417" s="82"/>
      <c r="I2417" s="82"/>
      <c r="J2417" s="82"/>
      <c r="K2417" s="82"/>
      <c r="L2417" s="82"/>
      <c r="M2417" s="82"/>
      <c r="N2417" s="82"/>
      <c r="O2417" s="82"/>
      <c r="P2417" s="82"/>
      <c r="Q2417" s="82"/>
      <c r="R2417" s="82"/>
      <c r="S2417" s="82"/>
      <c r="T2417" s="82"/>
      <c r="U2417" s="82"/>
      <c r="V2417" s="82"/>
      <c r="W2417" s="82"/>
      <c r="X2417" s="82"/>
      <c r="Y2417" s="82"/>
      <c r="Z2417" s="82"/>
    </row>
    <row r="2418" spans="1:26">
      <c r="A2418" s="81"/>
      <c r="F2418" s="81"/>
      <c r="G2418" s="82"/>
      <c r="H2418" s="82"/>
      <c r="I2418" s="82"/>
      <c r="J2418" s="82"/>
      <c r="K2418" s="82"/>
      <c r="L2418" s="82"/>
      <c r="M2418" s="82"/>
      <c r="N2418" s="82"/>
      <c r="O2418" s="82"/>
      <c r="P2418" s="82"/>
      <c r="Q2418" s="82"/>
      <c r="R2418" s="82"/>
      <c r="S2418" s="82"/>
      <c r="T2418" s="82"/>
      <c r="U2418" s="82"/>
      <c r="V2418" s="82"/>
      <c r="W2418" s="82"/>
      <c r="X2418" s="82"/>
      <c r="Y2418" s="82"/>
      <c r="Z2418" s="82"/>
    </row>
    <row r="2419" spans="1:26">
      <c r="A2419" s="81"/>
      <c r="F2419" s="81"/>
      <c r="G2419" s="82"/>
      <c r="H2419" s="82"/>
      <c r="I2419" s="82"/>
      <c r="J2419" s="82"/>
      <c r="K2419" s="82"/>
      <c r="L2419" s="82"/>
      <c r="M2419" s="82"/>
      <c r="N2419" s="82"/>
      <c r="O2419" s="82"/>
      <c r="P2419" s="82"/>
      <c r="Q2419" s="82"/>
      <c r="R2419" s="82"/>
      <c r="S2419" s="82"/>
      <c r="T2419" s="82"/>
      <c r="U2419" s="82"/>
      <c r="V2419" s="82"/>
      <c r="W2419" s="82"/>
      <c r="X2419" s="82"/>
      <c r="Y2419" s="82"/>
      <c r="Z2419" s="82"/>
    </row>
    <row r="2420" spans="1:26">
      <c r="A2420" s="81"/>
      <c r="F2420" s="81"/>
      <c r="G2420" s="82"/>
      <c r="H2420" s="82"/>
      <c r="I2420" s="82"/>
      <c r="J2420" s="82"/>
      <c r="K2420" s="82"/>
      <c r="L2420" s="82"/>
      <c r="M2420" s="82"/>
      <c r="N2420" s="82"/>
      <c r="O2420" s="82"/>
      <c r="P2420" s="82"/>
      <c r="Q2420" s="82"/>
      <c r="R2420" s="82"/>
      <c r="S2420" s="82"/>
      <c r="T2420" s="82"/>
      <c r="U2420" s="82"/>
      <c r="V2420" s="82"/>
      <c r="W2420" s="82"/>
      <c r="X2420" s="82"/>
      <c r="Y2420" s="82"/>
      <c r="Z2420" s="82"/>
    </row>
    <row r="2421" spans="1:26">
      <c r="A2421" s="81"/>
      <c r="F2421" s="81"/>
      <c r="G2421" s="82"/>
      <c r="H2421" s="82"/>
      <c r="I2421" s="82"/>
      <c r="J2421" s="82"/>
      <c r="K2421" s="82"/>
      <c r="L2421" s="82"/>
      <c r="M2421" s="82"/>
      <c r="N2421" s="82"/>
      <c r="O2421" s="82"/>
      <c r="P2421" s="82"/>
      <c r="Q2421" s="82"/>
      <c r="R2421" s="82"/>
      <c r="S2421" s="82"/>
      <c r="T2421" s="82"/>
      <c r="U2421" s="82"/>
      <c r="V2421" s="82"/>
      <c r="W2421" s="82"/>
      <c r="X2421" s="82"/>
      <c r="Y2421" s="82"/>
      <c r="Z2421" s="82"/>
    </row>
    <row r="2422" spans="1:26">
      <c r="A2422" s="81"/>
      <c r="F2422" s="81"/>
      <c r="G2422" s="82"/>
      <c r="H2422" s="82"/>
      <c r="I2422" s="82"/>
      <c r="J2422" s="82"/>
      <c r="K2422" s="82"/>
      <c r="L2422" s="82"/>
      <c r="M2422" s="82"/>
      <c r="N2422" s="82"/>
      <c r="O2422" s="82"/>
      <c r="P2422" s="82"/>
      <c r="Q2422" s="82"/>
      <c r="R2422" s="82"/>
      <c r="S2422" s="82"/>
      <c r="T2422" s="82"/>
      <c r="U2422" s="82"/>
      <c r="V2422" s="82"/>
      <c r="W2422" s="82"/>
      <c r="X2422" s="82"/>
      <c r="Y2422" s="82"/>
      <c r="Z2422" s="82"/>
    </row>
    <row r="2423" spans="1:26">
      <c r="A2423" s="81"/>
      <c r="F2423" s="81"/>
      <c r="G2423" s="82"/>
      <c r="H2423" s="82"/>
      <c r="I2423" s="82"/>
      <c r="J2423" s="82"/>
      <c r="K2423" s="82"/>
      <c r="L2423" s="82"/>
      <c r="M2423" s="82"/>
      <c r="N2423" s="82"/>
      <c r="O2423" s="82"/>
      <c r="P2423" s="82"/>
      <c r="Q2423" s="82"/>
      <c r="R2423" s="82"/>
      <c r="S2423" s="82"/>
      <c r="T2423" s="82"/>
      <c r="U2423" s="82"/>
      <c r="V2423" s="82"/>
      <c r="W2423" s="82"/>
      <c r="X2423" s="82"/>
      <c r="Y2423" s="82"/>
      <c r="Z2423" s="82"/>
    </row>
    <row r="2424" spans="1:26">
      <c r="A2424" s="81"/>
      <c r="F2424" s="81"/>
      <c r="G2424" s="82"/>
      <c r="H2424" s="82"/>
      <c r="I2424" s="82"/>
      <c r="J2424" s="82"/>
      <c r="K2424" s="82"/>
      <c r="L2424" s="82"/>
      <c r="M2424" s="82"/>
      <c r="N2424" s="82"/>
      <c r="O2424" s="82"/>
      <c r="P2424" s="82"/>
      <c r="Q2424" s="82"/>
      <c r="R2424" s="82"/>
      <c r="S2424" s="82"/>
      <c r="T2424" s="82"/>
      <c r="U2424" s="82"/>
      <c r="V2424" s="82"/>
      <c r="W2424" s="82"/>
      <c r="X2424" s="82"/>
      <c r="Y2424" s="82"/>
      <c r="Z2424" s="82"/>
    </row>
    <row r="2425" spans="1:26">
      <c r="A2425" s="81"/>
      <c r="F2425" s="81"/>
      <c r="G2425" s="82"/>
      <c r="H2425" s="82"/>
      <c r="I2425" s="82"/>
      <c r="J2425" s="82"/>
      <c r="K2425" s="82"/>
      <c r="L2425" s="82"/>
      <c r="M2425" s="82"/>
      <c r="N2425" s="82"/>
      <c r="O2425" s="82"/>
      <c r="P2425" s="82"/>
      <c r="Q2425" s="82"/>
      <c r="R2425" s="82"/>
      <c r="S2425" s="82"/>
      <c r="T2425" s="82"/>
      <c r="U2425" s="82"/>
      <c r="V2425" s="82"/>
      <c r="W2425" s="82"/>
      <c r="X2425" s="82"/>
      <c r="Y2425" s="82"/>
      <c r="Z2425" s="82"/>
    </row>
    <row r="2426" spans="1:26">
      <c r="A2426" s="81"/>
      <c r="F2426" s="81"/>
      <c r="G2426" s="82"/>
      <c r="H2426" s="82"/>
      <c r="I2426" s="82"/>
      <c r="J2426" s="82"/>
      <c r="K2426" s="82"/>
      <c r="L2426" s="82"/>
      <c r="M2426" s="82"/>
      <c r="N2426" s="82"/>
      <c r="O2426" s="82"/>
      <c r="P2426" s="82"/>
      <c r="Q2426" s="82"/>
      <c r="R2426" s="82"/>
      <c r="S2426" s="82"/>
      <c r="T2426" s="82"/>
      <c r="U2426" s="82"/>
      <c r="V2426" s="82"/>
      <c r="W2426" s="82"/>
      <c r="X2426" s="82"/>
      <c r="Y2426" s="82"/>
      <c r="Z2426" s="82"/>
    </row>
    <row r="2427" spans="1:26">
      <c r="A2427" s="81"/>
      <c r="F2427" s="81"/>
      <c r="G2427" s="82"/>
      <c r="H2427" s="82"/>
      <c r="I2427" s="82"/>
      <c r="J2427" s="82"/>
      <c r="K2427" s="82"/>
      <c r="L2427" s="82"/>
      <c r="M2427" s="82"/>
      <c r="N2427" s="82"/>
      <c r="O2427" s="82"/>
      <c r="P2427" s="82"/>
      <c r="Q2427" s="82"/>
      <c r="R2427" s="82"/>
      <c r="S2427" s="82"/>
      <c r="T2427" s="82"/>
      <c r="U2427" s="82"/>
      <c r="V2427" s="82"/>
      <c r="W2427" s="82"/>
      <c r="X2427" s="82"/>
      <c r="Y2427" s="82"/>
      <c r="Z2427" s="82"/>
    </row>
    <row r="2428" spans="1:26">
      <c r="A2428" s="81"/>
      <c r="F2428" s="81"/>
      <c r="G2428" s="82"/>
      <c r="H2428" s="82"/>
      <c r="I2428" s="82"/>
      <c r="J2428" s="82"/>
      <c r="K2428" s="82"/>
      <c r="L2428" s="82"/>
      <c r="M2428" s="82"/>
      <c r="N2428" s="82"/>
      <c r="O2428" s="82"/>
      <c r="P2428" s="82"/>
      <c r="Q2428" s="82"/>
      <c r="R2428" s="82"/>
      <c r="S2428" s="82"/>
      <c r="T2428" s="82"/>
      <c r="U2428" s="82"/>
      <c r="V2428" s="82"/>
      <c r="W2428" s="82"/>
      <c r="X2428" s="82"/>
      <c r="Y2428" s="82"/>
      <c r="Z2428" s="82"/>
    </row>
    <row r="2429" spans="1:26">
      <c r="A2429" s="81"/>
      <c r="F2429" s="81"/>
      <c r="G2429" s="82"/>
      <c r="H2429" s="82"/>
      <c r="I2429" s="82"/>
      <c r="J2429" s="82"/>
      <c r="K2429" s="82"/>
      <c r="L2429" s="82"/>
      <c r="M2429" s="82"/>
      <c r="N2429" s="82"/>
      <c r="O2429" s="82"/>
      <c r="P2429" s="82"/>
      <c r="Q2429" s="82"/>
      <c r="R2429" s="82"/>
      <c r="S2429" s="82"/>
      <c r="T2429" s="82"/>
      <c r="U2429" s="82"/>
      <c r="V2429" s="82"/>
      <c r="W2429" s="82"/>
      <c r="X2429" s="82"/>
      <c r="Y2429" s="82"/>
      <c r="Z2429" s="82"/>
    </row>
    <row r="2430" spans="1:26">
      <c r="A2430" s="81"/>
      <c r="F2430" s="81"/>
      <c r="G2430" s="82"/>
      <c r="H2430" s="82"/>
      <c r="I2430" s="82"/>
      <c r="J2430" s="82"/>
      <c r="K2430" s="82"/>
      <c r="L2430" s="82"/>
      <c r="M2430" s="82"/>
      <c r="N2430" s="82"/>
      <c r="O2430" s="82"/>
      <c r="P2430" s="82"/>
      <c r="Q2430" s="82"/>
      <c r="R2430" s="82"/>
      <c r="S2430" s="82"/>
      <c r="T2430" s="82"/>
      <c r="U2430" s="82"/>
      <c r="V2430" s="82"/>
      <c r="W2430" s="82"/>
      <c r="X2430" s="82"/>
      <c r="Y2430" s="82"/>
      <c r="Z2430" s="82"/>
    </row>
    <row r="2431" spans="1:26">
      <c r="A2431" s="81"/>
      <c r="F2431" s="81"/>
      <c r="G2431" s="82"/>
      <c r="H2431" s="82"/>
      <c r="I2431" s="82"/>
      <c r="J2431" s="82"/>
      <c r="K2431" s="82"/>
      <c r="L2431" s="82"/>
      <c r="M2431" s="82"/>
      <c r="N2431" s="82"/>
      <c r="O2431" s="82"/>
      <c r="P2431" s="82"/>
      <c r="Q2431" s="82"/>
      <c r="R2431" s="82"/>
      <c r="S2431" s="82"/>
      <c r="T2431" s="82"/>
      <c r="U2431" s="82"/>
      <c r="V2431" s="82"/>
      <c r="W2431" s="82"/>
      <c r="X2431" s="82"/>
      <c r="Y2431" s="82"/>
      <c r="Z2431" s="82"/>
    </row>
    <row r="2432" spans="1:26">
      <c r="A2432" s="81"/>
      <c r="F2432" s="81"/>
      <c r="G2432" s="82"/>
      <c r="H2432" s="82"/>
      <c r="I2432" s="82"/>
      <c r="J2432" s="82"/>
      <c r="K2432" s="82"/>
      <c r="L2432" s="82"/>
      <c r="M2432" s="82"/>
      <c r="N2432" s="82"/>
      <c r="O2432" s="82"/>
      <c r="P2432" s="82"/>
      <c r="Q2432" s="82"/>
      <c r="R2432" s="82"/>
      <c r="S2432" s="82"/>
      <c r="T2432" s="82"/>
      <c r="U2432" s="82"/>
      <c r="V2432" s="82"/>
      <c r="W2432" s="82"/>
      <c r="X2432" s="82"/>
      <c r="Y2432" s="82"/>
      <c r="Z2432" s="82"/>
    </row>
    <row r="2433" spans="1:26">
      <c r="A2433" s="81"/>
      <c r="F2433" s="81"/>
      <c r="G2433" s="82"/>
      <c r="H2433" s="82"/>
      <c r="I2433" s="82"/>
      <c r="J2433" s="82"/>
      <c r="K2433" s="82"/>
      <c r="L2433" s="82"/>
      <c r="M2433" s="82"/>
      <c r="N2433" s="82"/>
      <c r="O2433" s="82"/>
      <c r="P2433" s="82"/>
      <c r="Q2433" s="82"/>
      <c r="R2433" s="82"/>
      <c r="S2433" s="82"/>
      <c r="T2433" s="82"/>
      <c r="U2433" s="82"/>
      <c r="V2433" s="82"/>
      <c r="W2433" s="82"/>
      <c r="X2433" s="82"/>
      <c r="Y2433" s="82"/>
      <c r="Z2433" s="82"/>
    </row>
    <row r="2434" spans="1:26">
      <c r="A2434" s="81"/>
      <c r="F2434" s="81"/>
      <c r="G2434" s="82"/>
      <c r="H2434" s="82"/>
      <c r="I2434" s="82"/>
      <c r="J2434" s="82"/>
      <c r="K2434" s="82"/>
      <c r="L2434" s="82"/>
      <c r="M2434" s="82"/>
      <c r="N2434" s="82"/>
      <c r="O2434" s="82"/>
      <c r="P2434" s="82"/>
      <c r="Q2434" s="82"/>
      <c r="R2434" s="82"/>
      <c r="S2434" s="82"/>
      <c r="T2434" s="82"/>
      <c r="U2434" s="82"/>
      <c r="V2434" s="82"/>
      <c r="W2434" s="82"/>
      <c r="X2434" s="82"/>
      <c r="Y2434" s="82"/>
      <c r="Z2434" s="82"/>
    </row>
    <row r="2435" spans="1:26">
      <c r="A2435" s="81"/>
      <c r="F2435" s="81"/>
      <c r="G2435" s="82"/>
      <c r="H2435" s="82"/>
      <c r="I2435" s="82"/>
      <c r="J2435" s="82"/>
      <c r="K2435" s="82"/>
      <c r="L2435" s="82"/>
      <c r="M2435" s="82"/>
      <c r="N2435" s="82"/>
      <c r="O2435" s="82"/>
      <c r="P2435" s="82"/>
      <c r="Q2435" s="82"/>
      <c r="R2435" s="82"/>
      <c r="S2435" s="82"/>
      <c r="T2435" s="82"/>
      <c r="U2435" s="82"/>
      <c r="V2435" s="82"/>
      <c r="W2435" s="82"/>
      <c r="X2435" s="82"/>
      <c r="Y2435" s="82"/>
      <c r="Z2435" s="82"/>
    </row>
    <row r="2436" spans="1:26">
      <c r="A2436" s="81"/>
      <c r="F2436" s="81"/>
      <c r="G2436" s="82"/>
      <c r="H2436" s="82"/>
      <c r="I2436" s="82"/>
      <c r="J2436" s="82"/>
      <c r="K2436" s="82"/>
      <c r="L2436" s="82"/>
      <c r="M2436" s="82"/>
      <c r="N2436" s="82"/>
      <c r="O2436" s="82"/>
      <c r="P2436" s="82"/>
      <c r="Q2436" s="82"/>
      <c r="R2436" s="82"/>
      <c r="S2436" s="82"/>
      <c r="T2436" s="82"/>
      <c r="U2436" s="82"/>
      <c r="V2436" s="82"/>
      <c r="W2436" s="82"/>
      <c r="X2436" s="82"/>
      <c r="Y2436" s="82"/>
      <c r="Z2436" s="82"/>
    </row>
    <row r="2437" spans="1:26">
      <c r="A2437" s="81"/>
      <c r="F2437" s="81"/>
      <c r="G2437" s="82"/>
      <c r="H2437" s="82"/>
      <c r="I2437" s="82"/>
      <c r="J2437" s="82"/>
      <c r="K2437" s="82"/>
      <c r="L2437" s="82"/>
      <c r="M2437" s="82"/>
      <c r="N2437" s="82"/>
      <c r="O2437" s="82"/>
      <c r="P2437" s="82"/>
      <c r="Q2437" s="82"/>
      <c r="R2437" s="82"/>
      <c r="S2437" s="82"/>
      <c r="T2437" s="82"/>
      <c r="U2437" s="82"/>
      <c r="V2437" s="82"/>
      <c r="W2437" s="82"/>
      <c r="X2437" s="82"/>
      <c r="Y2437" s="82"/>
      <c r="Z2437" s="82"/>
    </row>
    <row r="2438" spans="1:26">
      <c r="A2438" s="81"/>
      <c r="F2438" s="81"/>
      <c r="G2438" s="82"/>
      <c r="H2438" s="82"/>
      <c r="I2438" s="82"/>
      <c r="J2438" s="82"/>
      <c r="K2438" s="82"/>
      <c r="L2438" s="82"/>
      <c r="M2438" s="82"/>
      <c r="N2438" s="82"/>
      <c r="O2438" s="82"/>
      <c r="P2438" s="82"/>
      <c r="Q2438" s="82"/>
      <c r="R2438" s="82"/>
      <c r="S2438" s="82"/>
      <c r="T2438" s="82"/>
      <c r="U2438" s="82"/>
      <c r="V2438" s="82"/>
      <c r="W2438" s="82"/>
      <c r="X2438" s="82"/>
      <c r="Y2438" s="82"/>
      <c r="Z2438" s="82"/>
    </row>
    <row r="2439" spans="1:26">
      <c r="A2439" s="81"/>
      <c r="F2439" s="81"/>
      <c r="G2439" s="82"/>
      <c r="H2439" s="82"/>
      <c r="I2439" s="82"/>
      <c r="J2439" s="82"/>
      <c r="K2439" s="82"/>
      <c r="L2439" s="82"/>
      <c r="M2439" s="82"/>
      <c r="N2439" s="82"/>
      <c r="O2439" s="82"/>
      <c r="P2439" s="82"/>
      <c r="Q2439" s="82"/>
      <c r="R2439" s="82"/>
      <c r="S2439" s="82"/>
      <c r="T2439" s="82"/>
      <c r="U2439" s="82"/>
      <c r="V2439" s="82"/>
      <c r="W2439" s="82"/>
      <c r="X2439" s="82"/>
      <c r="Y2439" s="82"/>
      <c r="Z2439" s="82"/>
    </row>
    <row r="2440" spans="1:26">
      <c r="A2440" s="81"/>
      <c r="F2440" s="81"/>
      <c r="G2440" s="82"/>
      <c r="H2440" s="82"/>
      <c r="I2440" s="82"/>
      <c r="J2440" s="82"/>
      <c r="K2440" s="82"/>
      <c r="L2440" s="82"/>
      <c r="M2440" s="82"/>
      <c r="N2440" s="82"/>
      <c r="O2440" s="82"/>
      <c r="P2440" s="82"/>
      <c r="Q2440" s="82"/>
      <c r="R2440" s="82"/>
      <c r="S2440" s="82"/>
      <c r="T2440" s="82"/>
      <c r="U2440" s="82"/>
      <c r="V2440" s="82"/>
      <c r="W2440" s="82"/>
      <c r="X2440" s="82"/>
      <c r="Y2440" s="82"/>
      <c r="Z2440" s="82"/>
    </row>
    <row r="2441" spans="1:26">
      <c r="A2441" s="81"/>
      <c r="F2441" s="81"/>
      <c r="G2441" s="82"/>
      <c r="H2441" s="82"/>
      <c r="I2441" s="82"/>
      <c r="J2441" s="82"/>
      <c r="K2441" s="82"/>
      <c r="L2441" s="82"/>
      <c r="M2441" s="82"/>
      <c r="N2441" s="82"/>
      <c r="O2441" s="82"/>
      <c r="P2441" s="82"/>
      <c r="Q2441" s="82"/>
      <c r="R2441" s="82"/>
      <c r="S2441" s="82"/>
      <c r="T2441" s="82"/>
      <c r="U2441" s="82"/>
      <c r="V2441" s="82"/>
      <c r="W2441" s="82"/>
      <c r="X2441" s="82"/>
      <c r="Y2441" s="82"/>
      <c r="Z2441" s="82"/>
    </row>
    <row r="2442" spans="1:26">
      <c r="A2442" s="81"/>
      <c r="F2442" s="81"/>
      <c r="G2442" s="82"/>
      <c r="H2442" s="82"/>
      <c r="I2442" s="82"/>
      <c r="J2442" s="82"/>
      <c r="K2442" s="82"/>
      <c r="L2442" s="82"/>
      <c r="M2442" s="82"/>
      <c r="N2442" s="82"/>
      <c r="O2442" s="82"/>
      <c r="P2442" s="82"/>
      <c r="Q2442" s="82"/>
      <c r="R2442" s="82"/>
      <c r="S2442" s="82"/>
      <c r="T2442" s="82"/>
      <c r="U2442" s="82"/>
      <c r="V2442" s="82"/>
      <c r="W2442" s="82"/>
      <c r="X2442" s="82"/>
      <c r="Y2442" s="82"/>
      <c r="Z2442" s="82"/>
    </row>
    <row r="2443" spans="1:26">
      <c r="A2443" s="81"/>
      <c r="F2443" s="81"/>
      <c r="G2443" s="82"/>
      <c r="H2443" s="82"/>
      <c r="I2443" s="82"/>
      <c r="J2443" s="82"/>
      <c r="K2443" s="82"/>
      <c r="L2443" s="82"/>
      <c r="M2443" s="82"/>
      <c r="N2443" s="82"/>
      <c r="O2443" s="82"/>
      <c r="P2443" s="82"/>
      <c r="Q2443" s="82"/>
      <c r="R2443" s="82"/>
      <c r="S2443" s="82"/>
      <c r="T2443" s="82"/>
      <c r="U2443" s="82"/>
      <c r="V2443" s="82"/>
      <c r="W2443" s="82"/>
      <c r="X2443" s="82"/>
      <c r="Y2443" s="82"/>
      <c r="Z2443" s="82"/>
    </row>
    <row r="2444" spans="1:26">
      <c r="A2444" s="81"/>
      <c r="F2444" s="81"/>
      <c r="G2444" s="82"/>
      <c r="H2444" s="82"/>
      <c r="I2444" s="82"/>
      <c r="J2444" s="82"/>
      <c r="K2444" s="82"/>
      <c r="L2444" s="82"/>
      <c r="M2444" s="82"/>
      <c r="N2444" s="82"/>
      <c r="O2444" s="82"/>
      <c r="P2444" s="82"/>
      <c r="Q2444" s="82"/>
      <c r="R2444" s="82"/>
      <c r="S2444" s="82"/>
      <c r="T2444" s="82"/>
      <c r="U2444" s="82"/>
      <c r="V2444" s="82"/>
      <c r="W2444" s="82"/>
      <c r="X2444" s="82"/>
      <c r="Y2444" s="82"/>
      <c r="Z2444" s="82"/>
    </row>
    <row r="2445" spans="1:26">
      <c r="A2445" s="81"/>
      <c r="F2445" s="81"/>
      <c r="G2445" s="82"/>
      <c r="H2445" s="82"/>
      <c r="I2445" s="82"/>
      <c r="J2445" s="82"/>
      <c r="K2445" s="82"/>
      <c r="L2445" s="82"/>
      <c r="M2445" s="82"/>
      <c r="N2445" s="82"/>
      <c r="O2445" s="82"/>
      <c r="P2445" s="82"/>
      <c r="Q2445" s="82"/>
      <c r="R2445" s="82"/>
      <c r="S2445" s="82"/>
      <c r="T2445" s="82"/>
      <c r="U2445" s="82"/>
      <c r="V2445" s="82"/>
      <c r="W2445" s="82"/>
      <c r="X2445" s="82"/>
      <c r="Y2445" s="82"/>
      <c r="Z2445" s="82"/>
    </row>
    <row r="2446" spans="1:26">
      <c r="A2446" s="81"/>
      <c r="F2446" s="81"/>
      <c r="G2446" s="82"/>
      <c r="H2446" s="82"/>
      <c r="I2446" s="82"/>
      <c r="J2446" s="82"/>
      <c r="K2446" s="82"/>
      <c r="L2446" s="82"/>
      <c r="M2446" s="82"/>
      <c r="N2446" s="82"/>
      <c r="O2446" s="82"/>
      <c r="P2446" s="82"/>
      <c r="Q2446" s="82"/>
      <c r="R2446" s="82"/>
      <c r="S2446" s="82"/>
      <c r="T2446" s="82"/>
      <c r="U2446" s="82"/>
      <c r="V2446" s="82"/>
      <c r="W2446" s="82"/>
      <c r="X2446" s="82"/>
      <c r="Y2446" s="82"/>
      <c r="Z2446" s="82"/>
    </row>
    <row r="2447" spans="1:26">
      <c r="A2447" s="81"/>
      <c r="F2447" s="81"/>
      <c r="G2447" s="82"/>
      <c r="H2447" s="82"/>
      <c r="I2447" s="82"/>
      <c r="J2447" s="82"/>
      <c r="K2447" s="82"/>
      <c r="L2447" s="82"/>
      <c r="M2447" s="82"/>
      <c r="N2447" s="82"/>
      <c r="O2447" s="82"/>
      <c r="P2447" s="82"/>
      <c r="Q2447" s="82"/>
      <c r="R2447" s="82"/>
      <c r="S2447" s="82"/>
      <c r="T2447" s="82"/>
      <c r="U2447" s="82"/>
      <c r="V2447" s="82"/>
      <c r="W2447" s="82"/>
      <c r="X2447" s="82"/>
      <c r="Y2447" s="82"/>
      <c r="Z2447" s="82"/>
    </row>
    <row r="2448" spans="1:26">
      <c r="A2448" s="81"/>
      <c r="F2448" s="81"/>
      <c r="G2448" s="82"/>
      <c r="H2448" s="82"/>
      <c r="I2448" s="82"/>
      <c r="J2448" s="82"/>
      <c r="K2448" s="82"/>
      <c r="L2448" s="82"/>
      <c r="M2448" s="82"/>
      <c r="N2448" s="82"/>
      <c r="O2448" s="82"/>
      <c r="P2448" s="82"/>
      <c r="Q2448" s="82"/>
      <c r="R2448" s="82"/>
      <c r="S2448" s="82"/>
      <c r="T2448" s="82"/>
      <c r="U2448" s="82"/>
      <c r="V2448" s="82"/>
      <c r="W2448" s="82"/>
      <c r="X2448" s="82"/>
      <c r="Y2448" s="82"/>
      <c r="Z2448" s="82"/>
    </row>
    <row r="2449" spans="1:26">
      <c r="A2449" s="81"/>
      <c r="F2449" s="81"/>
      <c r="G2449" s="82"/>
      <c r="H2449" s="82"/>
      <c r="I2449" s="82"/>
      <c r="J2449" s="82"/>
      <c r="K2449" s="82"/>
      <c r="L2449" s="82"/>
      <c r="M2449" s="82"/>
      <c r="N2449" s="82"/>
      <c r="O2449" s="82"/>
      <c r="P2449" s="82"/>
      <c r="Q2449" s="82"/>
      <c r="R2449" s="82"/>
      <c r="S2449" s="82"/>
      <c r="T2449" s="82"/>
      <c r="U2449" s="82"/>
      <c r="V2449" s="82"/>
      <c r="W2449" s="82"/>
      <c r="X2449" s="82"/>
      <c r="Y2449" s="82"/>
      <c r="Z2449" s="82"/>
    </row>
    <row r="2450" spans="1:26">
      <c r="A2450" s="81"/>
      <c r="F2450" s="81"/>
      <c r="G2450" s="82"/>
      <c r="H2450" s="82"/>
      <c r="I2450" s="82"/>
      <c r="J2450" s="82"/>
      <c r="K2450" s="82"/>
      <c r="L2450" s="82"/>
      <c r="M2450" s="82"/>
      <c r="N2450" s="82"/>
      <c r="O2450" s="82"/>
      <c r="P2450" s="82"/>
      <c r="Q2450" s="82"/>
      <c r="R2450" s="82"/>
      <c r="S2450" s="82"/>
      <c r="T2450" s="82"/>
      <c r="U2450" s="82"/>
      <c r="V2450" s="82"/>
      <c r="W2450" s="82"/>
      <c r="X2450" s="82"/>
      <c r="Y2450" s="82"/>
      <c r="Z2450" s="82"/>
    </row>
    <row r="2451" spans="1:26">
      <c r="A2451" s="81"/>
      <c r="F2451" s="81"/>
      <c r="G2451" s="82"/>
      <c r="H2451" s="82"/>
      <c r="I2451" s="82"/>
      <c r="J2451" s="82"/>
      <c r="K2451" s="82"/>
      <c r="L2451" s="82"/>
      <c r="M2451" s="82"/>
      <c r="N2451" s="82"/>
      <c r="O2451" s="82"/>
      <c r="P2451" s="82"/>
      <c r="Q2451" s="82"/>
      <c r="R2451" s="82"/>
      <c r="S2451" s="82"/>
      <c r="T2451" s="82"/>
      <c r="U2451" s="82"/>
      <c r="V2451" s="82"/>
      <c r="W2451" s="82"/>
      <c r="X2451" s="82"/>
      <c r="Y2451" s="82"/>
      <c r="Z2451" s="82"/>
    </row>
    <row r="2452" spans="1:26">
      <c r="A2452" s="81"/>
      <c r="F2452" s="81"/>
      <c r="G2452" s="82"/>
      <c r="H2452" s="82"/>
      <c r="I2452" s="82"/>
      <c r="J2452" s="82"/>
      <c r="K2452" s="82"/>
      <c r="L2452" s="82"/>
      <c r="M2452" s="82"/>
      <c r="N2452" s="82"/>
      <c r="O2452" s="82"/>
      <c r="P2452" s="82"/>
      <c r="Q2452" s="82"/>
      <c r="R2452" s="82"/>
      <c r="S2452" s="82"/>
      <c r="T2452" s="82"/>
      <c r="U2452" s="82"/>
      <c r="V2452" s="82"/>
      <c r="W2452" s="82"/>
      <c r="X2452" s="82"/>
      <c r="Y2452" s="82"/>
      <c r="Z2452" s="82"/>
    </row>
    <row r="2453" spans="1:26">
      <c r="A2453" s="81"/>
      <c r="F2453" s="81"/>
      <c r="G2453" s="82"/>
      <c r="H2453" s="82"/>
      <c r="I2453" s="82"/>
      <c r="J2453" s="82"/>
      <c r="K2453" s="82"/>
      <c r="L2453" s="82"/>
      <c r="M2453" s="82"/>
      <c r="N2453" s="82"/>
      <c r="O2453" s="82"/>
      <c r="P2453" s="82"/>
      <c r="Q2453" s="82"/>
      <c r="R2453" s="82"/>
      <c r="S2453" s="82"/>
      <c r="T2453" s="82"/>
      <c r="U2453" s="82"/>
      <c r="V2453" s="82"/>
      <c r="W2453" s="82"/>
      <c r="X2453" s="82"/>
      <c r="Y2453" s="82"/>
      <c r="Z2453" s="82"/>
    </row>
    <row r="2454" spans="1:26">
      <c r="A2454" s="81"/>
      <c r="F2454" s="81"/>
      <c r="G2454" s="82"/>
      <c r="H2454" s="82"/>
      <c r="I2454" s="82"/>
      <c r="J2454" s="82"/>
      <c r="K2454" s="82"/>
      <c r="L2454" s="82"/>
      <c r="M2454" s="82"/>
      <c r="N2454" s="82"/>
      <c r="O2454" s="82"/>
      <c r="P2454" s="82"/>
      <c r="Q2454" s="82"/>
      <c r="R2454" s="82"/>
      <c r="S2454" s="82"/>
      <c r="T2454" s="82"/>
      <c r="U2454" s="82"/>
      <c r="V2454" s="82"/>
      <c r="W2454" s="82"/>
      <c r="X2454" s="82"/>
      <c r="Y2454" s="82"/>
      <c r="Z2454" s="82"/>
    </row>
    <row r="2455" spans="1:26">
      <c r="A2455" s="81"/>
      <c r="F2455" s="81"/>
      <c r="G2455" s="82"/>
      <c r="H2455" s="82"/>
      <c r="I2455" s="82"/>
      <c r="J2455" s="82"/>
      <c r="K2455" s="82"/>
      <c r="L2455" s="82"/>
      <c r="M2455" s="82"/>
      <c r="N2455" s="82"/>
      <c r="O2455" s="82"/>
      <c r="P2455" s="82"/>
      <c r="Q2455" s="82"/>
      <c r="R2455" s="82"/>
      <c r="S2455" s="82"/>
      <c r="T2455" s="82"/>
      <c r="U2455" s="82"/>
      <c r="V2455" s="82"/>
      <c r="W2455" s="82"/>
      <c r="X2455" s="82"/>
      <c r="Y2455" s="82"/>
      <c r="Z2455" s="82"/>
    </row>
    <row r="2456" spans="1:26">
      <c r="A2456" s="81"/>
      <c r="F2456" s="81"/>
      <c r="G2456" s="82"/>
      <c r="H2456" s="82"/>
      <c r="I2456" s="82"/>
      <c r="J2456" s="82"/>
      <c r="K2456" s="82"/>
      <c r="L2456" s="82"/>
      <c r="M2456" s="82"/>
      <c r="N2456" s="82"/>
      <c r="O2456" s="82"/>
      <c r="P2456" s="82"/>
      <c r="Q2456" s="82"/>
      <c r="R2456" s="82"/>
      <c r="S2456" s="82"/>
      <c r="T2456" s="82"/>
      <c r="U2456" s="82"/>
      <c r="V2456" s="82"/>
      <c r="W2456" s="82"/>
      <c r="X2456" s="82"/>
      <c r="Y2456" s="82"/>
      <c r="Z2456" s="82"/>
    </row>
    <row r="2457" spans="1:26">
      <c r="A2457" s="81"/>
      <c r="F2457" s="81"/>
      <c r="G2457" s="82"/>
      <c r="H2457" s="82"/>
      <c r="I2457" s="82"/>
      <c r="J2457" s="82"/>
      <c r="K2457" s="82"/>
      <c r="L2457" s="82"/>
      <c r="M2457" s="82"/>
      <c r="N2457" s="82"/>
      <c r="O2457" s="82"/>
      <c r="P2457" s="82"/>
      <c r="Q2457" s="82"/>
      <c r="R2457" s="82"/>
      <c r="S2457" s="82"/>
      <c r="T2457" s="82"/>
      <c r="U2457" s="82"/>
      <c r="V2457" s="82"/>
      <c r="W2457" s="82"/>
      <c r="X2457" s="82"/>
      <c r="Y2457" s="82"/>
      <c r="Z2457" s="82"/>
    </row>
    <row r="2458" spans="1:26">
      <c r="A2458" s="81"/>
      <c r="F2458" s="81"/>
      <c r="G2458" s="82"/>
      <c r="H2458" s="82"/>
      <c r="I2458" s="82"/>
      <c r="J2458" s="82"/>
      <c r="K2458" s="82"/>
      <c r="L2458" s="82"/>
      <c r="M2458" s="82"/>
      <c r="N2458" s="82"/>
      <c r="O2458" s="82"/>
      <c r="P2458" s="82"/>
      <c r="Q2458" s="82"/>
      <c r="R2458" s="82"/>
      <c r="S2458" s="82"/>
      <c r="T2458" s="82"/>
      <c r="U2458" s="82"/>
      <c r="V2458" s="82"/>
      <c r="W2458" s="82"/>
      <c r="X2458" s="82"/>
      <c r="Y2458" s="82"/>
      <c r="Z2458" s="82"/>
    </row>
    <row r="2459" spans="1:26">
      <c r="A2459" s="81"/>
      <c r="F2459" s="81"/>
      <c r="G2459" s="82"/>
      <c r="H2459" s="82"/>
      <c r="I2459" s="82"/>
      <c r="J2459" s="82"/>
      <c r="K2459" s="82"/>
      <c r="L2459" s="82"/>
      <c r="M2459" s="82"/>
      <c r="N2459" s="82"/>
      <c r="O2459" s="82"/>
      <c r="P2459" s="82"/>
      <c r="Q2459" s="82"/>
      <c r="R2459" s="82"/>
      <c r="S2459" s="82"/>
      <c r="T2459" s="82"/>
      <c r="U2459" s="82"/>
      <c r="V2459" s="82"/>
      <c r="W2459" s="82"/>
      <c r="X2459" s="82"/>
      <c r="Y2459" s="82"/>
      <c r="Z2459" s="82"/>
    </row>
    <row r="2460" spans="1:26">
      <c r="A2460" s="81"/>
      <c r="F2460" s="81"/>
      <c r="G2460" s="82"/>
      <c r="H2460" s="82"/>
      <c r="I2460" s="82"/>
      <c r="J2460" s="82"/>
      <c r="K2460" s="82"/>
      <c r="L2460" s="82"/>
      <c r="M2460" s="82"/>
      <c r="N2460" s="82"/>
      <c r="O2460" s="82"/>
      <c r="P2460" s="82"/>
      <c r="Q2460" s="82"/>
      <c r="R2460" s="82"/>
      <c r="S2460" s="82"/>
      <c r="T2460" s="82"/>
      <c r="U2460" s="82"/>
      <c r="V2460" s="82"/>
      <c r="W2460" s="82"/>
      <c r="X2460" s="82"/>
      <c r="Y2460" s="82"/>
      <c r="Z2460" s="82"/>
    </row>
    <row r="2461" spans="1:26">
      <c r="A2461" s="81"/>
      <c r="F2461" s="81"/>
      <c r="G2461" s="82"/>
      <c r="H2461" s="82"/>
      <c r="I2461" s="82"/>
      <c r="J2461" s="82"/>
      <c r="K2461" s="82"/>
      <c r="L2461" s="82"/>
      <c r="M2461" s="82"/>
      <c r="N2461" s="82"/>
      <c r="O2461" s="82"/>
      <c r="P2461" s="82"/>
      <c r="Q2461" s="82"/>
      <c r="R2461" s="82"/>
      <c r="S2461" s="82"/>
      <c r="T2461" s="82"/>
      <c r="U2461" s="82"/>
      <c r="V2461" s="82"/>
      <c r="W2461" s="82"/>
      <c r="X2461" s="82"/>
      <c r="Y2461" s="82"/>
      <c r="Z2461" s="82"/>
    </row>
    <row r="2462" spans="1:26">
      <c r="A2462" s="81"/>
      <c r="F2462" s="81"/>
      <c r="G2462" s="82"/>
      <c r="H2462" s="82"/>
      <c r="I2462" s="82"/>
      <c r="J2462" s="82"/>
      <c r="K2462" s="82"/>
      <c r="L2462" s="82"/>
      <c r="M2462" s="82"/>
      <c r="N2462" s="82"/>
      <c r="O2462" s="82"/>
      <c r="P2462" s="82"/>
      <c r="Q2462" s="82"/>
      <c r="R2462" s="82"/>
      <c r="S2462" s="82"/>
      <c r="T2462" s="82"/>
      <c r="U2462" s="82"/>
      <c r="V2462" s="82"/>
      <c r="W2462" s="82"/>
      <c r="X2462" s="82"/>
      <c r="Y2462" s="82"/>
      <c r="Z2462" s="82"/>
    </row>
    <row r="2463" spans="1:26">
      <c r="A2463" s="81"/>
      <c r="F2463" s="81"/>
      <c r="G2463" s="82"/>
      <c r="H2463" s="82"/>
      <c r="I2463" s="82"/>
      <c r="J2463" s="82"/>
      <c r="K2463" s="82"/>
      <c r="L2463" s="82"/>
      <c r="M2463" s="82"/>
      <c r="N2463" s="82"/>
      <c r="O2463" s="82"/>
      <c r="P2463" s="82"/>
      <c r="Q2463" s="82"/>
      <c r="R2463" s="82"/>
      <c r="S2463" s="82"/>
      <c r="T2463" s="82"/>
      <c r="U2463" s="82"/>
      <c r="V2463" s="82"/>
      <c r="W2463" s="82"/>
      <c r="X2463" s="82"/>
      <c r="Y2463" s="82"/>
      <c r="Z2463" s="82"/>
    </row>
    <row r="2464" spans="1:26">
      <c r="A2464" s="81"/>
      <c r="F2464" s="81"/>
      <c r="G2464" s="82"/>
      <c r="H2464" s="82"/>
      <c r="I2464" s="82"/>
      <c r="J2464" s="82"/>
      <c r="K2464" s="82"/>
      <c r="L2464" s="82"/>
      <c r="M2464" s="82"/>
      <c r="N2464" s="82"/>
      <c r="O2464" s="82"/>
      <c r="P2464" s="82"/>
      <c r="Q2464" s="82"/>
      <c r="R2464" s="82"/>
      <c r="S2464" s="82"/>
      <c r="T2464" s="82"/>
      <c r="U2464" s="82"/>
      <c r="V2464" s="82"/>
      <c r="W2464" s="82"/>
      <c r="X2464" s="82"/>
      <c r="Y2464" s="82"/>
      <c r="Z2464" s="82"/>
    </row>
    <row r="2465" spans="1:26">
      <c r="A2465" s="81"/>
      <c r="F2465" s="81"/>
      <c r="G2465" s="82"/>
      <c r="H2465" s="82"/>
      <c r="I2465" s="82"/>
      <c r="J2465" s="82"/>
      <c r="K2465" s="82"/>
      <c r="L2465" s="82"/>
      <c r="M2465" s="82"/>
      <c r="N2465" s="82"/>
      <c r="O2465" s="82"/>
      <c r="P2465" s="82"/>
      <c r="Q2465" s="82"/>
      <c r="R2465" s="82"/>
      <c r="S2465" s="82"/>
      <c r="T2465" s="82"/>
      <c r="U2465" s="82"/>
      <c r="V2465" s="82"/>
      <c r="W2465" s="82"/>
      <c r="X2465" s="82"/>
      <c r="Y2465" s="82"/>
      <c r="Z2465" s="82"/>
    </row>
    <row r="2466" spans="1:26">
      <c r="A2466" s="81"/>
      <c r="F2466" s="81"/>
      <c r="G2466" s="82"/>
      <c r="H2466" s="82"/>
      <c r="I2466" s="82"/>
      <c r="J2466" s="82"/>
      <c r="K2466" s="82"/>
      <c r="L2466" s="82"/>
      <c r="M2466" s="82"/>
      <c r="N2466" s="82"/>
      <c r="O2466" s="82"/>
      <c r="P2466" s="82"/>
      <c r="Q2466" s="82"/>
      <c r="R2466" s="82"/>
      <c r="S2466" s="82"/>
      <c r="T2466" s="82"/>
      <c r="U2466" s="82"/>
      <c r="V2466" s="82"/>
      <c r="W2466" s="82"/>
      <c r="X2466" s="82"/>
      <c r="Y2466" s="82"/>
      <c r="Z2466" s="82"/>
    </row>
    <row r="2467" spans="1:26">
      <c r="A2467" s="81"/>
      <c r="F2467" s="81"/>
      <c r="G2467" s="82"/>
      <c r="H2467" s="82"/>
      <c r="I2467" s="82"/>
      <c r="J2467" s="82"/>
      <c r="K2467" s="82"/>
      <c r="L2467" s="82"/>
      <c r="M2467" s="82"/>
      <c r="N2467" s="82"/>
      <c r="O2467" s="82"/>
      <c r="P2467" s="82"/>
      <c r="Q2467" s="82"/>
      <c r="R2467" s="82"/>
      <c r="S2467" s="82"/>
      <c r="T2467" s="82"/>
      <c r="U2467" s="82"/>
      <c r="V2467" s="82"/>
      <c r="W2467" s="82"/>
      <c r="X2467" s="82"/>
      <c r="Y2467" s="82"/>
      <c r="Z2467" s="82"/>
    </row>
    <row r="2468" spans="1:26">
      <c r="A2468" s="81"/>
      <c r="F2468" s="81"/>
      <c r="G2468" s="82"/>
      <c r="H2468" s="82"/>
      <c r="I2468" s="82"/>
      <c r="J2468" s="82"/>
      <c r="K2468" s="82"/>
      <c r="L2468" s="82"/>
      <c r="M2468" s="82"/>
      <c r="N2468" s="82"/>
      <c r="O2468" s="82"/>
      <c r="P2468" s="82"/>
      <c r="Q2468" s="82"/>
      <c r="R2468" s="82"/>
      <c r="S2468" s="82"/>
      <c r="T2468" s="82"/>
      <c r="U2468" s="82"/>
      <c r="V2468" s="82"/>
      <c r="W2468" s="82"/>
      <c r="X2468" s="82"/>
      <c r="Y2468" s="82"/>
      <c r="Z2468" s="82"/>
    </row>
    <row r="2469" spans="1:26">
      <c r="A2469" s="81"/>
      <c r="F2469" s="81"/>
      <c r="G2469" s="82"/>
      <c r="H2469" s="82"/>
      <c r="I2469" s="82"/>
      <c r="J2469" s="82"/>
      <c r="K2469" s="82"/>
      <c r="L2469" s="82"/>
      <c r="M2469" s="82"/>
      <c r="N2469" s="82"/>
      <c r="O2469" s="82"/>
      <c r="P2469" s="82"/>
      <c r="Q2469" s="82"/>
      <c r="R2469" s="82"/>
      <c r="S2469" s="82"/>
      <c r="T2469" s="82"/>
      <c r="U2469" s="82"/>
      <c r="V2469" s="82"/>
      <c r="W2469" s="82"/>
      <c r="X2469" s="82"/>
      <c r="Y2469" s="82"/>
      <c r="Z2469" s="82"/>
    </row>
    <row r="2470" spans="1:26">
      <c r="A2470" s="81"/>
      <c r="F2470" s="81"/>
      <c r="G2470" s="82"/>
      <c r="H2470" s="82"/>
      <c r="I2470" s="82"/>
      <c r="J2470" s="82"/>
      <c r="K2470" s="82"/>
      <c r="L2470" s="82"/>
      <c r="M2470" s="82"/>
      <c r="N2470" s="82"/>
      <c r="O2470" s="82"/>
      <c r="P2470" s="82"/>
      <c r="Q2470" s="82"/>
      <c r="R2470" s="82"/>
      <c r="S2470" s="82"/>
      <c r="T2470" s="82"/>
      <c r="U2470" s="82"/>
      <c r="V2470" s="82"/>
      <c r="W2470" s="82"/>
      <c r="X2470" s="82"/>
      <c r="Y2470" s="82"/>
      <c r="Z2470" s="82"/>
    </row>
    <row r="2471" spans="1:26">
      <c r="A2471" s="81"/>
      <c r="F2471" s="81"/>
      <c r="G2471" s="82"/>
      <c r="H2471" s="82"/>
      <c r="I2471" s="82"/>
      <c r="J2471" s="82"/>
      <c r="K2471" s="82"/>
      <c r="L2471" s="82"/>
      <c r="M2471" s="82"/>
      <c r="N2471" s="82"/>
      <c r="O2471" s="82"/>
      <c r="P2471" s="82"/>
      <c r="Q2471" s="82"/>
      <c r="R2471" s="82"/>
      <c r="S2471" s="82"/>
      <c r="T2471" s="82"/>
      <c r="U2471" s="82"/>
      <c r="V2471" s="82"/>
      <c r="W2471" s="82"/>
      <c r="X2471" s="82"/>
      <c r="Y2471" s="82"/>
      <c r="Z2471" s="82"/>
    </row>
    <row r="2472" spans="1:26">
      <c r="A2472" s="81"/>
      <c r="F2472" s="81"/>
      <c r="G2472" s="82"/>
      <c r="H2472" s="82"/>
      <c r="I2472" s="82"/>
      <c r="J2472" s="82"/>
      <c r="K2472" s="82"/>
      <c r="L2472" s="82"/>
      <c r="M2472" s="82"/>
      <c r="N2472" s="82"/>
      <c r="O2472" s="82"/>
      <c r="P2472" s="82"/>
      <c r="Q2472" s="82"/>
      <c r="R2472" s="82"/>
      <c r="S2472" s="82"/>
      <c r="T2472" s="82"/>
      <c r="U2472" s="82"/>
      <c r="V2472" s="82"/>
      <c r="W2472" s="82"/>
      <c r="X2472" s="82"/>
      <c r="Y2472" s="82"/>
      <c r="Z2472" s="82"/>
    </row>
    <row r="2473" spans="1:26">
      <c r="A2473" s="81"/>
      <c r="F2473" s="81"/>
      <c r="G2473" s="82"/>
      <c r="H2473" s="82"/>
      <c r="I2473" s="82"/>
      <c r="J2473" s="82"/>
      <c r="K2473" s="82"/>
      <c r="L2473" s="82"/>
      <c r="M2473" s="82"/>
      <c r="N2473" s="82"/>
      <c r="O2473" s="82"/>
      <c r="P2473" s="82"/>
      <c r="Q2473" s="82"/>
      <c r="R2473" s="82"/>
      <c r="S2473" s="82"/>
      <c r="T2473" s="82"/>
      <c r="U2473" s="82"/>
      <c r="V2473" s="82"/>
      <c r="W2473" s="82"/>
      <c r="X2473" s="82"/>
      <c r="Y2473" s="82"/>
      <c r="Z2473" s="82"/>
    </row>
    <row r="2474" spans="1:26">
      <c r="A2474" s="81"/>
      <c r="F2474" s="81"/>
      <c r="G2474" s="82"/>
      <c r="H2474" s="82"/>
      <c r="I2474" s="82"/>
      <c r="J2474" s="82"/>
      <c r="K2474" s="82"/>
      <c r="L2474" s="82"/>
      <c r="M2474" s="82"/>
      <c r="N2474" s="82"/>
      <c r="O2474" s="82"/>
      <c r="P2474" s="82"/>
      <c r="Q2474" s="82"/>
      <c r="R2474" s="82"/>
      <c r="S2474" s="82"/>
      <c r="T2474" s="82"/>
      <c r="U2474" s="82"/>
      <c r="V2474" s="82"/>
      <c r="W2474" s="82"/>
      <c r="X2474" s="82"/>
      <c r="Y2474" s="82"/>
      <c r="Z2474" s="82"/>
    </row>
    <row r="2475" spans="1:26">
      <c r="A2475" s="81"/>
      <c r="F2475" s="81"/>
      <c r="G2475" s="82"/>
      <c r="H2475" s="82"/>
      <c r="I2475" s="82"/>
      <c r="J2475" s="82"/>
      <c r="K2475" s="82"/>
      <c r="L2475" s="82"/>
      <c r="M2475" s="82"/>
      <c r="N2475" s="82"/>
      <c r="O2475" s="82"/>
      <c r="P2475" s="82"/>
      <c r="Q2475" s="82"/>
      <c r="R2475" s="82"/>
      <c r="S2475" s="82"/>
      <c r="T2475" s="82"/>
      <c r="U2475" s="82"/>
      <c r="V2475" s="82"/>
      <c r="W2475" s="82"/>
      <c r="X2475" s="82"/>
      <c r="Y2475" s="82"/>
      <c r="Z2475" s="82"/>
    </row>
    <row r="2476" spans="1:26">
      <c r="A2476" s="81"/>
      <c r="F2476" s="81"/>
      <c r="G2476" s="82"/>
      <c r="H2476" s="82"/>
      <c r="I2476" s="82"/>
      <c r="J2476" s="82"/>
      <c r="K2476" s="82"/>
      <c r="L2476" s="82"/>
      <c r="M2476" s="82"/>
      <c r="N2476" s="82"/>
      <c r="O2476" s="82"/>
      <c r="P2476" s="82"/>
      <c r="Q2476" s="82"/>
      <c r="R2476" s="82"/>
      <c r="S2476" s="82"/>
      <c r="T2476" s="82"/>
      <c r="U2476" s="82"/>
      <c r="V2476" s="82"/>
      <c r="W2476" s="82"/>
      <c r="X2476" s="82"/>
      <c r="Y2476" s="82"/>
      <c r="Z2476" s="82"/>
    </row>
    <row r="2477" spans="1:26">
      <c r="A2477" s="81"/>
      <c r="F2477" s="81"/>
      <c r="G2477" s="82"/>
      <c r="H2477" s="82"/>
      <c r="I2477" s="82"/>
      <c r="J2477" s="82"/>
      <c r="K2477" s="82"/>
      <c r="L2477" s="82"/>
      <c r="M2477" s="82"/>
      <c r="N2477" s="82"/>
      <c r="O2477" s="82"/>
      <c r="P2477" s="82"/>
      <c r="Q2477" s="82"/>
      <c r="R2477" s="82"/>
      <c r="S2477" s="82"/>
      <c r="T2477" s="82"/>
      <c r="U2477" s="82"/>
      <c r="V2477" s="82"/>
      <c r="W2477" s="82"/>
      <c r="X2477" s="82"/>
      <c r="Y2477" s="82"/>
      <c r="Z2477" s="82"/>
    </row>
    <row r="2478" spans="1:26">
      <c r="A2478" s="81"/>
      <c r="F2478" s="81"/>
      <c r="G2478" s="82"/>
      <c r="H2478" s="82"/>
      <c r="I2478" s="82"/>
      <c r="J2478" s="82"/>
      <c r="K2478" s="82"/>
      <c r="L2478" s="82"/>
      <c r="M2478" s="82"/>
      <c r="N2478" s="82"/>
      <c r="O2478" s="82"/>
      <c r="P2478" s="82"/>
      <c r="Q2478" s="82"/>
      <c r="R2478" s="82"/>
      <c r="S2478" s="82"/>
      <c r="T2478" s="82"/>
      <c r="U2478" s="82"/>
      <c r="V2478" s="82"/>
      <c r="W2478" s="82"/>
      <c r="X2478" s="82"/>
      <c r="Y2478" s="82"/>
      <c r="Z2478" s="82"/>
    </row>
    <row r="2479" spans="1:26">
      <c r="A2479" s="81"/>
      <c r="F2479" s="81"/>
      <c r="G2479" s="82"/>
      <c r="H2479" s="82"/>
      <c r="I2479" s="82"/>
      <c r="J2479" s="82"/>
      <c r="K2479" s="82"/>
      <c r="L2479" s="82"/>
      <c r="M2479" s="82"/>
      <c r="N2479" s="82"/>
      <c r="O2479" s="82"/>
      <c r="P2479" s="82"/>
      <c r="Q2479" s="82"/>
      <c r="R2479" s="82"/>
      <c r="S2479" s="82"/>
      <c r="T2479" s="82"/>
      <c r="U2479" s="82"/>
      <c r="V2479" s="82"/>
      <c r="W2479" s="82"/>
      <c r="X2479" s="82"/>
      <c r="Y2479" s="82"/>
      <c r="Z2479" s="82"/>
    </row>
    <row r="2480" spans="1:26">
      <c r="A2480" s="81"/>
      <c r="F2480" s="81"/>
      <c r="G2480" s="82"/>
      <c r="H2480" s="82"/>
      <c r="I2480" s="82"/>
      <c r="J2480" s="82"/>
      <c r="K2480" s="82"/>
      <c r="L2480" s="82"/>
      <c r="M2480" s="82"/>
      <c r="N2480" s="82"/>
      <c r="O2480" s="82"/>
      <c r="P2480" s="82"/>
      <c r="Q2480" s="82"/>
      <c r="R2480" s="82"/>
      <c r="S2480" s="82"/>
      <c r="T2480" s="82"/>
      <c r="U2480" s="82"/>
      <c r="V2480" s="82"/>
      <c r="W2480" s="82"/>
      <c r="X2480" s="82"/>
      <c r="Y2480" s="82"/>
      <c r="Z2480" s="82"/>
    </row>
    <row r="2481" spans="1:26">
      <c r="A2481" s="81"/>
      <c r="F2481" s="81"/>
      <c r="G2481" s="82"/>
      <c r="H2481" s="82"/>
      <c r="I2481" s="82"/>
      <c r="J2481" s="82"/>
      <c r="K2481" s="82"/>
      <c r="L2481" s="82"/>
      <c r="M2481" s="82"/>
      <c r="N2481" s="82"/>
      <c r="O2481" s="82"/>
      <c r="P2481" s="82"/>
      <c r="Q2481" s="82"/>
      <c r="R2481" s="82"/>
      <c r="S2481" s="82"/>
      <c r="T2481" s="82"/>
      <c r="U2481" s="82"/>
      <c r="V2481" s="82"/>
      <c r="W2481" s="82"/>
      <c r="X2481" s="82"/>
      <c r="Y2481" s="82"/>
      <c r="Z2481" s="82"/>
    </row>
    <row r="2482" spans="1:26">
      <c r="A2482" s="81"/>
      <c r="F2482" s="81"/>
      <c r="G2482" s="82"/>
      <c r="H2482" s="82"/>
      <c r="I2482" s="82"/>
      <c r="J2482" s="82"/>
      <c r="K2482" s="82"/>
      <c r="L2482" s="82"/>
      <c r="M2482" s="82"/>
      <c r="N2482" s="82"/>
      <c r="O2482" s="82"/>
      <c r="P2482" s="82"/>
      <c r="Q2482" s="82"/>
      <c r="R2482" s="82"/>
      <c r="S2482" s="82"/>
      <c r="T2482" s="82"/>
      <c r="U2482" s="82"/>
      <c r="V2482" s="82"/>
      <c r="W2482" s="82"/>
      <c r="X2482" s="82"/>
      <c r="Y2482" s="82"/>
      <c r="Z2482" s="82"/>
    </row>
    <row r="2483" spans="1:26">
      <c r="A2483" s="81"/>
      <c r="F2483" s="81"/>
      <c r="G2483" s="82"/>
      <c r="H2483" s="82"/>
      <c r="I2483" s="82"/>
      <c r="J2483" s="82"/>
      <c r="K2483" s="82"/>
      <c r="L2483" s="82"/>
      <c r="M2483" s="82"/>
      <c r="N2483" s="82"/>
      <c r="O2483" s="82"/>
      <c r="P2483" s="82"/>
      <c r="Q2483" s="82"/>
      <c r="R2483" s="82"/>
      <c r="S2483" s="82"/>
      <c r="T2483" s="82"/>
      <c r="U2483" s="82"/>
      <c r="V2483" s="82"/>
      <c r="W2483" s="82"/>
      <c r="X2483" s="82"/>
      <c r="Y2483" s="82"/>
      <c r="Z2483" s="82"/>
    </row>
    <row r="2484" spans="1:26">
      <c r="A2484" s="81"/>
      <c r="F2484" s="81"/>
      <c r="G2484" s="82"/>
      <c r="H2484" s="82"/>
      <c r="I2484" s="82"/>
      <c r="J2484" s="82"/>
      <c r="K2484" s="82"/>
      <c r="L2484" s="82"/>
      <c r="M2484" s="82"/>
      <c r="N2484" s="82"/>
      <c r="O2484" s="82"/>
      <c r="P2484" s="82"/>
      <c r="Q2484" s="82"/>
      <c r="R2484" s="82"/>
      <c r="S2484" s="82"/>
      <c r="T2484" s="82"/>
      <c r="U2484" s="82"/>
      <c r="V2484" s="82"/>
      <c r="W2484" s="82"/>
      <c r="X2484" s="82"/>
      <c r="Y2484" s="82"/>
      <c r="Z2484" s="82"/>
    </row>
    <row r="2485" spans="1:26">
      <c r="A2485" s="81"/>
      <c r="F2485" s="81"/>
      <c r="G2485" s="82"/>
      <c r="H2485" s="82"/>
      <c r="I2485" s="82"/>
      <c r="J2485" s="82"/>
      <c r="K2485" s="82"/>
      <c r="L2485" s="82"/>
      <c r="M2485" s="82"/>
      <c r="N2485" s="82"/>
      <c r="O2485" s="82"/>
      <c r="P2485" s="82"/>
      <c r="Q2485" s="82"/>
      <c r="R2485" s="82"/>
      <c r="S2485" s="82"/>
      <c r="T2485" s="82"/>
      <c r="U2485" s="82"/>
      <c r="V2485" s="82"/>
      <c r="W2485" s="82"/>
      <c r="X2485" s="82"/>
      <c r="Y2485" s="82"/>
      <c r="Z2485" s="82"/>
    </row>
    <row r="2486" spans="1:26">
      <c r="A2486" s="81"/>
      <c r="F2486" s="81"/>
      <c r="G2486" s="82"/>
      <c r="H2486" s="82"/>
      <c r="I2486" s="82"/>
      <c r="J2486" s="82"/>
      <c r="K2486" s="82"/>
      <c r="L2486" s="82"/>
      <c r="M2486" s="82"/>
      <c r="N2486" s="82"/>
      <c r="O2486" s="82"/>
      <c r="P2486" s="82"/>
      <c r="Q2486" s="82"/>
      <c r="R2486" s="82"/>
      <c r="S2486" s="82"/>
      <c r="T2486" s="82"/>
      <c r="U2486" s="82"/>
      <c r="V2486" s="82"/>
      <c r="W2486" s="82"/>
      <c r="X2486" s="82"/>
      <c r="Y2486" s="82"/>
      <c r="Z2486" s="82"/>
    </row>
    <row r="2487" spans="1:26">
      <c r="A2487" s="81"/>
      <c r="F2487" s="81"/>
      <c r="G2487" s="82"/>
      <c r="H2487" s="82"/>
      <c r="I2487" s="82"/>
      <c r="J2487" s="82"/>
      <c r="K2487" s="82"/>
      <c r="L2487" s="82"/>
      <c r="M2487" s="82"/>
      <c r="N2487" s="82"/>
      <c r="O2487" s="82"/>
      <c r="P2487" s="82"/>
      <c r="Q2487" s="82"/>
      <c r="R2487" s="82"/>
      <c r="S2487" s="82"/>
      <c r="T2487" s="82"/>
      <c r="U2487" s="82"/>
      <c r="V2487" s="82"/>
      <c r="W2487" s="82"/>
      <c r="X2487" s="82"/>
      <c r="Y2487" s="82"/>
      <c r="Z2487" s="82"/>
    </row>
    <row r="2488" spans="1:26">
      <c r="A2488" s="81"/>
      <c r="F2488" s="81"/>
      <c r="G2488" s="82"/>
      <c r="H2488" s="82"/>
      <c r="I2488" s="82"/>
      <c r="J2488" s="82"/>
      <c r="K2488" s="82"/>
      <c r="L2488" s="82"/>
      <c r="M2488" s="82"/>
      <c r="N2488" s="82"/>
      <c r="O2488" s="82"/>
      <c r="P2488" s="82"/>
      <c r="Q2488" s="82"/>
      <c r="R2488" s="82"/>
      <c r="S2488" s="82"/>
      <c r="T2488" s="82"/>
      <c r="U2488" s="82"/>
      <c r="V2488" s="82"/>
      <c r="W2488" s="82"/>
      <c r="X2488" s="82"/>
      <c r="Y2488" s="82"/>
      <c r="Z2488" s="82"/>
    </row>
    <row r="2489" spans="1:26">
      <c r="A2489" s="81"/>
      <c r="F2489" s="81"/>
      <c r="G2489" s="82"/>
      <c r="H2489" s="82"/>
      <c r="I2489" s="82"/>
      <c r="J2489" s="82"/>
      <c r="K2489" s="82"/>
      <c r="L2489" s="82"/>
      <c r="M2489" s="82"/>
      <c r="N2489" s="82"/>
      <c r="O2489" s="82"/>
      <c r="P2489" s="82"/>
      <c r="Q2489" s="82"/>
      <c r="R2489" s="82"/>
      <c r="S2489" s="82"/>
      <c r="T2489" s="82"/>
      <c r="U2489" s="82"/>
      <c r="V2489" s="82"/>
      <c r="W2489" s="82"/>
      <c r="X2489" s="82"/>
      <c r="Y2489" s="82"/>
      <c r="Z2489" s="82"/>
    </row>
    <row r="2490" spans="1:26">
      <c r="A2490" s="81"/>
      <c r="F2490" s="81"/>
      <c r="G2490" s="82"/>
      <c r="H2490" s="82"/>
      <c r="I2490" s="82"/>
      <c r="J2490" s="82"/>
      <c r="K2490" s="82"/>
      <c r="L2490" s="82"/>
      <c r="M2490" s="82"/>
      <c r="N2490" s="82"/>
      <c r="O2490" s="82"/>
      <c r="P2490" s="82"/>
      <c r="Q2490" s="82"/>
      <c r="R2490" s="82"/>
      <c r="S2490" s="82"/>
      <c r="T2490" s="82"/>
      <c r="U2490" s="82"/>
      <c r="V2490" s="82"/>
      <c r="W2490" s="82"/>
      <c r="X2490" s="82"/>
      <c r="Y2490" s="82"/>
      <c r="Z2490" s="82"/>
    </row>
    <row r="2491" spans="1:26">
      <c r="A2491" s="81"/>
      <c r="F2491" s="81"/>
      <c r="G2491" s="82"/>
      <c r="H2491" s="82"/>
      <c r="I2491" s="82"/>
      <c r="J2491" s="82"/>
      <c r="K2491" s="82"/>
      <c r="L2491" s="82"/>
      <c r="M2491" s="82"/>
      <c r="N2491" s="82"/>
      <c r="O2491" s="82"/>
      <c r="P2491" s="82"/>
      <c r="Q2491" s="82"/>
      <c r="R2491" s="82"/>
      <c r="S2491" s="82"/>
      <c r="T2491" s="82"/>
      <c r="U2491" s="82"/>
      <c r="V2491" s="82"/>
      <c r="W2491" s="82"/>
      <c r="X2491" s="82"/>
      <c r="Y2491" s="82"/>
      <c r="Z2491" s="82"/>
    </row>
    <row r="2492" spans="1:26">
      <c r="A2492" s="81"/>
      <c r="F2492" s="81"/>
      <c r="G2492" s="82"/>
      <c r="H2492" s="82"/>
      <c r="I2492" s="82"/>
      <c r="J2492" s="82"/>
      <c r="K2492" s="82"/>
      <c r="L2492" s="82"/>
      <c r="M2492" s="82"/>
      <c r="N2492" s="82"/>
      <c r="O2492" s="82"/>
      <c r="P2492" s="82"/>
      <c r="Q2492" s="82"/>
      <c r="R2492" s="82"/>
      <c r="S2492" s="82"/>
      <c r="T2492" s="82"/>
      <c r="U2492" s="82"/>
      <c r="V2492" s="82"/>
      <c r="W2492" s="82"/>
      <c r="X2492" s="82"/>
      <c r="Y2492" s="82"/>
      <c r="Z2492" s="82"/>
    </row>
    <row r="2493" spans="1:26">
      <c r="A2493" s="81"/>
      <c r="F2493" s="81"/>
      <c r="G2493" s="82"/>
      <c r="H2493" s="82"/>
      <c r="I2493" s="82"/>
      <c r="J2493" s="82"/>
      <c r="K2493" s="82"/>
      <c r="L2493" s="82"/>
      <c r="M2493" s="82"/>
      <c r="N2493" s="82"/>
      <c r="O2493" s="82"/>
      <c r="P2493" s="82"/>
      <c r="Q2493" s="82"/>
      <c r="R2493" s="82"/>
      <c r="S2493" s="82"/>
      <c r="T2493" s="82"/>
      <c r="U2493" s="82"/>
      <c r="V2493" s="82"/>
      <c r="W2493" s="82"/>
      <c r="X2493" s="82"/>
      <c r="Y2493" s="82"/>
      <c r="Z2493" s="82"/>
    </row>
    <row r="2494" spans="1:26">
      <c r="A2494" s="81"/>
      <c r="F2494" s="81"/>
      <c r="G2494" s="82"/>
      <c r="H2494" s="82"/>
      <c r="I2494" s="82"/>
      <c r="J2494" s="82"/>
      <c r="K2494" s="82"/>
      <c r="L2494" s="82"/>
      <c r="M2494" s="82"/>
      <c r="N2494" s="82"/>
      <c r="O2494" s="82"/>
      <c r="P2494" s="82"/>
      <c r="Q2494" s="82"/>
      <c r="R2494" s="82"/>
      <c r="S2494" s="82"/>
      <c r="T2494" s="82"/>
      <c r="U2494" s="82"/>
      <c r="V2494" s="82"/>
      <c r="W2494" s="82"/>
      <c r="X2494" s="82"/>
      <c r="Y2494" s="82"/>
      <c r="Z2494" s="82"/>
    </row>
    <row r="2495" spans="1:26">
      <c r="A2495" s="81"/>
      <c r="F2495" s="81"/>
      <c r="G2495" s="82"/>
      <c r="H2495" s="82"/>
      <c r="I2495" s="82"/>
      <c r="J2495" s="82"/>
      <c r="K2495" s="82"/>
      <c r="L2495" s="82"/>
      <c r="M2495" s="82"/>
      <c r="N2495" s="82"/>
      <c r="O2495" s="82"/>
      <c r="P2495" s="82"/>
      <c r="Q2495" s="82"/>
      <c r="R2495" s="82"/>
      <c r="S2495" s="82"/>
      <c r="T2495" s="82"/>
      <c r="U2495" s="82"/>
      <c r="V2495" s="82"/>
      <c r="W2495" s="82"/>
      <c r="X2495" s="82"/>
      <c r="Y2495" s="82"/>
      <c r="Z2495" s="82"/>
    </row>
    <row r="2496" spans="1:26">
      <c r="A2496" s="81"/>
      <c r="F2496" s="81"/>
      <c r="G2496" s="82"/>
      <c r="H2496" s="82"/>
      <c r="I2496" s="82"/>
      <c r="J2496" s="82"/>
      <c r="K2496" s="82"/>
      <c r="L2496" s="82"/>
      <c r="M2496" s="82"/>
      <c r="N2496" s="82"/>
      <c r="O2496" s="82"/>
      <c r="P2496" s="82"/>
      <c r="Q2496" s="82"/>
      <c r="R2496" s="82"/>
      <c r="S2496" s="82"/>
      <c r="T2496" s="82"/>
      <c r="U2496" s="82"/>
      <c r="V2496" s="82"/>
      <c r="W2496" s="82"/>
      <c r="X2496" s="82"/>
      <c r="Y2496" s="82"/>
      <c r="Z2496" s="82"/>
    </row>
    <row r="2497" spans="1:26">
      <c r="A2497" s="81"/>
      <c r="F2497" s="81"/>
      <c r="G2497" s="82"/>
      <c r="H2497" s="82"/>
      <c r="I2497" s="82"/>
      <c r="J2497" s="82"/>
      <c r="K2497" s="82"/>
      <c r="L2497" s="82"/>
      <c r="M2497" s="82"/>
      <c r="N2497" s="82"/>
      <c r="O2497" s="82"/>
      <c r="P2497" s="82"/>
      <c r="Q2497" s="82"/>
      <c r="R2497" s="82"/>
      <c r="S2497" s="82"/>
      <c r="T2497" s="82"/>
      <c r="U2497" s="82"/>
      <c r="V2497" s="82"/>
      <c r="W2497" s="82"/>
      <c r="X2497" s="82"/>
      <c r="Y2497" s="82"/>
      <c r="Z2497" s="82"/>
    </row>
    <row r="2498" spans="1:26">
      <c r="A2498" s="81"/>
      <c r="F2498" s="81"/>
      <c r="G2498" s="82"/>
      <c r="H2498" s="82"/>
      <c r="I2498" s="82"/>
      <c r="J2498" s="82"/>
      <c r="K2498" s="82"/>
      <c r="L2498" s="82"/>
      <c r="M2498" s="82"/>
      <c r="N2498" s="82"/>
      <c r="O2498" s="82"/>
      <c r="P2498" s="82"/>
      <c r="Q2498" s="82"/>
      <c r="R2498" s="82"/>
      <c r="S2498" s="82"/>
      <c r="T2498" s="82"/>
      <c r="U2498" s="82"/>
      <c r="V2498" s="82"/>
      <c r="W2498" s="82"/>
      <c r="X2498" s="82"/>
      <c r="Y2498" s="82"/>
      <c r="Z2498" s="82"/>
    </row>
    <row r="2499" spans="1:26">
      <c r="A2499" s="81"/>
      <c r="F2499" s="81"/>
      <c r="G2499" s="82"/>
      <c r="H2499" s="82"/>
      <c r="I2499" s="82"/>
      <c r="J2499" s="82"/>
      <c r="K2499" s="82"/>
      <c r="L2499" s="82"/>
      <c r="M2499" s="82"/>
      <c r="N2499" s="82"/>
      <c r="O2499" s="82"/>
      <c r="P2499" s="82"/>
      <c r="Q2499" s="82"/>
      <c r="R2499" s="82"/>
      <c r="S2499" s="82"/>
      <c r="T2499" s="82"/>
      <c r="U2499" s="82"/>
      <c r="V2499" s="82"/>
      <c r="W2499" s="82"/>
      <c r="X2499" s="82"/>
      <c r="Y2499" s="82"/>
      <c r="Z2499" s="82"/>
    </row>
    <row r="2500" spans="1:26">
      <c r="A2500" s="81"/>
      <c r="F2500" s="81"/>
      <c r="G2500" s="82"/>
      <c r="H2500" s="82"/>
      <c r="I2500" s="82"/>
      <c r="J2500" s="82"/>
      <c r="K2500" s="82"/>
      <c r="L2500" s="82"/>
      <c r="M2500" s="82"/>
      <c r="N2500" s="82"/>
      <c r="O2500" s="82"/>
      <c r="P2500" s="82"/>
      <c r="Q2500" s="82"/>
      <c r="R2500" s="82"/>
      <c r="S2500" s="82"/>
      <c r="T2500" s="82"/>
      <c r="U2500" s="82"/>
      <c r="V2500" s="82"/>
      <c r="W2500" s="82"/>
      <c r="X2500" s="82"/>
      <c r="Y2500" s="82"/>
      <c r="Z2500" s="82"/>
    </row>
    <row r="2501" spans="1:26">
      <c r="A2501" s="81"/>
      <c r="F2501" s="81"/>
      <c r="G2501" s="82"/>
      <c r="H2501" s="82"/>
      <c r="I2501" s="82"/>
      <c r="J2501" s="82"/>
      <c r="K2501" s="82"/>
      <c r="L2501" s="82"/>
      <c r="M2501" s="82"/>
      <c r="N2501" s="82"/>
      <c r="O2501" s="82"/>
      <c r="P2501" s="82"/>
      <c r="Q2501" s="82"/>
      <c r="R2501" s="82"/>
      <c r="S2501" s="82"/>
      <c r="T2501" s="82"/>
      <c r="U2501" s="82"/>
      <c r="V2501" s="82"/>
      <c r="W2501" s="82"/>
      <c r="X2501" s="82"/>
      <c r="Y2501" s="82"/>
      <c r="Z2501" s="82"/>
    </row>
    <row r="2502" spans="1:26">
      <c r="A2502" s="81"/>
      <c r="F2502" s="81"/>
      <c r="G2502" s="82"/>
      <c r="H2502" s="82"/>
      <c r="I2502" s="82"/>
      <c r="J2502" s="82"/>
      <c r="K2502" s="82"/>
      <c r="L2502" s="82"/>
      <c r="M2502" s="82"/>
      <c r="N2502" s="82"/>
      <c r="O2502" s="82"/>
      <c r="P2502" s="82"/>
      <c r="Q2502" s="82"/>
      <c r="R2502" s="82"/>
      <c r="S2502" s="82"/>
      <c r="T2502" s="82"/>
      <c r="U2502" s="82"/>
      <c r="V2502" s="82"/>
      <c r="W2502" s="82"/>
      <c r="X2502" s="82"/>
      <c r="Y2502" s="82"/>
      <c r="Z2502" s="82"/>
    </row>
    <row r="2503" spans="1:26">
      <c r="A2503" s="81"/>
      <c r="F2503" s="81"/>
      <c r="G2503" s="82"/>
      <c r="H2503" s="82"/>
      <c r="I2503" s="82"/>
      <c r="J2503" s="82"/>
      <c r="K2503" s="82"/>
      <c r="L2503" s="82"/>
      <c r="M2503" s="82"/>
      <c r="N2503" s="82"/>
      <c r="O2503" s="82"/>
      <c r="P2503" s="82"/>
      <c r="Q2503" s="82"/>
      <c r="R2503" s="82"/>
      <c r="S2503" s="82"/>
      <c r="T2503" s="82"/>
      <c r="U2503" s="82"/>
      <c r="V2503" s="82"/>
      <c r="W2503" s="82"/>
      <c r="X2503" s="82"/>
      <c r="Y2503" s="82"/>
      <c r="Z2503" s="82"/>
    </row>
    <row r="2504" spans="1:26">
      <c r="A2504" s="81"/>
      <c r="F2504" s="81"/>
      <c r="G2504" s="82"/>
      <c r="H2504" s="82"/>
      <c r="I2504" s="82"/>
      <c r="J2504" s="82"/>
      <c r="K2504" s="82"/>
      <c r="L2504" s="82"/>
      <c r="M2504" s="82"/>
      <c r="N2504" s="82"/>
      <c r="O2504" s="82"/>
      <c r="P2504" s="82"/>
      <c r="Q2504" s="82"/>
      <c r="R2504" s="82"/>
      <c r="S2504" s="82"/>
      <c r="T2504" s="82"/>
      <c r="U2504" s="82"/>
      <c r="V2504" s="82"/>
      <c r="W2504" s="82"/>
      <c r="X2504" s="82"/>
      <c r="Y2504" s="82"/>
      <c r="Z2504" s="82"/>
    </row>
    <row r="2505" spans="1:26">
      <c r="A2505" s="81"/>
      <c r="F2505" s="81"/>
      <c r="G2505" s="82"/>
      <c r="H2505" s="82"/>
      <c r="I2505" s="82"/>
      <c r="J2505" s="82"/>
      <c r="K2505" s="82"/>
      <c r="L2505" s="82"/>
      <c r="M2505" s="82"/>
      <c r="N2505" s="82"/>
      <c r="O2505" s="82"/>
      <c r="P2505" s="82"/>
      <c r="Q2505" s="82"/>
      <c r="R2505" s="82"/>
      <c r="S2505" s="82"/>
      <c r="T2505" s="82"/>
      <c r="U2505" s="82"/>
      <c r="V2505" s="82"/>
      <c r="W2505" s="82"/>
      <c r="X2505" s="82"/>
      <c r="Y2505" s="82"/>
      <c r="Z2505" s="82"/>
    </row>
    <row r="2506" spans="1:26">
      <c r="A2506" s="81"/>
      <c r="F2506" s="81"/>
      <c r="G2506" s="82"/>
      <c r="H2506" s="82"/>
      <c r="I2506" s="82"/>
      <c r="J2506" s="82"/>
      <c r="K2506" s="82"/>
      <c r="L2506" s="82"/>
      <c r="M2506" s="82"/>
      <c r="N2506" s="82"/>
      <c r="O2506" s="82"/>
      <c r="P2506" s="82"/>
      <c r="Q2506" s="82"/>
      <c r="R2506" s="82"/>
      <c r="S2506" s="82"/>
      <c r="T2506" s="82"/>
      <c r="U2506" s="82"/>
      <c r="V2506" s="82"/>
      <c r="W2506" s="82"/>
      <c r="X2506" s="82"/>
      <c r="Y2506" s="82"/>
      <c r="Z2506" s="82"/>
    </row>
    <row r="2507" spans="1:26">
      <c r="A2507" s="81"/>
      <c r="F2507" s="81"/>
      <c r="G2507" s="82"/>
      <c r="H2507" s="82"/>
      <c r="I2507" s="82"/>
      <c r="J2507" s="82"/>
      <c r="K2507" s="82"/>
      <c r="L2507" s="82"/>
      <c r="M2507" s="82"/>
      <c r="N2507" s="82"/>
      <c r="O2507" s="82"/>
      <c r="P2507" s="82"/>
      <c r="Q2507" s="82"/>
      <c r="R2507" s="82"/>
      <c r="S2507" s="82"/>
      <c r="T2507" s="82"/>
      <c r="U2507" s="82"/>
      <c r="V2507" s="82"/>
      <c r="W2507" s="82"/>
      <c r="X2507" s="82"/>
      <c r="Y2507" s="82"/>
      <c r="Z2507" s="82"/>
    </row>
    <row r="2508" spans="1:26">
      <c r="A2508" s="81"/>
      <c r="F2508" s="81"/>
      <c r="G2508" s="82"/>
      <c r="H2508" s="82"/>
      <c r="I2508" s="82"/>
      <c r="J2508" s="82"/>
      <c r="K2508" s="82"/>
      <c r="L2508" s="82"/>
      <c r="M2508" s="82"/>
      <c r="N2508" s="82"/>
      <c r="O2508" s="82"/>
      <c r="P2508" s="82"/>
      <c r="Q2508" s="82"/>
      <c r="R2508" s="82"/>
      <c r="S2508" s="82"/>
      <c r="T2508" s="82"/>
      <c r="U2508" s="82"/>
      <c r="V2508" s="82"/>
      <c r="W2508" s="82"/>
      <c r="X2508" s="82"/>
      <c r="Y2508" s="82"/>
      <c r="Z2508" s="82"/>
    </row>
    <row r="2509" spans="1:26">
      <c r="A2509" s="81"/>
      <c r="F2509" s="81"/>
      <c r="G2509" s="82"/>
      <c r="H2509" s="82"/>
      <c r="I2509" s="82"/>
      <c r="J2509" s="82"/>
      <c r="K2509" s="82"/>
      <c r="L2509" s="82"/>
      <c r="M2509" s="82"/>
      <c r="N2509" s="82"/>
      <c r="O2509" s="82"/>
      <c r="P2509" s="82"/>
      <c r="Q2509" s="82"/>
      <c r="R2509" s="82"/>
      <c r="S2509" s="82"/>
      <c r="T2509" s="82"/>
      <c r="U2509" s="82"/>
      <c r="V2509" s="82"/>
      <c r="W2509" s="82"/>
      <c r="X2509" s="82"/>
      <c r="Y2509" s="82"/>
      <c r="Z2509" s="82"/>
    </row>
    <row r="2510" spans="1:26">
      <c r="A2510" s="81"/>
      <c r="F2510" s="81"/>
      <c r="G2510" s="82"/>
      <c r="H2510" s="82"/>
      <c r="I2510" s="82"/>
      <c r="J2510" s="82"/>
      <c r="K2510" s="82"/>
      <c r="L2510" s="82"/>
      <c r="M2510" s="82"/>
      <c r="N2510" s="82"/>
      <c r="O2510" s="82"/>
      <c r="P2510" s="82"/>
      <c r="Q2510" s="82"/>
      <c r="R2510" s="82"/>
      <c r="S2510" s="82"/>
      <c r="T2510" s="82"/>
      <c r="U2510" s="82"/>
      <c r="V2510" s="82"/>
      <c r="W2510" s="82"/>
      <c r="X2510" s="82"/>
      <c r="Y2510" s="82"/>
      <c r="Z2510" s="82"/>
    </row>
    <row r="2511" spans="1:26">
      <c r="A2511" s="81"/>
      <c r="F2511" s="81"/>
      <c r="G2511" s="82"/>
      <c r="H2511" s="82"/>
      <c r="I2511" s="82"/>
      <c r="J2511" s="82"/>
      <c r="K2511" s="82"/>
      <c r="L2511" s="82"/>
      <c r="M2511" s="82"/>
      <c r="N2511" s="82"/>
      <c r="O2511" s="82"/>
      <c r="P2511" s="82"/>
      <c r="Q2511" s="82"/>
      <c r="R2511" s="82"/>
      <c r="S2511" s="82"/>
      <c r="T2511" s="82"/>
      <c r="U2511" s="82"/>
      <c r="V2511" s="82"/>
      <c r="W2511" s="82"/>
      <c r="X2511" s="82"/>
      <c r="Y2511" s="82"/>
      <c r="Z2511" s="82"/>
    </row>
    <row r="2512" spans="1:26">
      <c r="A2512" s="81"/>
      <c r="F2512" s="81"/>
      <c r="G2512" s="82"/>
      <c r="H2512" s="82"/>
      <c r="I2512" s="82"/>
      <c r="J2512" s="82"/>
      <c r="K2512" s="82"/>
      <c r="L2512" s="82"/>
      <c r="M2512" s="82"/>
      <c r="N2512" s="82"/>
      <c r="O2512" s="82"/>
      <c r="P2512" s="82"/>
      <c r="Q2512" s="82"/>
      <c r="R2512" s="82"/>
      <c r="S2512" s="82"/>
      <c r="T2512" s="82"/>
      <c r="U2512" s="82"/>
      <c r="V2512" s="82"/>
      <c r="W2512" s="82"/>
      <c r="X2512" s="82"/>
      <c r="Y2512" s="82"/>
      <c r="Z2512" s="82"/>
    </row>
    <row r="2513" spans="1:26">
      <c r="A2513" s="81"/>
      <c r="F2513" s="81"/>
      <c r="G2513" s="82"/>
      <c r="H2513" s="82"/>
      <c r="I2513" s="82"/>
      <c r="J2513" s="82"/>
      <c r="K2513" s="82"/>
      <c r="L2513" s="82"/>
      <c r="M2513" s="82"/>
      <c r="N2513" s="82"/>
      <c r="O2513" s="82"/>
      <c r="P2513" s="82"/>
      <c r="Q2513" s="82"/>
      <c r="R2513" s="82"/>
      <c r="S2513" s="82"/>
      <c r="T2513" s="82"/>
      <c r="U2513" s="82"/>
      <c r="V2513" s="82"/>
      <c r="W2513" s="82"/>
      <c r="X2513" s="82"/>
      <c r="Y2513" s="82"/>
      <c r="Z2513" s="82"/>
    </row>
    <row r="2514" spans="1:26">
      <c r="A2514" s="81"/>
      <c r="F2514" s="81"/>
      <c r="G2514" s="82"/>
      <c r="H2514" s="82"/>
      <c r="I2514" s="82"/>
      <c r="J2514" s="82"/>
      <c r="K2514" s="82"/>
      <c r="L2514" s="82"/>
      <c r="M2514" s="82"/>
      <c r="N2514" s="82"/>
      <c r="O2514" s="82"/>
      <c r="P2514" s="82"/>
      <c r="Q2514" s="82"/>
      <c r="R2514" s="82"/>
      <c r="S2514" s="82"/>
      <c r="T2514" s="82"/>
      <c r="U2514" s="82"/>
      <c r="V2514" s="82"/>
      <c r="W2514" s="82"/>
      <c r="X2514" s="82"/>
      <c r="Y2514" s="82"/>
      <c r="Z2514" s="82"/>
    </row>
    <row r="2515" spans="1:26">
      <c r="A2515" s="81"/>
      <c r="F2515" s="81"/>
      <c r="G2515" s="82"/>
      <c r="H2515" s="82"/>
      <c r="I2515" s="82"/>
      <c r="J2515" s="82"/>
      <c r="K2515" s="82"/>
      <c r="L2515" s="82"/>
      <c r="M2515" s="82"/>
      <c r="N2515" s="82"/>
      <c r="O2515" s="82"/>
      <c r="P2515" s="82"/>
      <c r="Q2515" s="82"/>
      <c r="R2515" s="82"/>
      <c r="S2515" s="82"/>
      <c r="T2515" s="82"/>
      <c r="U2515" s="82"/>
      <c r="V2515" s="82"/>
      <c r="W2515" s="82"/>
      <c r="X2515" s="82"/>
      <c r="Y2515" s="82"/>
      <c r="Z2515" s="82"/>
    </row>
    <row r="2516" spans="1:26">
      <c r="A2516" s="81"/>
      <c r="F2516" s="81"/>
      <c r="G2516" s="82"/>
      <c r="H2516" s="82"/>
      <c r="I2516" s="82"/>
      <c r="J2516" s="82"/>
      <c r="K2516" s="82"/>
      <c r="L2516" s="82"/>
      <c r="M2516" s="82"/>
      <c r="N2516" s="82"/>
      <c r="O2516" s="82"/>
      <c r="P2516" s="82"/>
      <c r="Q2516" s="82"/>
      <c r="R2516" s="82"/>
      <c r="S2516" s="82"/>
      <c r="T2516" s="82"/>
      <c r="U2516" s="82"/>
      <c r="V2516" s="82"/>
      <c r="W2516" s="82"/>
      <c r="X2516" s="82"/>
      <c r="Y2516" s="82"/>
      <c r="Z2516" s="82"/>
    </row>
    <row r="2517" spans="1:26">
      <c r="A2517" s="81"/>
      <c r="F2517" s="81"/>
      <c r="G2517" s="82"/>
      <c r="H2517" s="82"/>
      <c r="I2517" s="82"/>
      <c r="J2517" s="82"/>
      <c r="K2517" s="82"/>
      <c r="L2517" s="82"/>
      <c r="M2517" s="82"/>
      <c r="N2517" s="82"/>
      <c r="O2517" s="82"/>
      <c r="P2517" s="82"/>
      <c r="Q2517" s="82"/>
      <c r="R2517" s="82"/>
      <c r="S2517" s="82"/>
      <c r="T2517" s="82"/>
      <c r="U2517" s="82"/>
      <c r="V2517" s="82"/>
      <c r="W2517" s="82"/>
      <c r="X2517" s="82"/>
      <c r="Y2517" s="82"/>
      <c r="Z2517" s="82"/>
    </row>
    <row r="2518" spans="1:26">
      <c r="A2518" s="81"/>
      <c r="F2518" s="81"/>
      <c r="G2518" s="82"/>
      <c r="H2518" s="82"/>
      <c r="I2518" s="82"/>
      <c r="J2518" s="82"/>
      <c r="K2518" s="82"/>
      <c r="L2518" s="82"/>
      <c r="M2518" s="82"/>
      <c r="N2518" s="82"/>
      <c r="O2518" s="82"/>
      <c r="P2518" s="82"/>
      <c r="Q2518" s="82"/>
      <c r="R2518" s="82"/>
      <c r="S2518" s="82"/>
      <c r="T2518" s="82"/>
      <c r="U2518" s="82"/>
      <c r="V2518" s="82"/>
      <c r="W2518" s="82"/>
      <c r="X2518" s="82"/>
      <c r="Y2518" s="82"/>
      <c r="Z2518" s="82"/>
    </row>
    <row r="2519" spans="1:26">
      <c r="A2519" s="81"/>
      <c r="F2519" s="81"/>
      <c r="G2519" s="82"/>
      <c r="H2519" s="82"/>
      <c r="I2519" s="82"/>
      <c r="J2519" s="82"/>
      <c r="K2519" s="82"/>
      <c r="L2519" s="82"/>
      <c r="M2519" s="82"/>
      <c r="N2519" s="82"/>
      <c r="O2519" s="82"/>
      <c r="P2519" s="82"/>
      <c r="Q2519" s="82"/>
      <c r="R2519" s="82"/>
      <c r="S2519" s="82"/>
      <c r="T2519" s="82"/>
      <c r="U2519" s="82"/>
      <c r="V2519" s="82"/>
      <c r="W2519" s="82"/>
      <c r="X2519" s="82"/>
      <c r="Y2519" s="82"/>
      <c r="Z2519" s="82"/>
    </row>
    <row r="2520" spans="1:26">
      <c r="A2520" s="81"/>
      <c r="F2520" s="81"/>
      <c r="G2520" s="82"/>
      <c r="H2520" s="82"/>
      <c r="I2520" s="82"/>
      <c r="J2520" s="82"/>
      <c r="K2520" s="82"/>
      <c r="L2520" s="82"/>
      <c r="M2520" s="82"/>
      <c r="N2520" s="82"/>
      <c r="O2520" s="82"/>
      <c r="P2520" s="82"/>
      <c r="Q2520" s="82"/>
      <c r="R2520" s="82"/>
      <c r="S2520" s="82"/>
      <c r="T2520" s="82"/>
      <c r="U2520" s="82"/>
      <c r="V2520" s="82"/>
      <c r="W2520" s="82"/>
      <c r="X2520" s="82"/>
      <c r="Y2520" s="82"/>
      <c r="Z2520" s="82"/>
    </row>
    <row r="2521" spans="1:26">
      <c r="A2521" s="81"/>
      <c r="F2521" s="81"/>
      <c r="G2521" s="82"/>
      <c r="H2521" s="82"/>
      <c r="I2521" s="82"/>
      <c r="J2521" s="82"/>
      <c r="K2521" s="82"/>
      <c r="L2521" s="82"/>
      <c r="M2521" s="82"/>
      <c r="N2521" s="82"/>
      <c r="O2521" s="82"/>
      <c r="P2521" s="82"/>
      <c r="Q2521" s="82"/>
      <c r="R2521" s="82"/>
      <c r="S2521" s="82"/>
      <c r="T2521" s="82"/>
      <c r="U2521" s="82"/>
      <c r="V2521" s="82"/>
      <c r="W2521" s="82"/>
      <c r="X2521" s="82"/>
      <c r="Y2521" s="82"/>
      <c r="Z2521" s="82"/>
    </row>
    <row r="2522" spans="1:26">
      <c r="A2522" s="81"/>
      <c r="F2522" s="81"/>
      <c r="G2522" s="82"/>
      <c r="H2522" s="82"/>
      <c r="I2522" s="82"/>
      <c r="J2522" s="82"/>
      <c r="K2522" s="82"/>
      <c r="L2522" s="82"/>
      <c r="M2522" s="82"/>
      <c r="N2522" s="82"/>
      <c r="O2522" s="82"/>
      <c r="P2522" s="82"/>
      <c r="Q2522" s="82"/>
      <c r="R2522" s="82"/>
      <c r="S2522" s="82"/>
      <c r="T2522" s="82"/>
      <c r="U2522" s="82"/>
      <c r="V2522" s="82"/>
      <c r="W2522" s="82"/>
      <c r="X2522" s="82"/>
      <c r="Y2522" s="82"/>
      <c r="Z2522" s="82"/>
    </row>
    <row r="2523" spans="1:26">
      <c r="A2523" s="81"/>
      <c r="F2523" s="81"/>
      <c r="G2523" s="82"/>
      <c r="H2523" s="82"/>
      <c r="I2523" s="82"/>
      <c r="J2523" s="82"/>
      <c r="K2523" s="82"/>
      <c r="L2523" s="82"/>
      <c r="M2523" s="82"/>
      <c r="N2523" s="82"/>
      <c r="O2523" s="82"/>
      <c r="P2523" s="82"/>
      <c r="Q2523" s="82"/>
      <c r="R2523" s="82"/>
      <c r="S2523" s="82"/>
      <c r="T2523" s="82"/>
      <c r="U2523" s="82"/>
      <c r="V2523" s="82"/>
      <c r="W2523" s="82"/>
      <c r="X2523" s="82"/>
      <c r="Y2523" s="82"/>
      <c r="Z2523" s="82"/>
    </row>
    <row r="2524" spans="1:26">
      <c r="A2524" s="81"/>
      <c r="F2524" s="81"/>
      <c r="G2524" s="82"/>
      <c r="H2524" s="82"/>
      <c r="I2524" s="82"/>
      <c r="J2524" s="82"/>
      <c r="K2524" s="82"/>
      <c r="L2524" s="82"/>
      <c r="M2524" s="82"/>
      <c r="N2524" s="82"/>
      <c r="O2524" s="82"/>
      <c r="P2524" s="82"/>
      <c r="Q2524" s="82"/>
      <c r="R2524" s="82"/>
      <c r="S2524" s="82"/>
      <c r="T2524" s="82"/>
      <c r="U2524" s="82"/>
      <c r="V2524" s="82"/>
      <c r="W2524" s="82"/>
      <c r="X2524" s="82"/>
      <c r="Y2524" s="82"/>
      <c r="Z2524" s="82"/>
    </row>
    <row r="2525" spans="1:26">
      <c r="A2525" s="81"/>
      <c r="F2525" s="81"/>
      <c r="G2525" s="82"/>
      <c r="H2525" s="82"/>
      <c r="I2525" s="82"/>
      <c r="J2525" s="82"/>
      <c r="K2525" s="82"/>
      <c r="L2525" s="82"/>
      <c r="M2525" s="82"/>
      <c r="N2525" s="82"/>
      <c r="O2525" s="82"/>
      <c r="P2525" s="82"/>
      <c r="Q2525" s="82"/>
      <c r="R2525" s="82"/>
      <c r="S2525" s="82"/>
      <c r="T2525" s="82"/>
      <c r="U2525" s="82"/>
      <c r="V2525" s="82"/>
      <c r="W2525" s="82"/>
      <c r="X2525" s="82"/>
      <c r="Y2525" s="82"/>
      <c r="Z2525" s="82"/>
    </row>
    <row r="2526" spans="1:26">
      <c r="A2526" s="81"/>
      <c r="F2526" s="81"/>
      <c r="G2526" s="82"/>
      <c r="H2526" s="82"/>
      <c r="I2526" s="82"/>
      <c r="J2526" s="82"/>
      <c r="K2526" s="82"/>
      <c r="L2526" s="82"/>
      <c r="M2526" s="82"/>
      <c r="N2526" s="82"/>
      <c r="O2526" s="82"/>
      <c r="P2526" s="82"/>
      <c r="Q2526" s="82"/>
      <c r="R2526" s="82"/>
      <c r="S2526" s="82"/>
      <c r="T2526" s="82"/>
      <c r="U2526" s="82"/>
      <c r="V2526" s="82"/>
      <c r="W2526" s="82"/>
      <c r="X2526" s="82"/>
      <c r="Y2526" s="82"/>
      <c r="Z2526" s="82"/>
    </row>
    <row r="2527" spans="1:26">
      <c r="A2527" s="81"/>
      <c r="F2527" s="81"/>
      <c r="G2527" s="82"/>
      <c r="H2527" s="82"/>
      <c r="I2527" s="82"/>
      <c r="J2527" s="82"/>
      <c r="K2527" s="82"/>
      <c r="L2527" s="82"/>
      <c r="M2527" s="82"/>
      <c r="N2527" s="82"/>
      <c r="O2527" s="82"/>
      <c r="P2527" s="82"/>
      <c r="Q2527" s="82"/>
      <c r="R2527" s="82"/>
      <c r="S2527" s="82"/>
      <c r="T2527" s="82"/>
      <c r="U2527" s="82"/>
      <c r="V2527" s="82"/>
      <c r="W2527" s="82"/>
      <c r="X2527" s="82"/>
      <c r="Y2527" s="82"/>
      <c r="Z2527" s="82"/>
    </row>
    <row r="2528" spans="1:26">
      <c r="A2528" s="81"/>
      <c r="F2528" s="81"/>
      <c r="G2528" s="82"/>
      <c r="H2528" s="82"/>
      <c r="I2528" s="82"/>
      <c r="J2528" s="82"/>
      <c r="K2528" s="82"/>
      <c r="L2528" s="82"/>
      <c r="M2528" s="82"/>
      <c r="N2528" s="82"/>
      <c r="O2528" s="82"/>
      <c r="P2528" s="82"/>
      <c r="Q2528" s="82"/>
      <c r="R2528" s="82"/>
      <c r="S2528" s="82"/>
      <c r="T2528" s="82"/>
      <c r="U2528" s="82"/>
      <c r="V2528" s="82"/>
      <c r="W2528" s="82"/>
      <c r="X2528" s="82"/>
      <c r="Y2528" s="82"/>
      <c r="Z2528" s="82"/>
    </row>
    <row r="2529" spans="1:26">
      <c r="A2529" s="81"/>
      <c r="F2529" s="81"/>
      <c r="G2529" s="82"/>
      <c r="H2529" s="82"/>
      <c r="I2529" s="82"/>
      <c r="J2529" s="82"/>
      <c r="K2529" s="82"/>
      <c r="L2529" s="82"/>
      <c r="M2529" s="82"/>
      <c r="N2529" s="82"/>
      <c r="O2529" s="82"/>
      <c r="P2529" s="82"/>
      <c r="Q2529" s="82"/>
      <c r="R2529" s="82"/>
      <c r="S2529" s="82"/>
      <c r="T2529" s="82"/>
      <c r="U2529" s="82"/>
      <c r="V2529" s="82"/>
      <c r="W2529" s="82"/>
      <c r="X2529" s="82"/>
      <c r="Y2529" s="82"/>
      <c r="Z2529" s="82"/>
    </row>
    <row r="2530" spans="1:26">
      <c r="A2530" s="81"/>
      <c r="F2530" s="81"/>
      <c r="G2530" s="82"/>
      <c r="H2530" s="82"/>
      <c r="I2530" s="82"/>
      <c r="J2530" s="82"/>
      <c r="K2530" s="82"/>
      <c r="L2530" s="82"/>
      <c r="M2530" s="82"/>
      <c r="N2530" s="82"/>
      <c r="O2530" s="82"/>
      <c r="P2530" s="82"/>
      <c r="Q2530" s="82"/>
      <c r="R2530" s="82"/>
      <c r="S2530" s="82"/>
      <c r="T2530" s="82"/>
      <c r="U2530" s="82"/>
      <c r="V2530" s="82"/>
      <c r="W2530" s="82"/>
      <c r="X2530" s="82"/>
      <c r="Y2530" s="82"/>
      <c r="Z2530" s="82"/>
    </row>
    <row r="2531" spans="1:26">
      <c r="A2531" s="81"/>
      <c r="F2531" s="81"/>
      <c r="G2531" s="82"/>
      <c r="H2531" s="82"/>
      <c r="I2531" s="82"/>
      <c r="J2531" s="82"/>
      <c r="K2531" s="82"/>
      <c r="L2531" s="82"/>
      <c r="M2531" s="82"/>
      <c r="N2531" s="82"/>
      <c r="O2531" s="82"/>
      <c r="P2531" s="82"/>
      <c r="Q2531" s="82"/>
      <c r="R2531" s="82"/>
      <c r="S2531" s="82"/>
      <c r="T2531" s="82"/>
      <c r="U2531" s="82"/>
      <c r="V2531" s="82"/>
      <c r="W2531" s="82"/>
      <c r="X2531" s="82"/>
      <c r="Y2531" s="82"/>
      <c r="Z2531" s="82"/>
    </row>
    <row r="2532" spans="1:26">
      <c r="A2532" s="81"/>
      <c r="F2532" s="81"/>
      <c r="G2532" s="82"/>
      <c r="H2532" s="82"/>
      <c r="I2532" s="82"/>
      <c r="J2532" s="82"/>
      <c r="K2532" s="82"/>
      <c r="L2532" s="82"/>
      <c r="M2532" s="82"/>
      <c r="N2532" s="82"/>
      <c r="O2532" s="82"/>
      <c r="P2532" s="82"/>
      <c r="Q2532" s="82"/>
      <c r="R2532" s="82"/>
      <c r="S2532" s="82"/>
      <c r="T2532" s="82"/>
      <c r="U2532" s="82"/>
      <c r="V2532" s="82"/>
      <c r="W2532" s="82"/>
      <c r="X2532" s="82"/>
      <c r="Y2532" s="82"/>
      <c r="Z2532" s="82"/>
    </row>
    <row r="2533" spans="1:26">
      <c r="A2533" s="81"/>
      <c r="F2533" s="81"/>
      <c r="G2533" s="82"/>
      <c r="H2533" s="82"/>
      <c r="I2533" s="82"/>
      <c r="J2533" s="82"/>
      <c r="K2533" s="82"/>
      <c r="L2533" s="82"/>
      <c r="M2533" s="82"/>
      <c r="N2533" s="82"/>
      <c r="O2533" s="82"/>
      <c r="P2533" s="82"/>
      <c r="Q2533" s="82"/>
      <c r="R2533" s="82"/>
      <c r="S2533" s="82"/>
      <c r="T2533" s="82"/>
      <c r="U2533" s="82"/>
      <c r="V2533" s="82"/>
      <c r="W2533" s="82"/>
      <c r="X2533" s="82"/>
      <c r="Y2533" s="82"/>
      <c r="Z2533" s="82"/>
    </row>
    <row r="2534" spans="1:26">
      <c r="A2534" s="81"/>
      <c r="F2534" s="81"/>
      <c r="G2534" s="82"/>
      <c r="H2534" s="82"/>
      <c r="I2534" s="82"/>
      <c r="J2534" s="82"/>
      <c r="K2534" s="82"/>
      <c r="L2534" s="82"/>
      <c r="M2534" s="82"/>
      <c r="N2534" s="82"/>
      <c r="O2534" s="82"/>
      <c r="P2534" s="82"/>
      <c r="Q2534" s="82"/>
      <c r="R2534" s="82"/>
      <c r="S2534" s="82"/>
      <c r="T2534" s="82"/>
      <c r="U2534" s="82"/>
      <c r="V2534" s="82"/>
      <c r="W2534" s="82"/>
      <c r="X2534" s="82"/>
      <c r="Y2534" s="82"/>
      <c r="Z2534" s="82"/>
    </row>
    <row r="2535" spans="1:26">
      <c r="A2535" s="81"/>
      <c r="F2535" s="81"/>
      <c r="G2535" s="82"/>
      <c r="H2535" s="82"/>
      <c r="I2535" s="82"/>
      <c r="J2535" s="82"/>
      <c r="K2535" s="82"/>
      <c r="L2535" s="82"/>
      <c r="M2535" s="82"/>
      <c r="N2535" s="82"/>
      <c r="O2535" s="82"/>
      <c r="P2535" s="82"/>
      <c r="Q2535" s="82"/>
      <c r="R2535" s="82"/>
      <c r="S2535" s="82"/>
      <c r="T2535" s="82"/>
      <c r="U2535" s="82"/>
      <c r="V2535" s="82"/>
      <c r="W2535" s="82"/>
      <c r="X2535" s="82"/>
      <c r="Y2535" s="82"/>
      <c r="Z2535" s="82"/>
    </row>
    <row r="2536" spans="1:26">
      <c r="A2536" s="81"/>
      <c r="F2536" s="81"/>
      <c r="G2536" s="82"/>
      <c r="H2536" s="82"/>
      <c r="I2536" s="82"/>
      <c r="J2536" s="82"/>
      <c r="K2536" s="82"/>
      <c r="L2536" s="82"/>
      <c r="M2536" s="82"/>
      <c r="N2536" s="82"/>
      <c r="O2536" s="82"/>
      <c r="P2536" s="82"/>
      <c r="Q2536" s="82"/>
      <c r="R2536" s="82"/>
      <c r="S2536" s="82"/>
      <c r="T2536" s="82"/>
      <c r="U2536" s="82"/>
      <c r="V2536" s="82"/>
      <c r="W2536" s="82"/>
      <c r="X2536" s="82"/>
      <c r="Y2536" s="82"/>
      <c r="Z2536" s="82"/>
    </row>
    <row r="2537" spans="1:26">
      <c r="A2537" s="81"/>
      <c r="F2537" s="81"/>
      <c r="G2537" s="82"/>
      <c r="H2537" s="82"/>
      <c r="I2537" s="82"/>
      <c r="J2537" s="82"/>
      <c r="K2537" s="82"/>
      <c r="L2537" s="82"/>
      <c r="M2537" s="82"/>
      <c r="N2537" s="82"/>
      <c r="O2537" s="82"/>
      <c r="P2537" s="82"/>
      <c r="Q2537" s="82"/>
      <c r="R2537" s="82"/>
      <c r="S2537" s="82"/>
      <c r="T2537" s="82"/>
      <c r="U2537" s="82"/>
      <c r="V2537" s="82"/>
      <c r="W2537" s="82"/>
      <c r="X2537" s="82"/>
      <c r="Y2537" s="82"/>
      <c r="Z2537" s="82"/>
    </row>
    <row r="2538" spans="1:26">
      <c r="A2538" s="81"/>
      <c r="F2538" s="81"/>
      <c r="G2538" s="82"/>
      <c r="H2538" s="82"/>
      <c r="I2538" s="82"/>
      <c r="J2538" s="82"/>
      <c r="K2538" s="82"/>
      <c r="L2538" s="82"/>
      <c r="M2538" s="82"/>
      <c r="N2538" s="82"/>
      <c r="O2538" s="82"/>
      <c r="P2538" s="82"/>
      <c r="Q2538" s="82"/>
      <c r="R2538" s="82"/>
      <c r="S2538" s="82"/>
      <c r="T2538" s="82"/>
      <c r="U2538" s="82"/>
      <c r="V2538" s="82"/>
      <c r="W2538" s="82"/>
      <c r="X2538" s="82"/>
      <c r="Y2538" s="82"/>
      <c r="Z2538" s="82"/>
    </row>
    <row r="2539" spans="1:26">
      <c r="A2539" s="81"/>
      <c r="F2539" s="81"/>
      <c r="G2539" s="82"/>
      <c r="H2539" s="82"/>
      <c r="I2539" s="82"/>
      <c r="J2539" s="82"/>
      <c r="K2539" s="82"/>
      <c r="L2539" s="82"/>
      <c r="M2539" s="82"/>
      <c r="N2539" s="82"/>
      <c r="O2539" s="82"/>
      <c r="P2539" s="82"/>
      <c r="Q2539" s="82"/>
      <c r="R2539" s="82"/>
      <c r="S2539" s="82"/>
      <c r="T2539" s="82"/>
      <c r="U2539" s="82"/>
      <c r="V2539" s="82"/>
      <c r="W2539" s="82"/>
      <c r="X2539" s="82"/>
      <c r="Y2539" s="82"/>
      <c r="Z2539" s="82"/>
    </row>
    <row r="2540" spans="1:26">
      <c r="A2540" s="81"/>
      <c r="F2540" s="81"/>
      <c r="G2540" s="82"/>
      <c r="H2540" s="82"/>
      <c r="I2540" s="82"/>
      <c r="J2540" s="82"/>
      <c r="K2540" s="82"/>
      <c r="L2540" s="82"/>
      <c r="M2540" s="82"/>
      <c r="N2540" s="82"/>
      <c r="O2540" s="82"/>
      <c r="P2540" s="82"/>
      <c r="Q2540" s="82"/>
      <c r="R2540" s="82"/>
      <c r="S2540" s="82"/>
      <c r="T2540" s="82"/>
      <c r="U2540" s="82"/>
      <c r="V2540" s="82"/>
      <c r="W2540" s="82"/>
      <c r="X2540" s="82"/>
      <c r="Y2540" s="82"/>
      <c r="Z2540" s="82"/>
    </row>
    <row r="2541" spans="1:26">
      <c r="A2541" s="81"/>
      <c r="F2541" s="81"/>
      <c r="G2541" s="82"/>
      <c r="H2541" s="82"/>
      <c r="I2541" s="82"/>
      <c r="J2541" s="82"/>
      <c r="K2541" s="82"/>
      <c r="L2541" s="82"/>
      <c r="M2541" s="82"/>
      <c r="N2541" s="82"/>
      <c r="O2541" s="82"/>
      <c r="P2541" s="82"/>
      <c r="Q2541" s="82"/>
      <c r="R2541" s="82"/>
      <c r="S2541" s="82"/>
      <c r="T2541" s="82"/>
      <c r="U2541" s="82"/>
      <c r="V2541" s="82"/>
      <c r="W2541" s="82"/>
      <c r="X2541" s="82"/>
      <c r="Y2541" s="82"/>
      <c r="Z2541" s="82"/>
    </row>
    <row r="2542" spans="1:26">
      <c r="A2542" s="81"/>
      <c r="F2542" s="81"/>
      <c r="G2542" s="82"/>
      <c r="H2542" s="82"/>
      <c r="I2542" s="82"/>
      <c r="J2542" s="82"/>
      <c r="K2542" s="82"/>
      <c r="L2542" s="82"/>
      <c r="M2542" s="82"/>
      <c r="N2542" s="82"/>
      <c r="O2542" s="82"/>
      <c r="P2542" s="82"/>
      <c r="Q2542" s="82"/>
      <c r="R2542" s="82"/>
      <c r="S2542" s="82"/>
      <c r="T2542" s="82"/>
      <c r="U2542" s="82"/>
      <c r="V2542" s="82"/>
      <c r="W2542" s="82"/>
      <c r="X2542" s="82"/>
      <c r="Y2542" s="82"/>
      <c r="Z2542" s="82"/>
    </row>
    <row r="2543" spans="1:26">
      <c r="A2543" s="81"/>
      <c r="F2543" s="81"/>
      <c r="G2543" s="82"/>
      <c r="H2543" s="82"/>
      <c r="I2543" s="82"/>
      <c r="J2543" s="82"/>
      <c r="K2543" s="82"/>
      <c r="L2543" s="82"/>
      <c r="M2543" s="82"/>
      <c r="N2543" s="82"/>
      <c r="O2543" s="82"/>
      <c r="P2543" s="82"/>
      <c r="Q2543" s="82"/>
      <c r="R2543" s="82"/>
      <c r="S2543" s="82"/>
      <c r="T2543" s="82"/>
      <c r="U2543" s="82"/>
      <c r="V2543" s="82"/>
      <c r="W2543" s="82"/>
      <c r="X2543" s="82"/>
      <c r="Y2543" s="82"/>
      <c r="Z2543" s="82"/>
    </row>
    <row r="2544" spans="1:26">
      <c r="A2544" s="81"/>
      <c r="F2544" s="81"/>
      <c r="G2544" s="82"/>
      <c r="H2544" s="82"/>
      <c r="I2544" s="82"/>
      <c r="J2544" s="82"/>
      <c r="K2544" s="82"/>
      <c r="L2544" s="82"/>
      <c r="M2544" s="82"/>
      <c r="N2544" s="82"/>
      <c r="O2544" s="82"/>
      <c r="P2544" s="82"/>
      <c r="Q2544" s="82"/>
      <c r="R2544" s="82"/>
      <c r="S2544" s="82"/>
      <c r="T2544" s="82"/>
      <c r="U2544" s="82"/>
      <c r="V2544" s="82"/>
      <c r="W2544" s="82"/>
      <c r="X2544" s="82"/>
      <c r="Y2544" s="82"/>
      <c r="Z2544" s="82"/>
    </row>
    <row r="2545" spans="1:26">
      <c r="A2545" s="81"/>
      <c r="F2545" s="81"/>
      <c r="G2545" s="82"/>
      <c r="H2545" s="82"/>
      <c r="I2545" s="82"/>
      <c r="J2545" s="82"/>
      <c r="K2545" s="82"/>
      <c r="L2545" s="82"/>
      <c r="M2545" s="82"/>
      <c r="N2545" s="82"/>
      <c r="O2545" s="82"/>
      <c r="P2545" s="82"/>
      <c r="Q2545" s="82"/>
      <c r="R2545" s="82"/>
      <c r="S2545" s="82"/>
      <c r="T2545" s="82"/>
      <c r="U2545" s="82"/>
      <c r="V2545" s="82"/>
      <c r="W2545" s="82"/>
      <c r="X2545" s="82"/>
      <c r="Y2545" s="82"/>
      <c r="Z2545" s="82"/>
    </row>
    <row r="2546" spans="1:26">
      <c r="A2546" s="81"/>
      <c r="F2546" s="81"/>
      <c r="G2546" s="82"/>
      <c r="H2546" s="82"/>
      <c r="I2546" s="82"/>
      <c r="J2546" s="82"/>
      <c r="K2546" s="82"/>
      <c r="L2546" s="82"/>
      <c r="M2546" s="82"/>
      <c r="N2546" s="82"/>
      <c r="O2546" s="82"/>
      <c r="P2546" s="82"/>
      <c r="Q2546" s="82"/>
      <c r="R2546" s="82"/>
      <c r="S2546" s="82"/>
      <c r="T2546" s="82"/>
      <c r="U2546" s="82"/>
      <c r="V2546" s="82"/>
      <c r="W2546" s="82"/>
      <c r="X2546" s="82"/>
      <c r="Y2546" s="82"/>
      <c r="Z2546" s="82"/>
    </row>
    <row r="2547" spans="1:26">
      <c r="A2547" s="81"/>
      <c r="F2547" s="81"/>
      <c r="G2547" s="82"/>
      <c r="H2547" s="82"/>
      <c r="I2547" s="82"/>
      <c r="J2547" s="82"/>
      <c r="K2547" s="82"/>
      <c r="L2547" s="82"/>
      <c r="M2547" s="82"/>
      <c r="N2547" s="82"/>
      <c r="O2547" s="82"/>
      <c r="P2547" s="82"/>
      <c r="Q2547" s="82"/>
      <c r="R2547" s="82"/>
      <c r="S2547" s="82"/>
      <c r="T2547" s="82"/>
      <c r="U2547" s="82"/>
      <c r="V2547" s="82"/>
      <c r="W2547" s="82"/>
      <c r="X2547" s="82"/>
      <c r="Y2547" s="82"/>
      <c r="Z2547" s="82"/>
    </row>
    <row r="2548" spans="1:26">
      <c r="A2548" s="81"/>
      <c r="F2548" s="81"/>
      <c r="G2548" s="82"/>
      <c r="H2548" s="82"/>
      <c r="I2548" s="82"/>
      <c r="J2548" s="82"/>
      <c r="K2548" s="82"/>
      <c r="L2548" s="82"/>
      <c r="M2548" s="82"/>
      <c r="N2548" s="82"/>
      <c r="O2548" s="82"/>
      <c r="P2548" s="82"/>
      <c r="Q2548" s="82"/>
      <c r="R2548" s="82"/>
      <c r="S2548" s="82"/>
      <c r="T2548" s="82"/>
      <c r="U2548" s="82"/>
      <c r="V2548" s="82"/>
      <c r="W2548" s="82"/>
      <c r="X2548" s="82"/>
      <c r="Y2548" s="82"/>
      <c r="Z2548" s="82"/>
    </row>
    <row r="2549" spans="1:26">
      <c r="A2549" s="81"/>
      <c r="F2549" s="81"/>
      <c r="G2549" s="82"/>
      <c r="H2549" s="82"/>
      <c r="I2549" s="82"/>
      <c r="J2549" s="82"/>
      <c r="K2549" s="82"/>
      <c r="L2549" s="82"/>
      <c r="M2549" s="82"/>
      <c r="N2549" s="82"/>
      <c r="O2549" s="82"/>
      <c r="P2549" s="82"/>
      <c r="Q2549" s="82"/>
      <c r="R2549" s="82"/>
      <c r="S2549" s="82"/>
      <c r="T2549" s="82"/>
      <c r="U2549" s="82"/>
      <c r="V2549" s="82"/>
      <c r="W2549" s="82"/>
      <c r="X2549" s="82"/>
      <c r="Y2549" s="82"/>
      <c r="Z2549" s="82"/>
    </row>
    <row r="2550" spans="1:26">
      <c r="A2550" s="81"/>
      <c r="F2550" s="81"/>
      <c r="G2550" s="82"/>
      <c r="H2550" s="82"/>
      <c r="I2550" s="82"/>
      <c r="J2550" s="82"/>
      <c r="K2550" s="82"/>
      <c r="L2550" s="82"/>
      <c r="M2550" s="82"/>
      <c r="N2550" s="82"/>
      <c r="O2550" s="82"/>
      <c r="P2550" s="82"/>
      <c r="Q2550" s="82"/>
      <c r="R2550" s="82"/>
      <c r="S2550" s="82"/>
      <c r="T2550" s="82"/>
      <c r="U2550" s="82"/>
      <c r="V2550" s="82"/>
      <c r="W2550" s="82"/>
      <c r="X2550" s="82"/>
      <c r="Y2550" s="82"/>
      <c r="Z2550" s="82"/>
    </row>
    <row r="2551" spans="1:26">
      <c r="A2551" s="81"/>
      <c r="F2551" s="81"/>
      <c r="G2551" s="82"/>
      <c r="H2551" s="82"/>
      <c r="I2551" s="82"/>
      <c r="J2551" s="82"/>
      <c r="K2551" s="82"/>
      <c r="L2551" s="82"/>
      <c r="M2551" s="82"/>
      <c r="N2551" s="82"/>
      <c r="O2551" s="82"/>
      <c r="P2551" s="82"/>
      <c r="Q2551" s="82"/>
      <c r="R2551" s="82"/>
      <c r="S2551" s="82"/>
      <c r="T2551" s="82"/>
      <c r="U2551" s="82"/>
      <c r="V2551" s="82"/>
      <c r="W2551" s="82"/>
      <c r="X2551" s="82"/>
      <c r="Y2551" s="82"/>
      <c r="Z2551" s="82"/>
    </row>
    <row r="2552" spans="1:26">
      <c r="A2552" s="81"/>
      <c r="F2552" s="81"/>
      <c r="G2552" s="82"/>
      <c r="H2552" s="82"/>
      <c r="I2552" s="82"/>
      <c r="J2552" s="82"/>
      <c r="K2552" s="82"/>
      <c r="L2552" s="82"/>
      <c r="M2552" s="82"/>
      <c r="N2552" s="82"/>
      <c r="O2552" s="82"/>
      <c r="P2552" s="82"/>
      <c r="Q2552" s="82"/>
      <c r="R2552" s="82"/>
      <c r="S2552" s="82"/>
      <c r="T2552" s="82"/>
      <c r="U2552" s="82"/>
      <c r="V2552" s="82"/>
      <c r="W2552" s="82"/>
      <c r="X2552" s="82"/>
      <c r="Y2552" s="82"/>
      <c r="Z2552" s="82"/>
    </row>
    <row r="2553" spans="1:26">
      <c r="A2553" s="81"/>
      <c r="F2553" s="81"/>
      <c r="G2553" s="82"/>
      <c r="H2553" s="82"/>
      <c r="I2553" s="82"/>
      <c r="J2553" s="82"/>
      <c r="K2553" s="82"/>
      <c r="L2553" s="82"/>
      <c r="M2553" s="82"/>
      <c r="N2553" s="82"/>
      <c r="O2553" s="82"/>
      <c r="P2553" s="82"/>
      <c r="Q2553" s="82"/>
      <c r="R2553" s="82"/>
      <c r="S2553" s="82"/>
      <c r="T2553" s="82"/>
      <c r="U2553" s="82"/>
      <c r="V2553" s="82"/>
      <c r="W2553" s="82"/>
      <c r="X2553" s="82"/>
      <c r="Y2553" s="82"/>
      <c r="Z2553" s="82"/>
    </row>
    <row r="2554" spans="1:26">
      <c r="A2554" s="81"/>
      <c r="F2554" s="81"/>
      <c r="G2554" s="82"/>
      <c r="H2554" s="82"/>
      <c r="I2554" s="82"/>
      <c r="J2554" s="82"/>
      <c r="K2554" s="82"/>
      <c r="L2554" s="82"/>
      <c r="M2554" s="82"/>
      <c r="N2554" s="82"/>
      <c r="O2554" s="82"/>
      <c r="P2554" s="82"/>
      <c r="Q2554" s="82"/>
      <c r="R2554" s="82"/>
      <c r="S2554" s="82"/>
      <c r="T2554" s="82"/>
      <c r="U2554" s="82"/>
      <c r="V2554" s="82"/>
      <c r="W2554" s="82"/>
      <c r="X2554" s="82"/>
      <c r="Y2554" s="82"/>
      <c r="Z2554" s="82"/>
    </row>
    <row r="2555" spans="1:26">
      <c r="A2555" s="81"/>
      <c r="F2555" s="81"/>
      <c r="G2555" s="82"/>
      <c r="H2555" s="82"/>
      <c r="I2555" s="82"/>
      <c r="J2555" s="82"/>
      <c r="K2555" s="82"/>
      <c r="L2555" s="82"/>
      <c r="M2555" s="82"/>
      <c r="N2555" s="82"/>
      <c r="O2555" s="82"/>
      <c r="P2555" s="82"/>
      <c r="Q2555" s="82"/>
      <c r="R2555" s="82"/>
      <c r="S2555" s="82"/>
      <c r="T2555" s="82"/>
      <c r="U2555" s="82"/>
      <c r="V2555" s="82"/>
      <c r="W2555" s="82"/>
      <c r="X2555" s="82"/>
      <c r="Y2555" s="82"/>
      <c r="Z2555" s="82"/>
    </row>
    <row r="2556" spans="1:26">
      <c r="A2556" s="81"/>
      <c r="F2556" s="81"/>
      <c r="G2556" s="82"/>
      <c r="H2556" s="82"/>
      <c r="I2556" s="82"/>
      <c r="J2556" s="82"/>
      <c r="K2556" s="82"/>
      <c r="L2556" s="82"/>
      <c r="M2556" s="82"/>
      <c r="N2556" s="82"/>
      <c r="O2556" s="82"/>
      <c r="P2556" s="82"/>
      <c r="Q2556" s="82"/>
      <c r="R2556" s="82"/>
      <c r="S2556" s="82"/>
      <c r="T2556" s="82"/>
      <c r="U2556" s="82"/>
      <c r="V2556" s="82"/>
      <c r="W2556" s="82"/>
      <c r="X2556" s="82"/>
      <c r="Y2556" s="82"/>
      <c r="Z2556" s="82"/>
    </row>
    <row r="2557" spans="1:26">
      <c r="A2557" s="81"/>
      <c r="F2557" s="81"/>
      <c r="G2557" s="82"/>
      <c r="H2557" s="82"/>
      <c r="I2557" s="82"/>
      <c r="J2557" s="82"/>
      <c r="K2557" s="82"/>
      <c r="L2557" s="82"/>
      <c r="M2557" s="82"/>
      <c r="N2557" s="82"/>
      <c r="O2557" s="82"/>
      <c r="P2557" s="82"/>
      <c r="Q2557" s="82"/>
      <c r="R2557" s="82"/>
      <c r="S2557" s="82"/>
      <c r="T2557" s="82"/>
      <c r="U2557" s="82"/>
      <c r="V2557" s="82"/>
      <c r="W2557" s="82"/>
      <c r="X2557" s="82"/>
      <c r="Y2557" s="82"/>
      <c r="Z2557" s="82"/>
    </row>
    <row r="2558" spans="1:26">
      <c r="A2558" s="81"/>
      <c r="F2558" s="81"/>
      <c r="G2558" s="82"/>
      <c r="H2558" s="82"/>
      <c r="I2558" s="82"/>
      <c r="J2558" s="82"/>
      <c r="K2558" s="82"/>
      <c r="L2558" s="82"/>
      <c r="M2558" s="82"/>
      <c r="N2558" s="82"/>
      <c r="O2558" s="82"/>
      <c r="P2558" s="82"/>
      <c r="Q2558" s="82"/>
      <c r="R2558" s="82"/>
      <c r="S2558" s="82"/>
      <c r="T2558" s="82"/>
      <c r="U2558" s="82"/>
      <c r="V2558" s="82"/>
      <c r="W2558" s="82"/>
      <c r="X2558" s="82"/>
      <c r="Y2558" s="82"/>
      <c r="Z2558" s="82"/>
    </row>
    <row r="2559" spans="1:26">
      <c r="A2559" s="81"/>
      <c r="F2559" s="81"/>
      <c r="G2559" s="82"/>
      <c r="H2559" s="82"/>
      <c r="I2559" s="82"/>
      <c r="J2559" s="82"/>
      <c r="K2559" s="82"/>
      <c r="L2559" s="82"/>
      <c r="M2559" s="82"/>
      <c r="N2559" s="82"/>
      <c r="O2559" s="82"/>
      <c r="P2559" s="82"/>
      <c r="Q2559" s="82"/>
      <c r="R2559" s="82"/>
      <c r="S2559" s="82"/>
      <c r="T2559" s="82"/>
      <c r="U2559" s="82"/>
      <c r="V2559" s="82"/>
      <c r="W2559" s="82"/>
      <c r="X2559" s="82"/>
      <c r="Y2559" s="82"/>
      <c r="Z2559" s="82"/>
    </row>
    <row r="2560" spans="1:26">
      <c r="A2560" s="81"/>
      <c r="F2560" s="81"/>
      <c r="G2560" s="82"/>
      <c r="H2560" s="82"/>
      <c r="I2560" s="82"/>
      <c r="J2560" s="82"/>
      <c r="K2560" s="82"/>
      <c r="L2560" s="82"/>
      <c r="M2560" s="82"/>
      <c r="N2560" s="82"/>
      <c r="O2560" s="82"/>
      <c r="P2560" s="82"/>
      <c r="Q2560" s="82"/>
      <c r="R2560" s="82"/>
      <c r="S2560" s="82"/>
      <c r="T2560" s="82"/>
      <c r="U2560" s="82"/>
      <c r="V2560" s="82"/>
      <c r="W2560" s="82"/>
      <c r="X2560" s="82"/>
      <c r="Y2560" s="82"/>
      <c r="Z2560" s="82"/>
    </row>
    <row r="2561" spans="1:26">
      <c r="A2561" s="81"/>
      <c r="F2561" s="81"/>
      <c r="G2561" s="82"/>
      <c r="H2561" s="82"/>
      <c r="I2561" s="82"/>
      <c r="J2561" s="82"/>
      <c r="K2561" s="82"/>
      <c r="L2561" s="82"/>
      <c r="M2561" s="82"/>
      <c r="N2561" s="82"/>
      <c r="O2561" s="82"/>
      <c r="P2561" s="82"/>
      <c r="Q2561" s="82"/>
      <c r="R2561" s="82"/>
      <c r="S2561" s="82"/>
      <c r="T2561" s="82"/>
      <c r="U2561" s="82"/>
      <c r="V2561" s="82"/>
      <c r="W2561" s="82"/>
      <c r="X2561" s="82"/>
      <c r="Y2561" s="82"/>
      <c r="Z2561" s="82"/>
    </row>
    <row r="2562" spans="1:26">
      <c r="A2562" s="81"/>
      <c r="F2562" s="81"/>
      <c r="G2562" s="82"/>
      <c r="H2562" s="82"/>
      <c r="I2562" s="82"/>
      <c r="J2562" s="82"/>
      <c r="K2562" s="82"/>
      <c r="L2562" s="82"/>
      <c r="M2562" s="82"/>
      <c r="N2562" s="82"/>
      <c r="O2562" s="82"/>
      <c r="P2562" s="82"/>
      <c r="Q2562" s="82"/>
      <c r="R2562" s="82"/>
      <c r="S2562" s="82"/>
      <c r="T2562" s="82"/>
      <c r="U2562" s="82"/>
      <c r="V2562" s="82"/>
      <c r="W2562" s="82"/>
      <c r="X2562" s="82"/>
      <c r="Y2562" s="82"/>
      <c r="Z2562" s="82"/>
    </row>
    <row r="2563" spans="1:26">
      <c r="A2563" s="81"/>
      <c r="F2563" s="81"/>
      <c r="G2563" s="82"/>
      <c r="H2563" s="82"/>
      <c r="I2563" s="82"/>
      <c r="J2563" s="82"/>
      <c r="K2563" s="82"/>
      <c r="L2563" s="82"/>
      <c r="M2563" s="82"/>
      <c r="N2563" s="82"/>
      <c r="O2563" s="82"/>
      <c r="P2563" s="82"/>
      <c r="Q2563" s="82"/>
      <c r="R2563" s="82"/>
      <c r="S2563" s="82"/>
      <c r="T2563" s="82"/>
      <c r="U2563" s="82"/>
      <c r="V2563" s="82"/>
      <c r="W2563" s="82"/>
      <c r="X2563" s="82"/>
      <c r="Y2563" s="82"/>
      <c r="Z2563" s="82"/>
    </row>
    <row r="2564" spans="1:26">
      <c r="A2564" s="81"/>
      <c r="F2564" s="81"/>
      <c r="G2564" s="82"/>
      <c r="H2564" s="82"/>
      <c r="I2564" s="82"/>
      <c r="J2564" s="82"/>
      <c r="K2564" s="82"/>
      <c r="L2564" s="82"/>
      <c r="M2564" s="82"/>
      <c r="N2564" s="82"/>
      <c r="O2564" s="82"/>
      <c r="P2564" s="82"/>
      <c r="Q2564" s="82"/>
      <c r="R2564" s="82"/>
      <c r="S2564" s="82"/>
      <c r="T2564" s="82"/>
      <c r="U2564" s="82"/>
      <c r="V2564" s="82"/>
      <c r="W2564" s="82"/>
      <c r="X2564" s="82"/>
      <c r="Y2564" s="82"/>
      <c r="Z2564" s="82"/>
    </row>
    <row r="2565" spans="1:26">
      <c r="A2565" s="81"/>
      <c r="F2565" s="81"/>
      <c r="G2565" s="82"/>
      <c r="H2565" s="82"/>
      <c r="I2565" s="82"/>
      <c r="J2565" s="82"/>
      <c r="K2565" s="82"/>
      <c r="L2565" s="82"/>
      <c r="M2565" s="82"/>
      <c r="N2565" s="82"/>
      <c r="O2565" s="82"/>
      <c r="P2565" s="82"/>
      <c r="Q2565" s="82"/>
      <c r="R2565" s="82"/>
      <c r="S2565" s="82"/>
      <c r="T2565" s="82"/>
      <c r="U2565" s="82"/>
      <c r="V2565" s="82"/>
      <c r="W2565" s="82"/>
      <c r="X2565" s="82"/>
      <c r="Y2565" s="82"/>
      <c r="Z2565" s="82"/>
    </row>
    <row r="2566" spans="1:26">
      <c r="A2566" s="81"/>
      <c r="F2566" s="81"/>
      <c r="G2566" s="82"/>
      <c r="H2566" s="82"/>
      <c r="I2566" s="82"/>
      <c r="J2566" s="82"/>
      <c r="K2566" s="82"/>
      <c r="L2566" s="82"/>
      <c r="M2566" s="82"/>
      <c r="N2566" s="82"/>
      <c r="O2566" s="82"/>
      <c r="P2566" s="82"/>
      <c r="Q2566" s="82"/>
      <c r="R2566" s="82"/>
      <c r="S2566" s="82"/>
      <c r="T2566" s="82"/>
      <c r="U2566" s="82"/>
      <c r="V2566" s="82"/>
      <c r="W2566" s="82"/>
      <c r="X2566" s="82"/>
      <c r="Y2566" s="82"/>
      <c r="Z2566" s="82"/>
    </row>
    <row r="2567" spans="1:26">
      <c r="A2567" s="81"/>
      <c r="F2567" s="81"/>
      <c r="G2567" s="82"/>
      <c r="H2567" s="82"/>
      <c r="I2567" s="82"/>
      <c r="J2567" s="82"/>
      <c r="K2567" s="82"/>
      <c r="L2567" s="82"/>
      <c r="M2567" s="82"/>
      <c r="N2567" s="82"/>
      <c r="O2567" s="82"/>
      <c r="P2567" s="82"/>
      <c r="Q2567" s="82"/>
      <c r="R2567" s="82"/>
      <c r="S2567" s="82"/>
      <c r="T2567" s="82"/>
      <c r="U2567" s="82"/>
      <c r="V2567" s="82"/>
      <c r="W2567" s="82"/>
      <c r="X2567" s="82"/>
      <c r="Y2567" s="82"/>
      <c r="Z2567" s="82"/>
    </row>
    <row r="2568" spans="1:26">
      <c r="A2568" s="81"/>
      <c r="F2568" s="81"/>
      <c r="G2568" s="82"/>
      <c r="H2568" s="82"/>
      <c r="I2568" s="82"/>
      <c r="J2568" s="82"/>
      <c r="K2568" s="82"/>
      <c r="L2568" s="82"/>
      <c r="M2568" s="82"/>
      <c r="N2568" s="82"/>
      <c r="O2568" s="82"/>
      <c r="P2568" s="82"/>
      <c r="Q2568" s="82"/>
      <c r="R2568" s="82"/>
      <c r="S2568" s="82"/>
      <c r="T2568" s="82"/>
      <c r="U2568" s="82"/>
      <c r="V2568" s="82"/>
      <c r="W2568" s="82"/>
      <c r="X2568" s="82"/>
      <c r="Y2568" s="82"/>
      <c r="Z2568" s="82"/>
    </row>
    <row r="2569" spans="1:26">
      <c r="A2569" s="81"/>
      <c r="F2569" s="81"/>
      <c r="G2569" s="82"/>
      <c r="H2569" s="82"/>
      <c r="I2569" s="82"/>
      <c r="J2569" s="82"/>
      <c r="K2569" s="82"/>
      <c r="L2569" s="82"/>
      <c r="M2569" s="82"/>
      <c r="N2569" s="82"/>
      <c r="O2569" s="82"/>
      <c r="P2569" s="82"/>
      <c r="Q2569" s="82"/>
      <c r="R2569" s="82"/>
      <c r="S2569" s="82"/>
      <c r="T2569" s="82"/>
      <c r="U2569" s="82"/>
      <c r="V2569" s="82"/>
      <c r="W2569" s="82"/>
      <c r="X2569" s="82"/>
      <c r="Y2569" s="82"/>
      <c r="Z2569" s="82"/>
    </row>
    <row r="2570" spans="1:26">
      <c r="A2570" s="81"/>
      <c r="F2570" s="81"/>
      <c r="G2570" s="82"/>
      <c r="H2570" s="82"/>
      <c r="I2570" s="82"/>
      <c r="J2570" s="82"/>
      <c r="K2570" s="82"/>
      <c r="L2570" s="82"/>
      <c r="M2570" s="82"/>
      <c r="N2570" s="82"/>
      <c r="O2570" s="82"/>
      <c r="P2570" s="82"/>
      <c r="Q2570" s="82"/>
      <c r="R2570" s="82"/>
      <c r="S2570" s="82"/>
      <c r="T2570" s="82"/>
      <c r="U2570" s="82"/>
      <c r="V2570" s="82"/>
      <c r="W2570" s="82"/>
      <c r="X2570" s="82"/>
      <c r="Y2570" s="82"/>
      <c r="Z2570" s="82"/>
    </row>
    <row r="2571" spans="1:26">
      <c r="A2571" s="81"/>
      <c r="F2571" s="81"/>
      <c r="G2571" s="82"/>
      <c r="H2571" s="82"/>
      <c r="I2571" s="82"/>
      <c r="J2571" s="82"/>
      <c r="K2571" s="82"/>
      <c r="L2571" s="82"/>
      <c r="M2571" s="82"/>
      <c r="N2571" s="82"/>
      <c r="O2571" s="82"/>
      <c r="P2571" s="82"/>
      <c r="Q2571" s="82"/>
      <c r="R2571" s="82"/>
      <c r="S2571" s="82"/>
      <c r="T2571" s="82"/>
      <c r="U2571" s="82"/>
      <c r="V2571" s="82"/>
      <c r="W2571" s="82"/>
      <c r="X2571" s="82"/>
      <c r="Y2571" s="82"/>
      <c r="Z2571" s="82"/>
    </row>
    <row r="2572" spans="1:26">
      <c r="A2572" s="81"/>
      <c r="F2572" s="81"/>
      <c r="G2572" s="82"/>
      <c r="H2572" s="82"/>
      <c r="I2572" s="82"/>
      <c r="J2572" s="82"/>
      <c r="K2572" s="82"/>
      <c r="L2572" s="82"/>
      <c r="M2572" s="82"/>
      <c r="N2572" s="82"/>
      <c r="O2572" s="82"/>
      <c r="P2572" s="82"/>
      <c r="Q2572" s="82"/>
      <c r="R2572" s="82"/>
      <c r="S2572" s="82"/>
      <c r="T2572" s="82"/>
      <c r="U2572" s="82"/>
      <c r="V2572" s="82"/>
      <c r="W2572" s="82"/>
      <c r="X2572" s="82"/>
      <c r="Y2572" s="82"/>
      <c r="Z2572" s="82"/>
    </row>
    <row r="2573" spans="1:26">
      <c r="A2573" s="81"/>
      <c r="F2573" s="81"/>
      <c r="G2573" s="82"/>
      <c r="H2573" s="82"/>
      <c r="I2573" s="82"/>
      <c r="J2573" s="82"/>
      <c r="K2573" s="82"/>
      <c r="L2573" s="82"/>
      <c r="M2573" s="82"/>
      <c r="N2573" s="82"/>
      <c r="O2573" s="82"/>
      <c r="P2573" s="82"/>
      <c r="Q2573" s="82"/>
      <c r="R2573" s="82"/>
      <c r="S2573" s="82"/>
      <c r="T2573" s="82"/>
      <c r="U2573" s="82"/>
      <c r="V2573" s="82"/>
      <c r="W2573" s="82"/>
      <c r="X2573" s="82"/>
      <c r="Y2573" s="82"/>
      <c r="Z2573" s="82"/>
    </row>
    <row r="2574" spans="1:26">
      <c r="A2574" s="81"/>
      <c r="F2574" s="81"/>
      <c r="G2574" s="82"/>
      <c r="H2574" s="82"/>
      <c r="I2574" s="82"/>
      <c r="J2574" s="82"/>
      <c r="K2574" s="82"/>
      <c r="L2574" s="82"/>
      <c r="M2574" s="82"/>
      <c r="N2574" s="82"/>
      <c r="O2574" s="82"/>
      <c r="P2574" s="82"/>
      <c r="Q2574" s="82"/>
      <c r="R2574" s="82"/>
      <c r="S2574" s="82"/>
      <c r="T2574" s="82"/>
      <c r="U2574" s="82"/>
      <c r="V2574" s="82"/>
      <c r="W2574" s="82"/>
      <c r="X2574" s="82"/>
      <c r="Y2574" s="82"/>
      <c r="Z2574" s="82"/>
    </row>
    <row r="2575" spans="1:26">
      <c r="A2575" s="81"/>
      <c r="F2575" s="81"/>
      <c r="G2575" s="82"/>
      <c r="H2575" s="82"/>
      <c r="I2575" s="82"/>
      <c r="J2575" s="82"/>
      <c r="K2575" s="82"/>
      <c r="L2575" s="82"/>
      <c r="M2575" s="82"/>
      <c r="N2575" s="82"/>
      <c r="O2575" s="82"/>
      <c r="P2575" s="82"/>
      <c r="Q2575" s="82"/>
      <c r="R2575" s="82"/>
      <c r="S2575" s="82"/>
      <c r="T2575" s="82"/>
      <c r="U2575" s="82"/>
      <c r="V2575" s="82"/>
      <c r="W2575" s="82"/>
      <c r="X2575" s="82"/>
      <c r="Y2575" s="82"/>
      <c r="Z2575" s="82"/>
    </row>
    <row r="2576" spans="1:26">
      <c r="A2576" s="81"/>
      <c r="F2576" s="81"/>
      <c r="G2576" s="82"/>
      <c r="H2576" s="82"/>
      <c r="I2576" s="82"/>
      <c r="J2576" s="82"/>
      <c r="K2576" s="82"/>
      <c r="L2576" s="82"/>
      <c r="M2576" s="82"/>
      <c r="N2576" s="82"/>
      <c r="O2576" s="82"/>
      <c r="P2576" s="82"/>
      <c r="Q2576" s="82"/>
      <c r="R2576" s="82"/>
      <c r="S2576" s="82"/>
      <c r="T2576" s="82"/>
      <c r="U2576" s="82"/>
      <c r="V2576" s="82"/>
      <c r="W2576" s="82"/>
      <c r="X2576" s="82"/>
      <c r="Y2576" s="82"/>
      <c r="Z2576" s="82"/>
    </row>
    <row r="2577" spans="1:26">
      <c r="A2577" s="81"/>
      <c r="F2577" s="81"/>
      <c r="G2577" s="82"/>
      <c r="H2577" s="82"/>
      <c r="I2577" s="82"/>
      <c r="J2577" s="82"/>
      <c r="K2577" s="82"/>
      <c r="L2577" s="82"/>
      <c r="M2577" s="82"/>
      <c r="N2577" s="82"/>
      <c r="O2577" s="82"/>
      <c r="P2577" s="82"/>
      <c r="Q2577" s="82"/>
      <c r="R2577" s="82"/>
      <c r="S2577" s="82"/>
      <c r="T2577" s="82"/>
      <c r="U2577" s="82"/>
      <c r="V2577" s="82"/>
      <c r="W2577" s="82"/>
      <c r="X2577" s="82"/>
      <c r="Y2577" s="82"/>
      <c r="Z2577" s="82"/>
    </row>
    <row r="2578" spans="1:26">
      <c r="A2578" s="81"/>
      <c r="F2578" s="81"/>
      <c r="G2578" s="82"/>
      <c r="H2578" s="82"/>
      <c r="I2578" s="82"/>
      <c r="J2578" s="82"/>
      <c r="K2578" s="82"/>
      <c r="L2578" s="82"/>
      <c r="M2578" s="82"/>
      <c r="N2578" s="82"/>
      <c r="O2578" s="82"/>
      <c r="P2578" s="82"/>
      <c r="Q2578" s="82"/>
      <c r="R2578" s="82"/>
      <c r="S2578" s="82"/>
      <c r="T2578" s="82"/>
      <c r="U2578" s="82"/>
      <c r="V2578" s="82"/>
      <c r="W2578" s="82"/>
      <c r="X2578" s="82"/>
      <c r="Y2578" s="82"/>
      <c r="Z2578" s="82"/>
    </row>
    <row r="2579" spans="1:26">
      <c r="A2579" s="81"/>
      <c r="F2579" s="81"/>
      <c r="G2579" s="82"/>
      <c r="H2579" s="82"/>
      <c r="I2579" s="82"/>
      <c r="J2579" s="82"/>
      <c r="K2579" s="82"/>
      <c r="L2579" s="82"/>
      <c r="M2579" s="82"/>
      <c r="N2579" s="82"/>
      <c r="O2579" s="82"/>
      <c r="P2579" s="82"/>
      <c r="Q2579" s="82"/>
      <c r="R2579" s="82"/>
      <c r="S2579" s="82"/>
      <c r="T2579" s="82"/>
      <c r="U2579" s="82"/>
      <c r="V2579" s="82"/>
      <c r="W2579" s="82"/>
      <c r="X2579" s="82"/>
      <c r="Y2579" s="82"/>
      <c r="Z2579" s="82"/>
    </row>
    <row r="2580" spans="1:26">
      <c r="A2580" s="81"/>
      <c r="F2580" s="81"/>
      <c r="G2580" s="82"/>
      <c r="H2580" s="82"/>
      <c r="I2580" s="82"/>
      <c r="J2580" s="82"/>
      <c r="K2580" s="82"/>
      <c r="L2580" s="82"/>
      <c r="M2580" s="82"/>
      <c r="N2580" s="82"/>
      <c r="O2580" s="82"/>
      <c r="P2580" s="82"/>
      <c r="Q2580" s="82"/>
      <c r="R2580" s="82"/>
      <c r="S2580" s="82"/>
      <c r="T2580" s="82"/>
      <c r="U2580" s="82"/>
      <c r="V2580" s="82"/>
      <c r="W2580" s="82"/>
      <c r="X2580" s="82"/>
      <c r="Y2580" s="82"/>
      <c r="Z2580" s="82"/>
    </row>
    <row r="2581" spans="1:26">
      <c r="A2581" s="81"/>
      <c r="F2581" s="81"/>
      <c r="G2581" s="82"/>
      <c r="H2581" s="82"/>
      <c r="I2581" s="82"/>
      <c r="J2581" s="82"/>
      <c r="K2581" s="82"/>
      <c r="L2581" s="82"/>
      <c r="M2581" s="82"/>
      <c r="N2581" s="82"/>
      <c r="O2581" s="82"/>
      <c r="P2581" s="82"/>
      <c r="Q2581" s="82"/>
      <c r="R2581" s="82"/>
      <c r="S2581" s="82"/>
      <c r="T2581" s="82"/>
      <c r="U2581" s="82"/>
      <c r="V2581" s="82"/>
      <c r="W2581" s="82"/>
      <c r="X2581" s="82"/>
      <c r="Y2581" s="82"/>
      <c r="Z2581" s="82"/>
    </row>
    <row r="2582" spans="1:26">
      <c r="A2582" s="81"/>
      <c r="F2582" s="81"/>
      <c r="G2582" s="82"/>
      <c r="H2582" s="82"/>
      <c r="I2582" s="82"/>
      <c r="J2582" s="82"/>
      <c r="K2582" s="82"/>
      <c r="L2582" s="82"/>
      <c r="M2582" s="82"/>
      <c r="N2582" s="82"/>
      <c r="O2582" s="82"/>
      <c r="P2582" s="82"/>
      <c r="Q2582" s="82"/>
      <c r="R2582" s="82"/>
      <c r="S2582" s="82"/>
      <c r="T2582" s="82"/>
      <c r="U2582" s="82"/>
      <c r="V2582" s="82"/>
      <c r="W2582" s="82"/>
      <c r="X2582" s="82"/>
      <c r="Y2582" s="82"/>
      <c r="Z2582" s="82"/>
    </row>
    <row r="2583" spans="1:26">
      <c r="A2583" s="81"/>
      <c r="F2583" s="81"/>
      <c r="G2583" s="82"/>
      <c r="H2583" s="82"/>
      <c r="I2583" s="82"/>
      <c r="J2583" s="82"/>
      <c r="K2583" s="82"/>
      <c r="L2583" s="82"/>
      <c r="M2583" s="82"/>
      <c r="N2583" s="82"/>
      <c r="O2583" s="82"/>
      <c r="P2583" s="82"/>
      <c r="Q2583" s="82"/>
      <c r="R2583" s="82"/>
      <c r="S2583" s="82"/>
      <c r="T2583" s="82"/>
      <c r="U2583" s="82"/>
      <c r="V2583" s="82"/>
      <c r="W2583" s="82"/>
      <c r="X2583" s="82"/>
      <c r="Y2583" s="82"/>
      <c r="Z2583" s="82"/>
    </row>
    <row r="2584" spans="1:26">
      <c r="A2584" s="81"/>
      <c r="F2584" s="81"/>
      <c r="G2584" s="82"/>
      <c r="H2584" s="82"/>
      <c r="I2584" s="82"/>
      <c r="J2584" s="82"/>
      <c r="K2584" s="82"/>
      <c r="L2584" s="82"/>
      <c r="M2584" s="82"/>
      <c r="N2584" s="82"/>
      <c r="O2584" s="82"/>
      <c r="P2584" s="82"/>
      <c r="Q2584" s="82"/>
      <c r="R2584" s="82"/>
      <c r="S2584" s="82"/>
      <c r="T2584" s="82"/>
      <c r="U2584" s="82"/>
      <c r="V2584" s="82"/>
      <c r="W2584" s="82"/>
      <c r="X2584" s="82"/>
      <c r="Y2584" s="82"/>
      <c r="Z2584" s="82"/>
    </row>
    <row r="2585" spans="1:26">
      <c r="A2585" s="81"/>
      <c r="F2585" s="81"/>
      <c r="G2585" s="82"/>
      <c r="H2585" s="82"/>
      <c r="I2585" s="82"/>
      <c r="J2585" s="82"/>
      <c r="K2585" s="82"/>
      <c r="L2585" s="82"/>
      <c r="M2585" s="82"/>
      <c r="N2585" s="82"/>
      <c r="O2585" s="82"/>
      <c r="P2585" s="82"/>
      <c r="Q2585" s="82"/>
      <c r="R2585" s="82"/>
      <c r="S2585" s="82"/>
      <c r="T2585" s="82"/>
      <c r="U2585" s="82"/>
      <c r="V2585" s="82"/>
      <c r="W2585" s="82"/>
      <c r="X2585" s="82"/>
      <c r="Y2585" s="82"/>
      <c r="Z2585" s="82"/>
    </row>
    <row r="2586" spans="1:26">
      <c r="A2586" s="81"/>
      <c r="F2586" s="81"/>
      <c r="G2586" s="82"/>
      <c r="H2586" s="82"/>
      <c r="I2586" s="82"/>
      <c r="J2586" s="82"/>
      <c r="K2586" s="82"/>
      <c r="L2586" s="82"/>
      <c r="M2586" s="82"/>
      <c r="N2586" s="82"/>
      <c r="O2586" s="82"/>
      <c r="P2586" s="82"/>
      <c r="Q2586" s="82"/>
      <c r="R2586" s="82"/>
      <c r="S2586" s="82"/>
      <c r="T2586" s="82"/>
      <c r="U2586" s="82"/>
      <c r="V2586" s="82"/>
      <c r="W2586" s="82"/>
      <c r="X2586" s="82"/>
      <c r="Y2586" s="82"/>
      <c r="Z2586" s="82"/>
    </row>
    <row r="2587" spans="1:26">
      <c r="A2587" s="81"/>
      <c r="F2587" s="81"/>
      <c r="G2587" s="82"/>
      <c r="H2587" s="82"/>
      <c r="I2587" s="82"/>
      <c r="J2587" s="82"/>
      <c r="K2587" s="82"/>
      <c r="L2587" s="82"/>
      <c r="M2587" s="82"/>
      <c r="N2587" s="82"/>
      <c r="O2587" s="82"/>
      <c r="P2587" s="82"/>
      <c r="Q2587" s="82"/>
      <c r="R2587" s="82"/>
      <c r="S2587" s="82"/>
      <c r="T2587" s="82"/>
      <c r="U2587" s="82"/>
      <c r="V2587" s="82"/>
      <c r="W2587" s="82"/>
      <c r="X2587" s="82"/>
      <c r="Y2587" s="82"/>
      <c r="Z2587" s="82"/>
    </row>
    <row r="2588" spans="1:26">
      <c r="A2588" s="81"/>
      <c r="F2588" s="81"/>
      <c r="G2588" s="82"/>
      <c r="H2588" s="82"/>
      <c r="I2588" s="82"/>
      <c r="J2588" s="82"/>
      <c r="K2588" s="82"/>
      <c r="L2588" s="82"/>
      <c r="M2588" s="82"/>
      <c r="N2588" s="82"/>
      <c r="O2588" s="82"/>
      <c r="P2588" s="82"/>
      <c r="Q2588" s="82"/>
      <c r="R2588" s="82"/>
      <c r="S2588" s="82"/>
      <c r="T2588" s="82"/>
      <c r="U2588" s="82"/>
      <c r="V2588" s="82"/>
      <c r="W2588" s="82"/>
      <c r="X2588" s="82"/>
      <c r="Y2588" s="82"/>
      <c r="Z2588" s="82"/>
    </row>
    <row r="2589" spans="1:26">
      <c r="A2589" s="81"/>
      <c r="F2589" s="81"/>
      <c r="G2589" s="82"/>
      <c r="H2589" s="82"/>
      <c r="I2589" s="82"/>
      <c r="J2589" s="82"/>
      <c r="K2589" s="82"/>
      <c r="L2589" s="82"/>
      <c r="M2589" s="82"/>
      <c r="N2589" s="82"/>
      <c r="O2589" s="82"/>
      <c r="P2589" s="82"/>
      <c r="Q2589" s="82"/>
      <c r="R2589" s="82"/>
      <c r="S2589" s="82"/>
      <c r="T2589" s="82"/>
      <c r="U2589" s="82"/>
      <c r="V2589" s="82"/>
      <c r="W2589" s="82"/>
      <c r="X2589" s="82"/>
      <c r="Y2589" s="82"/>
      <c r="Z2589" s="82"/>
    </row>
    <row r="2590" spans="1:26">
      <c r="A2590" s="81"/>
      <c r="F2590" s="81"/>
      <c r="G2590" s="82"/>
      <c r="H2590" s="82"/>
      <c r="I2590" s="82"/>
      <c r="J2590" s="82"/>
      <c r="K2590" s="82"/>
      <c r="L2590" s="82"/>
      <c r="M2590" s="82"/>
      <c r="N2590" s="82"/>
      <c r="O2590" s="82"/>
      <c r="P2590" s="82"/>
      <c r="Q2590" s="82"/>
      <c r="R2590" s="82"/>
      <c r="S2590" s="82"/>
      <c r="T2590" s="82"/>
      <c r="U2590" s="82"/>
      <c r="V2590" s="82"/>
      <c r="W2590" s="82"/>
      <c r="X2590" s="82"/>
      <c r="Y2590" s="82"/>
      <c r="Z2590" s="82"/>
    </row>
    <row r="2591" spans="1:26">
      <c r="A2591" s="81"/>
      <c r="F2591" s="81"/>
      <c r="G2591" s="82"/>
      <c r="H2591" s="82"/>
      <c r="I2591" s="82"/>
      <c r="J2591" s="82"/>
      <c r="K2591" s="82"/>
      <c r="L2591" s="82"/>
      <c r="M2591" s="82"/>
      <c r="N2591" s="82"/>
      <c r="O2591" s="82"/>
      <c r="P2591" s="82"/>
      <c r="Q2591" s="82"/>
      <c r="R2591" s="82"/>
      <c r="S2591" s="82"/>
      <c r="T2591" s="82"/>
      <c r="U2591" s="82"/>
      <c r="V2591" s="82"/>
      <c r="W2591" s="82"/>
      <c r="X2591" s="82"/>
      <c r="Y2591" s="82"/>
      <c r="Z2591" s="82"/>
    </row>
    <row r="2592" spans="1:26">
      <c r="A2592" s="81"/>
      <c r="F2592" s="81"/>
      <c r="G2592" s="82"/>
      <c r="H2592" s="82"/>
      <c r="I2592" s="82"/>
      <c r="J2592" s="82"/>
      <c r="K2592" s="82"/>
      <c r="L2592" s="82"/>
      <c r="M2592" s="82"/>
      <c r="N2592" s="82"/>
      <c r="O2592" s="82"/>
      <c r="P2592" s="82"/>
      <c r="Q2592" s="82"/>
      <c r="R2592" s="82"/>
      <c r="S2592" s="82"/>
      <c r="T2592" s="82"/>
      <c r="U2592" s="82"/>
      <c r="V2592" s="82"/>
      <c r="W2592" s="82"/>
      <c r="X2592" s="82"/>
      <c r="Y2592" s="82"/>
      <c r="Z2592" s="82"/>
    </row>
    <row r="2593" spans="1:26">
      <c r="A2593" s="81"/>
      <c r="F2593" s="81"/>
      <c r="G2593" s="82"/>
      <c r="H2593" s="82"/>
      <c r="I2593" s="82"/>
      <c r="J2593" s="82"/>
      <c r="K2593" s="82"/>
      <c r="L2593" s="82"/>
      <c r="M2593" s="82"/>
      <c r="N2593" s="82"/>
      <c r="O2593" s="82"/>
      <c r="P2593" s="82"/>
      <c r="Q2593" s="82"/>
      <c r="R2593" s="82"/>
      <c r="S2593" s="82"/>
      <c r="T2593" s="82"/>
      <c r="U2593" s="82"/>
      <c r="V2593" s="82"/>
      <c r="W2593" s="82"/>
      <c r="X2593" s="82"/>
      <c r="Y2593" s="82"/>
      <c r="Z2593" s="82"/>
    </row>
    <row r="2594" spans="1:26">
      <c r="A2594" s="81"/>
      <c r="F2594" s="81"/>
      <c r="G2594" s="82"/>
      <c r="H2594" s="82"/>
      <c r="I2594" s="82"/>
      <c r="J2594" s="82"/>
      <c r="K2594" s="82"/>
      <c r="L2594" s="82"/>
      <c r="M2594" s="82"/>
      <c r="N2594" s="82"/>
      <c r="O2594" s="82"/>
      <c r="P2594" s="82"/>
      <c r="Q2594" s="82"/>
      <c r="R2594" s="82"/>
      <c r="S2594" s="82"/>
      <c r="T2594" s="82"/>
      <c r="U2594" s="82"/>
      <c r="V2594" s="82"/>
      <c r="W2594" s="82"/>
      <c r="X2594" s="82"/>
      <c r="Y2594" s="82"/>
      <c r="Z2594" s="82"/>
    </row>
    <row r="2595" spans="1:26">
      <c r="A2595" s="81"/>
      <c r="F2595" s="81"/>
      <c r="G2595" s="82"/>
      <c r="H2595" s="82"/>
      <c r="I2595" s="82"/>
      <c r="J2595" s="82"/>
      <c r="K2595" s="82"/>
      <c r="L2595" s="82"/>
      <c r="M2595" s="82"/>
      <c r="N2595" s="82"/>
      <c r="O2595" s="82"/>
      <c r="P2595" s="82"/>
      <c r="Q2595" s="82"/>
      <c r="R2595" s="82"/>
      <c r="S2595" s="82"/>
      <c r="T2595" s="82"/>
      <c r="U2595" s="82"/>
      <c r="V2595" s="82"/>
      <c r="W2595" s="82"/>
      <c r="X2595" s="82"/>
      <c r="Y2595" s="82"/>
      <c r="Z2595" s="82"/>
    </row>
    <row r="2596" spans="1:26">
      <c r="A2596" s="81"/>
      <c r="F2596" s="81"/>
      <c r="G2596" s="82"/>
      <c r="H2596" s="82"/>
      <c r="I2596" s="82"/>
      <c r="J2596" s="82"/>
      <c r="K2596" s="82"/>
      <c r="L2596" s="82"/>
      <c r="M2596" s="82"/>
      <c r="N2596" s="82"/>
      <c r="O2596" s="82"/>
      <c r="P2596" s="82"/>
      <c r="Q2596" s="82"/>
      <c r="R2596" s="82"/>
      <c r="S2596" s="82"/>
      <c r="T2596" s="82"/>
      <c r="U2596" s="82"/>
      <c r="V2596" s="82"/>
      <c r="W2596" s="82"/>
      <c r="X2596" s="82"/>
      <c r="Y2596" s="82"/>
      <c r="Z2596" s="82"/>
    </row>
    <row r="2597" spans="1:26">
      <c r="A2597" s="81"/>
      <c r="F2597" s="81"/>
      <c r="G2597" s="82"/>
      <c r="H2597" s="82"/>
      <c r="I2597" s="82"/>
      <c r="J2597" s="82"/>
      <c r="K2597" s="82"/>
      <c r="L2597" s="82"/>
      <c r="M2597" s="82"/>
      <c r="N2597" s="82"/>
      <c r="O2597" s="82"/>
      <c r="P2597" s="82"/>
      <c r="Q2597" s="82"/>
      <c r="R2597" s="82"/>
      <c r="S2597" s="82"/>
      <c r="T2597" s="82"/>
      <c r="U2597" s="82"/>
      <c r="V2597" s="82"/>
      <c r="W2597" s="82"/>
      <c r="X2597" s="82"/>
      <c r="Y2597" s="82"/>
      <c r="Z2597" s="82"/>
    </row>
    <row r="2598" spans="1:26">
      <c r="A2598" s="81"/>
      <c r="F2598" s="81"/>
      <c r="G2598" s="82"/>
      <c r="H2598" s="82"/>
      <c r="I2598" s="82"/>
      <c r="J2598" s="82"/>
      <c r="K2598" s="82"/>
      <c r="L2598" s="82"/>
      <c r="M2598" s="82"/>
      <c r="N2598" s="82"/>
      <c r="O2598" s="82"/>
      <c r="P2598" s="82"/>
      <c r="Q2598" s="82"/>
      <c r="R2598" s="82"/>
      <c r="S2598" s="82"/>
      <c r="T2598" s="82"/>
      <c r="U2598" s="82"/>
      <c r="V2598" s="82"/>
      <c r="W2598" s="82"/>
      <c r="X2598" s="82"/>
      <c r="Y2598" s="82"/>
      <c r="Z2598" s="82"/>
    </row>
    <row r="2599" spans="1:26">
      <c r="A2599" s="81"/>
      <c r="F2599" s="81"/>
      <c r="G2599" s="82"/>
      <c r="H2599" s="82"/>
      <c r="I2599" s="82"/>
      <c r="J2599" s="82"/>
      <c r="K2599" s="82"/>
      <c r="L2599" s="82"/>
      <c r="M2599" s="82"/>
      <c r="N2599" s="82"/>
      <c r="O2599" s="82"/>
      <c r="P2599" s="82"/>
      <c r="Q2599" s="82"/>
      <c r="R2599" s="82"/>
      <c r="S2599" s="82"/>
      <c r="T2599" s="82"/>
      <c r="U2599" s="82"/>
      <c r="V2599" s="82"/>
      <c r="W2599" s="82"/>
      <c r="X2599" s="82"/>
      <c r="Y2599" s="82"/>
      <c r="Z2599" s="82"/>
    </row>
    <row r="2600" spans="1:26">
      <c r="A2600" s="81"/>
      <c r="F2600" s="81"/>
      <c r="G2600" s="82"/>
      <c r="H2600" s="82"/>
      <c r="I2600" s="82"/>
      <c r="J2600" s="82"/>
      <c r="K2600" s="82"/>
      <c r="L2600" s="82"/>
      <c r="M2600" s="82"/>
      <c r="N2600" s="82"/>
      <c r="O2600" s="82"/>
      <c r="P2600" s="82"/>
      <c r="Q2600" s="82"/>
      <c r="R2600" s="82"/>
      <c r="S2600" s="82"/>
      <c r="T2600" s="82"/>
      <c r="U2600" s="82"/>
      <c r="V2600" s="82"/>
      <c r="W2600" s="82"/>
      <c r="X2600" s="82"/>
      <c r="Y2600" s="82"/>
      <c r="Z2600" s="82"/>
    </row>
    <row r="2601" spans="1:26">
      <c r="A2601" s="81"/>
      <c r="F2601" s="81"/>
      <c r="G2601" s="82"/>
      <c r="H2601" s="82"/>
      <c r="I2601" s="82"/>
      <c r="J2601" s="82"/>
      <c r="K2601" s="82"/>
      <c r="L2601" s="82"/>
      <c r="M2601" s="82"/>
      <c r="N2601" s="82"/>
      <c r="O2601" s="82"/>
      <c r="P2601" s="82"/>
      <c r="Q2601" s="82"/>
      <c r="R2601" s="82"/>
      <c r="S2601" s="82"/>
      <c r="T2601" s="82"/>
      <c r="U2601" s="82"/>
      <c r="V2601" s="82"/>
      <c r="W2601" s="82"/>
      <c r="X2601" s="82"/>
      <c r="Y2601" s="82"/>
      <c r="Z2601" s="82"/>
    </row>
    <row r="2602" spans="1:26">
      <c r="A2602" s="81"/>
      <c r="F2602" s="81"/>
      <c r="G2602" s="82"/>
      <c r="H2602" s="82"/>
      <c r="I2602" s="82"/>
      <c r="J2602" s="82"/>
      <c r="K2602" s="82"/>
      <c r="L2602" s="82"/>
      <c r="M2602" s="82"/>
      <c r="N2602" s="82"/>
      <c r="O2602" s="82"/>
      <c r="P2602" s="82"/>
      <c r="Q2602" s="82"/>
      <c r="R2602" s="82"/>
      <c r="S2602" s="82"/>
      <c r="T2602" s="82"/>
      <c r="U2602" s="82"/>
      <c r="V2602" s="82"/>
      <c r="W2602" s="82"/>
      <c r="X2602" s="82"/>
      <c r="Y2602" s="82"/>
      <c r="Z2602" s="82"/>
    </row>
    <row r="2603" spans="1:26">
      <c r="A2603" s="81"/>
      <c r="F2603" s="81"/>
      <c r="G2603" s="82"/>
      <c r="H2603" s="82"/>
      <c r="I2603" s="82"/>
      <c r="J2603" s="82"/>
      <c r="K2603" s="82"/>
      <c r="L2603" s="82"/>
      <c r="M2603" s="82"/>
      <c r="N2603" s="82"/>
      <c r="O2603" s="82"/>
      <c r="P2603" s="82"/>
      <c r="Q2603" s="82"/>
      <c r="R2603" s="82"/>
      <c r="S2603" s="82"/>
      <c r="T2603" s="82"/>
      <c r="U2603" s="82"/>
      <c r="V2603" s="82"/>
      <c r="W2603" s="82"/>
      <c r="X2603" s="82"/>
      <c r="Y2603" s="82"/>
      <c r="Z2603" s="82"/>
    </row>
    <row r="2604" spans="1:26">
      <c r="A2604" s="81"/>
      <c r="F2604" s="81"/>
      <c r="G2604" s="82"/>
      <c r="H2604" s="82"/>
      <c r="I2604" s="82"/>
      <c r="J2604" s="82"/>
      <c r="K2604" s="82"/>
      <c r="L2604" s="82"/>
      <c r="M2604" s="82"/>
      <c r="N2604" s="82"/>
      <c r="O2604" s="82"/>
      <c r="P2604" s="82"/>
      <c r="Q2604" s="82"/>
      <c r="R2604" s="82"/>
      <c r="S2604" s="82"/>
      <c r="T2604" s="82"/>
      <c r="U2604" s="82"/>
      <c r="V2604" s="82"/>
      <c r="W2604" s="82"/>
      <c r="X2604" s="82"/>
      <c r="Y2604" s="82"/>
      <c r="Z2604" s="82"/>
    </row>
    <row r="2605" spans="1:26">
      <c r="A2605" s="81"/>
      <c r="F2605" s="81"/>
      <c r="G2605" s="82"/>
      <c r="H2605" s="82"/>
      <c r="I2605" s="82"/>
      <c r="J2605" s="82"/>
      <c r="K2605" s="82"/>
      <c r="L2605" s="82"/>
      <c r="M2605" s="82"/>
      <c r="N2605" s="82"/>
      <c r="O2605" s="82"/>
      <c r="P2605" s="82"/>
      <c r="Q2605" s="82"/>
      <c r="R2605" s="82"/>
      <c r="S2605" s="82"/>
      <c r="T2605" s="82"/>
      <c r="U2605" s="82"/>
      <c r="V2605" s="82"/>
      <c r="W2605" s="82"/>
      <c r="X2605" s="82"/>
      <c r="Y2605" s="82"/>
      <c r="Z2605" s="82"/>
    </row>
    <row r="2606" spans="1:26">
      <c r="A2606" s="81"/>
      <c r="F2606" s="81"/>
      <c r="G2606" s="82"/>
      <c r="H2606" s="82"/>
      <c r="I2606" s="82"/>
      <c r="J2606" s="82"/>
      <c r="K2606" s="82"/>
      <c r="L2606" s="82"/>
      <c r="M2606" s="82"/>
      <c r="N2606" s="82"/>
      <c r="O2606" s="82"/>
      <c r="P2606" s="82"/>
      <c r="Q2606" s="82"/>
      <c r="R2606" s="82"/>
      <c r="S2606" s="82"/>
      <c r="T2606" s="82"/>
      <c r="U2606" s="82"/>
      <c r="V2606" s="82"/>
      <c r="W2606" s="82"/>
      <c r="X2606" s="82"/>
      <c r="Y2606" s="82"/>
      <c r="Z2606" s="82"/>
    </row>
    <row r="2607" spans="1:26">
      <c r="A2607" s="81"/>
      <c r="F2607" s="81"/>
      <c r="G2607" s="82"/>
      <c r="H2607" s="82"/>
      <c r="I2607" s="82"/>
      <c r="J2607" s="82"/>
      <c r="K2607" s="82"/>
      <c r="L2607" s="82"/>
      <c r="M2607" s="82"/>
      <c r="N2607" s="82"/>
      <c r="O2607" s="82"/>
      <c r="P2607" s="82"/>
      <c r="Q2607" s="82"/>
      <c r="R2607" s="82"/>
      <c r="S2607" s="82"/>
      <c r="T2607" s="82"/>
      <c r="U2607" s="82"/>
      <c r="V2607" s="82"/>
      <c r="W2607" s="82"/>
      <c r="X2607" s="82"/>
      <c r="Y2607" s="82"/>
      <c r="Z2607" s="82"/>
    </row>
    <row r="2608" spans="1:26">
      <c r="A2608" s="81"/>
      <c r="F2608" s="81"/>
      <c r="G2608" s="82"/>
      <c r="H2608" s="82"/>
      <c r="I2608" s="82"/>
      <c r="J2608" s="82"/>
      <c r="K2608" s="82"/>
      <c r="L2608" s="82"/>
      <c r="M2608" s="82"/>
      <c r="N2608" s="82"/>
      <c r="O2608" s="82"/>
      <c r="P2608" s="82"/>
      <c r="Q2608" s="82"/>
      <c r="R2608" s="82"/>
      <c r="S2608" s="82"/>
      <c r="T2608" s="82"/>
      <c r="U2608" s="82"/>
      <c r="V2608" s="82"/>
      <c r="W2608" s="82"/>
      <c r="X2608" s="82"/>
      <c r="Y2608" s="82"/>
      <c r="Z2608" s="82"/>
    </row>
    <row r="2609" spans="1:26">
      <c r="A2609" s="81"/>
      <c r="F2609" s="81"/>
      <c r="G2609" s="82"/>
      <c r="H2609" s="82"/>
      <c r="I2609" s="82"/>
      <c r="J2609" s="82"/>
      <c r="K2609" s="82"/>
      <c r="L2609" s="82"/>
      <c r="M2609" s="82"/>
      <c r="N2609" s="82"/>
      <c r="O2609" s="82"/>
      <c r="P2609" s="82"/>
      <c r="Q2609" s="82"/>
      <c r="R2609" s="82"/>
      <c r="S2609" s="82"/>
      <c r="T2609" s="82"/>
      <c r="U2609" s="82"/>
      <c r="V2609" s="82"/>
      <c r="W2609" s="82"/>
      <c r="X2609" s="82"/>
      <c r="Y2609" s="82"/>
      <c r="Z2609" s="82"/>
    </row>
    <row r="2610" spans="1:26">
      <c r="A2610" s="81"/>
      <c r="F2610" s="81"/>
      <c r="G2610" s="82"/>
      <c r="H2610" s="82"/>
      <c r="I2610" s="82"/>
      <c r="J2610" s="82"/>
      <c r="K2610" s="82"/>
      <c r="L2610" s="82"/>
      <c r="M2610" s="82"/>
      <c r="N2610" s="82"/>
      <c r="O2610" s="82"/>
      <c r="P2610" s="82"/>
      <c r="Q2610" s="82"/>
      <c r="R2610" s="82"/>
      <c r="S2610" s="82"/>
      <c r="T2610" s="82"/>
      <c r="U2610" s="82"/>
      <c r="V2610" s="82"/>
      <c r="W2610" s="82"/>
      <c r="X2610" s="82"/>
      <c r="Y2610" s="82"/>
      <c r="Z2610" s="82"/>
    </row>
    <row r="2611" spans="1:26">
      <c r="A2611" s="81"/>
      <c r="F2611" s="81"/>
      <c r="G2611" s="82"/>
      <c r="H2611" s="82"/>
      <c r="I2611" s="82"/>
      <c r="J2611" s="82"/>
      <c r="K2611" s="82"/>
      <c r="L2611" s="82"/>
      <c r="M2611" s="82"/>
      <c r="N2611" s="82"/>
      <c r="O2611" s="82"/>
      <c r="P2611" s="82"/>
      <c r="Q2611" s="82"/>
      <c r="R2611" s="82"/>
      <c r="S2611" s="82"/>
      <c r="T2611" s="82"/>
      <c r="U2611" s="82"/>
      <c r="V2611" s="82"/>
      <c r="W2611" s="82"/>
      <c r="X2611" s="82"/>
      <c r="Y2611" s="82"/>
      <c r="Z2611" s="82"/>
    </row>
    <row r="2612" spans="1:26">
      <c r="A2612" s="81"/>
      <c r="F2612" s="81"/>
      <c r="G2612" s="82"/>
      <c r="H2612" s="82"/>
      <c r="I2612" s="82"/>
      <c r="J2612" s="82"/>
      <c r="K2612" s="82"/>
      <c r="L2612" s="82"/>
      <c r="M2612" s="82"/>
      <c r="N2612" s="82"/>
      <c r="O2612" s="82"/>
      <c r="P2612" s="82"/>
      <c r="Q2612" s="82"/>
      <c r="R2612" s="82"/>
      <c r="S2612" s="82"/>
      <c r="T2612" s="82"/>
      <c r="U2612" s="82"/>
      <c r="V2612" s="82"/>
      <c r="W2612" s="82"/>
      <c r="X2612" s="82"/>
      <c r="Y2612" s="82"/>
      <c r="Z2612" s="82"/>
    </row>
    <row r="2613" spans="1:26">
      <c r="A2613" s="81"/>
      <c r="F2613" s="81"/>
      <c r="G2613" s="82"/>
      <c r="H2613" s="82"/>
      <c r="I2613" s="82"/>
      <c r="J2613" s="82"/>
      <c r="K2613" s="82"/>
      <c r="L2613" s="82"/>
      <c r="M2613" s="82"/>
      <c r="N2613" s="82"/>
      <c r="O2613" s="82"/>
      <c r="P2613" s="82"/>
      <c r="Q2613" s="82"/>
      <c r="R2613" s="82"/>
      <c r="S2613" s="82"/>
      <c r="T2613" s="82"/>
      <c r="U2613" s="82"/>
      <c r="V2613" s="82"/>
      <c r="W2613" s="82"/>
      <c r="X2613" s="82"/>
      <c r="Y2613" s="82"/>
      <c r="Z2613" s="82"/>
    </row>
    <row r="2614" spans="1:26">
      <c r="A2614" s="81"/>
      <c r="F2614" s="81"/>
      <c r="G2614" s="82"/>
      <c r="H2614" s="82"/>
      <c r="I2614" s="82"/>
      <c r="J2614" s="82"/>
      <c r="K2614" s="82"/>
      <c r="L2614" s="82"/>
      <c r="M2614" s="82"/>
      <c r="N2614" s="82"/>
      <c r="O2614" s="82"/>
      <c r="P2614" s="82"/>
      <c r="Q2614" s="82"/>
      <c r="R2614" s="82"/>
      <c r="S2614" s="82"/>
      <c r="T2614" s="82"/>
      <c r="U2614" s="82"/>
      <c r="V2614" s="82"/>
      <c r="W2614" s="82"/>
      <c r="X2614" s="82"/>
      <c r="Y2614" s="82"/>
      <c r="Z2614" s="82"/>
    </row>
    <row r="2615" spans="1:26">
      <c r="A2615" s="81"/>
      <c r="F2615" s="81"/>
      <c r="G2615" s="82"/>
      <c r="H2615" s="82"/>
      <c r="I2615" s="82"/>
      <c r="J2615" s="82"/>
      <c r="K2615" s="82"/>
      <c r="L2615" s="82"/>
      <c r="M2615" s="82"/>
      <c r="N2615" s="82"/>
      <c r="O2615" s="82"/>
      <c r="P2615" s="82"/>
      <c r="Q2615" s="82"/>
      <c r="R2615" s="82"/>
      <c r="S2615" s="82"/>
      <c r="T2615" s="82"/>
      <c r="U2615" s="82"/>
      <c r="V2615" s="82"/>
      <c r="W2615" s="82"/>
      <c r="X2615" s="82"/>
      <c r="Y2615" s="82"/>
      <c r="Z2615" s="82"/>
    </row>
    <row r="2616" spans="1:26">
      <c r="A2616" s="81"/>
      <c r="F2616" s="81"/>
      <c r="G2616" s="82"/>
      <c r="H2616" s="82"/>
      <c r="I2616" s="82"/>
      <c r="J2616" s="82"/>
      <c r="K2616" s="82"/>
      <c r="L2616" s="82"/>
      <c r="M2616" s="82"/>
      <c r="N2616" s="82"/>
      <c r="O2616" s="82"/>
      <c r="P2616" s="82"/>
      <c r="Q2616" s="82"/>
      <c r="R2616" s="82"/>
      <c r="S2616" s="82"/>
      <c r="T2616" s="82"/>
      <c r="U2616" s="82"/>
      <c r="V2616" s="82"/>
      <c r="W2616" s="82"/>
      <c r="X2616" s="82"/>
      <c r="Y2616" s="82"/>
      <c r="Z2616" s="82"/>
    </row>
    <row r="2617" spans="1:26">
      <c r="A2617" s="81"/>
      <c r="F2617" s="81"/>
      <c r="G2617" s="82"/>
      <c r="H2617" s="82"/>
      <c r="I2617" s="82"/>
      <c r="J2617" s="82"/>
      <c r="K2617" s="82"/>
      <c r="L2617" s="82"/>
      <c r="M2617" s="82"/>
      <c r="N2617" s="82"/>
      <c r="O2617" s="82"/>
      <c r="P2617" s="82"/>
      <c r="Q2617" s="82"/>
      <c r="R2617" s="82"/>
      <c r="S2617" s="82"/>
      <c r="T2617" s="82"/>
      <c r="U2617" s="82"/>
      <c r="V2617" s="82"/>
      <c r="W2617" s="82"/>
      <c r="X2617" s="82"/>
      <c r="Y2617" s="82"/>
      <c r="Z2617" s="82"/>
    </row>
    <row r="2618" spans="1:26">
      <c r="A2618" s="81"/>
      <c r="F2618" s="81"/>
      <c r="G2618" s="82"/>
      <c r="H2618" s="82"/>
      <c r="I2618" s="82"/>
      <c r="J2618" s="82"/>
      <c r="K2618" s="82"/>
      <c r="L2618" s="82"/>
      <c r="M2618" s="82"/>
      <c r="N2618" s="82"/>
      <c r="O2618" s="82"/>
      <c r="P2618" s="82"/>
      <c r="Q2618" s="82"/>
      <c r="R2618" s="82"/>
      <c r="S2618" s="82"/>
      <c r="T2618" s="82"/>
      <c r="U2618" s="82"/>
      <c r="V2618" s="82"/>
      <c r="W2618" s="82"/>
      <c r="X2618" s="82"/>
      <c r="Y2618" s="82"/>
      <c r="Z2618" s="82"/>
    </row>
    <row r="2619" spans="1:26">
      <c r="A2619" s="81"/>
      <c r="F2619" s="81"/>
      <c r="G2619" s="82"/>
      <c r="H2619" s="82"/>
      <c r="I2619" s="82"/>
      <c r="J2619" s="82"/>
      <c r="K2619" s="82"/>
      <c r="L2619" s="82"/>
      <c r="M2619" s="82"/>
      <c r="N2619" s="82"/>
      <c r="O2619" s="82"/>
      <c r="P2619" s="82"/>
      <c r="Q2619" s="82"/>
      <c r="R2619" s="82"/>
      <c r="S2619" s="82"/>
      <c r="T2619" s="82"/>
      <c r="U2619" s="82"/>
      <c r="V2619" s="82"/>
      <c r="W2619" s="82"/>
      <c r="X2619" s="82"/>
      <c r="Y2619" s="82"/>
      <c r="Z2619" s="82"/>
    </row>
    <row r="2620" spans="1:26">
      <c r="A2620" s="81"/>
      <c r="F2620" s="81"/>
      <c r="G2620" s="82"/>
      <c r="H2620" s="82"/>
      <c r="I2620" s="82"/>
      <c r="J2620" s="82"/>
      <c r="K2620" s="82"/>
      <c r="L2620" s="82"/>
      <c r="M2620" s="82"/>
      <c r="N2620" s="82"/>
      <c r="O2620" s="82"/>
      <c r="P2620" s="82"/>
      <c r="Q2620" s="82"/>
      <c r="R2620" s="82"/>
      <c r="S2620" s="82"/>
      <c r="T2620" s="82"/>
      <c r="U2620" s="82"/>
      <c r="V2620" s="82"/>
      <c r="W2620" s="82"/>
      <c r="X2620" s="82"/>
      <c r="Y2620" s="82"/>
      <c r="Z2620" s="82"/>
    </row>
    <row r="2621" spans="1:26">
      <c r="A2621" s="81"/>
      <c r="F2621" s="81"/>
      <c r="G2621" s="82"/>
      <c r="H2621" s="82"/>
      <c r="I2621" s="82"/>
      <c r="J2621" s="82"/>
      <c r="K2621" s="82"/>
      <c r="L2621" s="82"/>
      <c r="M2621" s="82"/>
      <c r="N2621" s="82"/>
      <c r="O2621" s="82"/>
      <c r="P2621" s="82"/>
      <c r="Q2621" s="82"/>
      <c r="R2621" s="82"/>
      <c r="S2621" s="82"/>
      <c r="T2621" s="82"/>
      <c r="U2621" s="82"/>
      <c r="V2621" s="82"/>
      <c r="W2621" s="82"/>
      <c r="X2621" s="82"/>
      <c r="Y2621" s="82"/>
      <c r="Z2621" s="82"/>
    </row>
    <row r="2622" spans="1:26">
      <c r="A2622" s="81"/>
      <c r="F2622" s="81"/>
      <c r="G2622" s="82"/>
      <c r="H2622" s="82"/>
      <c r="I2622" s="82"/>
      <c r="J2622" s="82"/>
      <c r="K2622" s="82"/>
      <c r="L2622" s="82"/>
      <c r="M2622" s="82"/>
      <c r="N2622" s="82"/>
      <c r="O2622" s="82"/>
      <c r="P2622" s="82"/>
      <c r="Q2622" s="82"/>
      <c r="R2622" s="82"/>
      <c r="S2622" s="82"/>
      <c r="T2622" s="82"/>
      <c r="U2622" s="82"/>
      <c r="V2622" s="82"/>
      <c r="W2622" s="82"/>
      <c r="X2622" s="82"/>
      <c r="Y2622" s="82"/>
      <c r="Z2622" s="82"/>
    </row>
    <row r="2623" spans="1:26">
      <c r="A2623" s="81"/>
      <c r="F2623" s="81"/>
      <c r="G2623" s="82"/>
      <c r="H2623" s="82"/>
      <c r="I2623" s="82"/>
      <c r="J2623" s="82"/>
      <c r="K2623" s="82"/>
      <c r="L2623" s="82"/>
      <c r="M2623" s="82"/>
      <c r="N2623" s="82"/>
      <c r="O2623" s="82"/>
      <c r="P2623" s="82"/>
      <c r="Q2623" s="82"/>
      <c r="R2623" s="82"/>
      <c r="S2623" s="82"/>
      <c r="T2623" s="82"/>
      <c r="U2623" s="82"/>
      <c r="V2623" s="82"/>
      <c r="W2623" s="82"/>
      <c r="X2623" s="82"/>
      <c r="Y2623" s="82"/>
      <c r="Z2623" s="82"/>
    </row>
    <row r="2624" spans="1:26">
      <c r="A2624" s="81"/>
      <c r="F2624" s="81"/>
      <c r="G2624" s="82"/>
      <c r="H2624" s="82"/>
      <c r="I2624" s="82"/>
      <c r="J2624" s="82"/>
      <c r="K2624" s="82"/>
      <c r="L2624" s="82"/>
      <c r="M2624" s="82"/>
      <c r="N2624" s="82"/>
      <c r="O2624" s="82"/>
      <c r="P2624" s="82"/>
      <c r="Q2624" s="82"/>
      <c r="R2624" s="82"/>
      <c r="S2624" s="82"/>
      <c r="T2624" s="82"/>
      <c r="U2624" s="82"/>
      <c r="V2624" s="82"/>
      <c r="W2624" s="82"/>
      <c r="X2624" s="82"/>
      <c r="Y2624" s="82"/>
      <c r="Z2624" s="82"/>
    </row>
    <row r="2625" spans="1:26">
      <c r="A2625" s="81"/>
      <c r="F2625" s="81"/>
      <c r="G2625" s="82"/>
      <c r="H2625" s="82"/>
      <c r="I2625" s="82"/>
      <c r="J2625" s="82"/>
      <c r="K2625" s="82"/>
      <c r="L2625" s="82"/>
      <c r="M2625" s="82"/>
      <c r="N2625" s="82"/>
      <c r="O2625" s="82"/>
      <c r="P2625" s="82"/>
      <c r="Q2625" s="82"/>
      <c r="R2625" s="82"/>
      <c r="S2625" s="82"/>
      <c r="T2625" s="82"/>
      <c r="U2625" s="82"/>
      <c r="V2625" s="82"/>
      <c r="W2625" s="82"/>
      <c r="X2625" s="82"/>
      <c r="Y2625" s="82"/>
      <c r="Z2625" s="82"/>
    </row>
    <row r="2626" spans="1:26">
      <c r="A2626" s="81"/>
      <c r="F2626" s="81"/>
      <c r="G2626" s="82"/>
      <c r="H2626" s="82"/>
      <c r="I2626" s="82"/>
      <c r="J2626" s="82"/>
      <c r="K2626" s="82"/>
      <c r="L2626" s="82"/>
      <c r="M2626" s="82"/>
      <c r="N2626" s="82"/>
      <c r="O2626" s="82"/>
      <c r="P2626" s="82"/>
      <c r="Q2626" s="82"/>
      <c r="R2626" s="82"/>
      <c r="S2626" s="82"/>
      <c r="T2626" s="82"/>
      <c r="U2626" s="82"/>
      <c r="V2626" s="82"/>
      <c r="W2626" s="82"/>
      <c r="X2626" s="82"/>
      <c r="Y2626" s="82"/>
      <c r="Z2626" s="82"/>
    </row>
    <row r="2627" spans="1:26">
      <c r="A2627" s="81"/>
      <c r="F2627" s="81"/>
      <c r="G2627" s="82"/>
      <c r="H2627" s="82"/>
      <c r="I2627" s="82"/>
      <c r="J2627" s="82"/>
      <c r="K2627" s="82"/>
      <c r="L2627" s="82"/>
      <c r="M2627" s="82"/>
      <c r="N2627" s="82"/>
      <c r="O2627" s="82"/>
      <c r="P2627" s="82"/>
      <c r="Q2627" s="82"/>
      <c r="R2627" s="82"/>
      <c r="S2627" s="82"/>
      <c r="T2627" s="82"/>
      <c r="U2627" s="82"/>
      <c r="V2627" s="82"/>
      <c r="W2627" s="82"/>
      <c r="X2627" s="82"/>
      <c r="Y2627" s="82"/>
      <c r="Z2627" s="82"/>
    </row>
    <row r="2628" spans="1:26">
      <c r="A2628" s="81"/>
      <c r="F2628" s="81"/>
      <c r="G2628" s="82"/>
      <c r="H2628" s="82"/>
      <c r="I2628" s="82"/>
      <c r="J2628" s="82"/>
      <c r="K2628" s="82"/>
      <c r="L2628" s="82"/>
      <c r="M2628" s="82"/>
      <c r="N2628" s="82"/>
      <c r="O2628" s="82"/>
      <c r="P2628" s="82"/>
      <c r="Q2628" s="82"/>
      <c r="R2628" s="82"/>
      <c r="S2628" s="82"/>
      <c r="T2628" s="82"/>
      <c r="U2628" s="82"/>
      <c r="V2628" s="82"/>
      <c r="W2628" s="82"/>
      <c r="X2628" s="82"/>
      <c r="Y2628" s="82"/>
      <c r="Z2628" s="82"/>
    </row>
    <row r="2629" spans="1:26">
      <c r="A2629" s="81"/>
      <c r="F2629" s="81"/>
      <c r="G2629" s="82"/>
      <c r="H2629" s="82"/>
      <c r="I2629" s="82"/>
      <c r="J2629" s="82"/>
      <c r="K2629" s="82"/>
      <c r="L2629" s="82"/>
      <c r="M2629" s="82"/>
      <c r="N2629" s="82"/>
      <c r="O2629" s="82"/>
      <c r="P2629" s="82"/>
      <c r="Q2629" s="82"/>
      <c r="R2629" s="82"/>
      <c r="S2629" s="82"/>
      <c r="T2629" s="82"/>
      <c r="U2629" s="82"/>
      <c r="V2629" s="82"/>
      <c r="W2629" s="82"/>
      <c r="X2629" s="82"/>
      <c r="Y2629" s="82"/>
      <c r="Z2629" s="82"/>
    </row>
    <row r="2630" spans="1:26">
      <c r="A2630" s="81"/>
      <c r="F2630" s="81"/>
      <c r="G2630" s="82"/>
      <c r="H2630" s="82"/>
      <c r="I2630" s="82"/>
      <c r="J2630" s="82"/>
      <c r="K2630" s="82"/>
      <c r="L2630" s="82"/>
      <c r="M2630" s="82"/>
      <c r="N2630" s="82"/>
      <c r="O2630" s="82"/>
      <c r="P2630" s="82"/>
      <c r="Q2630" s="82"/>
      <c r="R2630" s="82"/>
      <c r="S2630" s="82"/>
      <c r="T2630" s="82"/>
      <c r="U2630" s="82"/>
      <c r="V2630" s="82"/>
      <c r="W2630" s="82"/>
      <c r="X2630" s="82"/>
      <c r="Y2630" s="82"/>
      <c r="Z2630" s="82"/>
    </row>
    <row r="2631" spans="1:26">
      <c r="A2631" s="81"/>
      <c r="F2631" s="81"/>
      <c r="G2631" s="82"/>
      <c r="H2631" s="82"/>
      <c r="I2631" s="82"/>
      <c r="J2631" s="82"/>
      <c r="K2631" s="82"/>
      <c r="L2631" s="82"/>
      <c r="M2631" s="82"/>
      <c r="N2631" s="82"/>
      <c r="O2631" s="82"/>
      <c r="P2631" s="82"/>
      <c r="Q2631" s="82"/>
      <c r="R2631" s="82"/>
      <c r="S2631" s="82"/>
      <c r="T2631" s="82"/>
      <c r="U2631" s="82"/>
      <c r="V2631" s="82"/>
      <c r="W2631" s="82"/>
      <c r="X2631" s="82"/>
      <c r="Y2631" s="82"/>
      <c r="Z2631" s="82"/>
    </row>
    <row r="2632" spans="1:26">
      <c r="A2632" s="81"/>
      <c r="F2632" s="81"/>
      <c r="G2632" s="82"/>
      <c r="H2632" s="82"/>
      <c r="I2632" s="82"/>
      <c r="J2632" s="82"/>
      <c r="K2632" s="82"/>
      <c r="L2632" s="82"/>
      <c r="M2632" s="82"/>
      <c r="N2632" s="82"/>
      <c r="O2632" s="82"/>
      <c r="P2632" s="82"/>
      <c r="Q2632" s="82"/>
      <c r="R2632" s="82"/>
      <c r="S2632" s="82"/>
      <c r="T2632" s="82"/>
      <c r="U2632" s="82"/>
      <c r="V2632" s="82"/>
      <c r="W2632" s="82"/>
      <c r="X2632" s="82"/>
      <c r="Y2632" s="82"/>
      <c r="Z2632" s="82"/>
    </row>
    <row r="2633" spans="1:26">
      <c r="A2633" s="81"/>
      <c r="F2633" s="81"/>
      <c r="G2633" s="82"/>
      <c r="H2633" s="82"/>
      <c r="I2633" s="82"/>
      <c r="J2633" s="82"/>
      <c r="K2633" s="82"/>
      <c r="L2633" s="82"/>
      <c r="M2633" s="82"/>
      <c r="N2633" s="82"/>
      <c r="O2633" s="82"/>
      <c r="P2633" s="82"/>
      <c r="Q2633" s="82"/>
      <c r="R2633" s="82"/>
      <c r="S2633" s="82"/>
      <c r="T2633" s="82"/>
      <c r="U2633" s="82"/>
      <c r="V2633" s="82"/>
      <c r="W2633" s="82"/>
      <c r="X2633" s="82"/>
      <c r="Y2633" s="82"/>
      <c r="Z2633" s="82"/>
    </row>
    <row r="2634" spans="1:26">
      <c r="A2634" s="81"/>
      <c r="F2634" s="81"/>
      <c r="G2634" s="82"/>
      <c r="H2634" s="82"/>
      <c r="I2634" s="82"/>
      <c r="J2634" s="82"/>
      <c r="K2634" s="82"/>
      <c r="L2634" s="82"/>
      <c r="M2634" s="82"/>
      <c r="N2634" s="82"/>
      <c r="O2634" s="82"/>
      <c r="P2634" s="82"/>
      <c r="Q2634" s="82"/>
      <c r="R2634" s="82"/>
      <c r="S2634" s="82"/>
      <c r="T2634" s="82"/>
      <c r="U2634" s="82"/>
      <c r="V2634" s="82"/>
      <c r="W2634" s="82"/>
      <c r="X2634" s="82"/>
      <c r="Y2634" s="82"/>
      <c r="Z2634" s="82"/>
    </row>
    <row r="2635" spans="1:26">
      <c r="A2635" s="81"/>
      <c r="F2635" s="81"/>
      <c r="G2635" s="82"/>
      <c r="H2635" s="82"/>
      <c r="I2635" s="82"/>
      <c r="J2635" s="82"/>
      <c r="K2635" s="82"/>
      <c r="L2635" s="82"/>
      <c r="M2635" s="82"/>
      <c r="N2635" s="82"/>
      <c r="O2635" s="82"/>
      <c r="P2635" s="82"/>
      <c r="Q2635" s="82"/>
      <c r="R2635" s="82"/>
      <c r="S2635" s="82"/>
      <c r="T2635" s="82"/>
      <c r="U2635" s="82"/>
      <c r="V2635" s="82"/>
      <c r="W2635" s="82"/>
      <c r="X2635" s="82"/>
      <c r="Y2635" s="82"/>
      <c r="Z2635" s="82"/>
    </row>
    <row r="2636" spans="1:26">
      <c r="A2636" s="81"/>
      <c r="F2636" s="81"/>
      <c r="G2636" s="82"/>
      <c r="H2636" s="82"/>
      <c r="I2636" s="82"/>
      <c r="J2636" s="82"/>
      <c r="K2636" s="82"/>
      <c r="L2636" s="82"/>
      <c r="M2636" s="82"/>
      <c r="N2636" s="82"/>
      <c r="O2636" s="82"/>
      <c r="P2636" s="82"/>
      <c r="Q2636" s="82"/>
      <c r="R2636" s="82"/>
      <c r="S2636" s="82"/>
      <c r="T2636" s="82"/>
      <c r="U2636" s="82"/>
      <c r="V2636" s="82"/>
      <c r="W2636" s="82"/>
      <c r="X2636" s="82"/>
      <c r="Y2636" s="82"/>
      <c r="Z2636" s="82"/>
    </row>
    <row r="2637" spans="1:26">
      <c r="A2637" s="81"/>
      <c r="F2637" s="81"/>
      <c r="G2637" s="82"/>
      <c r="H2637" s="82"/>
      <c r="I2637" s="82"/>
      <c r="J2637" s="82"/>
      <c r="K2637" s="82"/>
      <c r="L2637" s="82"/>
      <c r="M2637" s="82"/>
      <c r="N2637" s="82"/>
      <c r="O2637" s="82"/>
      <c r="P2637" s="82"/>
      <c r="Q2637" s="82"/>
      <c r="R2637" s="82"/>
      <c r="S2637" s="82"/>
      <c r="T2637" s="82"/>
      <c r="U2637" s="82"/>
      <c r="V2637" s="82"/>
      <c r="W2637" s="82"/>
      <c r="X2637" s="82"/>
      <c r="Y2637" s="82"/>
      <c r="Z2637" s="82"/>
    </row>
    <row r="2638" spans="1:26">
      <c r="A2638" s="81"/>
      <c r="F2638" s="81"/>
      <c r="G2638" s="82"/>
      <c r="H2638" s="82"/>
      <c r="I2638" s="82"/>
      <c r="J2638" s="82"/>
      <c r="K2638" s="82"/>
      <c r="L2638" s="82"/>
      <c r="M2638" s="82"/>
      <c r="N2638" s="82"/>
      <c r="O2638" s="82"/>
      <c r="P2638" s="82"/>
      <c r="Q2638" s="82"/>
      <c r="R2638" s="82"/>
      <c r="S2638" s="82"/>
      <c r="T2638" s="82"/>
      <c r="U2638" s="82"/>
      <c r="V2638" s="82"/>
      <c r="W2638" s="82"/>
      <c r="X2638" s="82"/>
      <c r="Y2638" s="82"/>
      <c r="Z2638" s="82"/>
    </row>
    <row r="2639" spans="1:26">
      <c r="A2639" s="81"/>
      <c r="F2639" s="81"/>
      <c r="G2639" s="82"/>
      <c r="H2639" s="82"/>
      <c r="I2639" s="82"/>
      <c r="J2639" s="82"/>
      <c r="K2639" s="82"/>
      <c r="L2639" s="82"/>
      <c r="M2639" s="82"/>
      <c r="N2639" s="82"/>
      <c r="O2639" s="82"/>
      <c r="P2639" s="82"/>
      <c r="Q2639" s="82"/>
      <c r="R2639" s="82"/>
      <c r="S2639" s="82"/>
      <c r="T2639" s="82"/>
      <c r="U2639" s="82"/>
      <c r="V2639" s="82"/>
      <c r="W2639" s="82"/>
      <c r="X2639" s="82"/>
      <c r="Y2639" s="82"/>
      <c r="Z2639" s="82"/>
    </row>
    <row r="2640" spans="1:26">
      <c r="A2640" s="81"/>
      <c r="F2640" s="81"/>
      <c r="G2640" s="82"/>
      <c r="H2640" s="82"/>
      <c r="I2640" s="82"/>
      <c r="J2640" s="82"/>
      <c r="K2640" s="82"/>
      <c r="L2640" s="82"/>
      <c r="M2640" s="82"/>
      <c r="N2640" s="82"/>
      <c r="O2640" s="82"/>
      <c r="P2640" s="82"/>
      <c r="Q2640" s="82"/>
      <c r="R2640" s="82"/>
      <c r="S2640" s="82"/>
      <c r="T2640" s="82"/>
      <c r="U2640" s="82"/>
      <c r="V2640" s="82"/>
      <c r="W2640" s="82"/>
      <c r="X2640" s="82"/>
      <c r="Y2640" s="82"/>
      <c r="Z2640" s="82"/>
    </row>
    <row r="2641" spans="1:26">
      <c r="A2641" s="81"/>
      <c r="F2641" s="81"/>
      <c r="G2641" s="82"/>
      <c r="H2641" s="82"/>
      <c r="I2641" s="82"/>
      <c r="J2641" s="82"/>
      <c r="K2641" s="82"/>
      <c r="L2641" s="82"/>
      <c r="M2641" s="82"/>
      <c r="N2641" s="82"/>
      <c r="O2641" s="82"/>
      <c r="P2641" s="82"/>
      <c r="Q2641" s="82"/>
      <c r="R2641" s="82"/>
      <c r="S2641" s="82"/>
      <c r="T2641" s="82"/>
      <c r="U2641" s="82"/>
      <c r="V2641" s="82"/>
      <c r="W2641" s="82"/>
      <c r="X2641" s="82"/>
      <c r="Y2641" s="82"/>
      <c r="Z2641" s="82"/>
    </row>
    <row r="2642" spans="1:26">
      <c r="A2642" s="81"/>
      <c r="F2642" s="81"/>
      <c r="G2642" s="82"/>
      <c r="H2642" s="82"/>
      <c r="I2642" s="82"/>
      <c r="J2642" s="82"/>
      <c r="K2642" s="82"/>
      <c r="L2642" s="82"/>
      <c r="M2642" s="82"/>
      <c r="N2642" s="82"/>
      <c r="O2642" s="82"/>
      <c r="P2642" s="82"/>
      <c r="Q2642" s="82"/>
      <c r="R2642" s="82"/>
      <c r="S2642" s="82"/>
      <c r="T2642" s="82"/>
      <c r="U2642" s="82"/>
      <c r="V2642" s="82"/>
      <c r="W2642" s="82"/>
      <c r="X2642" s="82"/>
      <c r="Y2642" s="82"/>
      <c r="Z2642" s="82"/>
    </row>
    <row r="2643" spans="1:26">
      <c r="A2643" s="81"/>
      <c r="F2643" s="81"/>
      <c r="G2643" s="82"/>
      <c r="H2643" s="82"/>
      <c r="I2643" s="82"/>
      <c r="J2643" s="82"/>
      <c r="K2643" s="82"/>
      <c r="L2643" s="82"/>
      <c r="M2643" s="82"/>
      <c r="N2643" s="82"/>
      <c r="O2643" s="82"/>
      <c r="P2643" s="82"/>
      <c r="Q2643" s="82"/>
      <c r="R2643" s="82"/>
      <c r="S2643" s="82"/>
      <c r="T2643" s="82"/>
      <c r="U2643" s="82"/>
      <c r="V2643" s="82"/>
      <c r="W2643" s="82"/>
      <c r="X2643" s="82"/>
      <c r="Y2643" s="82"/>
      <c r="Z2643" s="82"/>
    </row>
    <row r="2644" spans="1:26">
      <c r="A2644" s="81"/>
      <c r="F2644" s="81"/>
      <c r="G2644" s="82"/>
      <c r="H2644" s="82"/>
      <c r="I2644" s="82"/>
      <c r="J2644" s="82"/>
      <c r="K2644" s="82"/>
      <c r="L2644" s="82"/>
      <c r="M2644" s="82"/>
      <c r="N2644" s="82"/>
      <c r="O2644" s="82"/>
      <c r="P2644" s="82"/>
      <c r="Q2644" s="82"/>
      <c r="R2644" s="82"/>
      <c r="S2644" s="82"/>
      <c r="T2644" s="82"/>
      <c r="U2644" s="82"/>
      <c r="V2644" s="82"/>
      <c r="W2644" s="82"/>
      <c r="X2644" s="82"/>
      <c r="Y2644" s="82"/>
      <c r="Z2644" s="82"/>
    </row>
    <row r="2645" spans="1:26">
      <c r="A2645" s="81"/>
      <c r="F2645" s="81"/>
      <c r="G2645" s="82"/>
      <c r="H2645" s="82"/>
      <c r="I2645" s="82"/>
      <c r="J2645" s="82"/>
      <c r="K2645" s="82"/>
      <c r="L2645" s="82"/>
      <c r="M2645" s="82"/>
      <c r="N2645" s="82"/>
      <c r="O2645" s="82"/>
      <c r="P2645" s="82"/>
      <c r="Q2645" s="82"/>
      <c r="R2645" s="82"/>
      <c r="S2645" s="82"/>
      <c r="T2645" s="82"/>
      <c r="U2645" s="82"/>
      <c r="V2645" s="82"/>
      <c r="W2645" s="82"/>
      <c r="X2645" s="82"/>
      <c r="Y2645" s="82"/>
      <c r="Z2645" s="82"/>
    </row>
    <row r="2646" spans="1:26">
      <c r="A2646" s="81"/>
      <c r="F2646" s="81"/>
      <c r="G2646" s="82"/>
      <c r="H2646" s="82"/>
      <c r="I2646" s="82"/>
      <c r="J2646" s="82"/>
      <c r="K2646" s="82"/>
      <c r="L2646" s="82"/>
      <c r="M2646" s="82"/>
      <c r="N2646" s="82"/>
      <c r="O2646" s="82"/>
      <c r="P2646" s="82"/>
      <c r="Q2646" s="82"/>
      <c r="R2646" s="82"/>
      <c r="S2646" s="82"/>
      <c r="T2646" s="82"/>
      <c r="U2646" s="82"/>
      <c r="V2646" s="82"/>
      <c r="W2646" s="82"/>
      <c r="X2646" s="82"/>
      <c r="Y2646" s="82"/>
      <c r="Z2646" s="82"/>
    </row>
    <row r="2647" spans="1:26">
      <c r="A2647" s="81"/>
      <c r="F2647" s="81"/>
      <c r="G2647" s="82"/>
      <c r="H2647" s="82"/>
      <c r="I2647" s="82"/>
      <c r="J2647" s="82"/>
      <c r="K2647" s="82"/>
      <c r="L2647" s="82"/>
      <c r="M2647" s="82"/>
      <c r="N2647" s="82"/>
      <c r="O2647" s="82"/>
      <c r="P2647" s="82"/>
      <c r="Q2647" s="82"/>
      <c r="R2647" s="82"/>
      <c r="S2647" s="82"/>
      <c r="T2647" s="82"/>
      <c r="U2647" s="82"/>
      <c r="V2647" s="82"/>
      <c r="W2647" s="82"/>
      <c r="X2647" s="82"/>
      <c r="Y2647" s="82"/>
      <c r="Z2647" s="82"/>
    </row>
    <row r="2648" spans="1:26">
      <c r="A2648" s="81"/>
      <c r="F2648" s="81"/>
      <c r="G2648" s="82"/>
      <c r="H2648" s="82"/>
      <c r="I2648" s="82"/>
      <c r="J2648" s="82"/>
      <c r="K2648" s="82"/>
      <c r="L2648" s="82"/>
      <c r="M2648" s="82"/>
      <c r="N2648" s="82"/>
      <c r="O2648" s="82"/>
      <c r="P2648" s="82"/>
      <c r="Q2648" s="82"/>
      <c r="R2648" s="82"/>
      <c r="S2648" s="82"/>
      <c r="T2648" s="82"/>
      <c r="U2648" s="82"/>
      <c r="V2648" s="82"/>
      <c r="W2648" s="82"/>
      <c r="X2648" s="82"/>
      <c r="Y2648" s="82"/>
      <c r="Z2648" s="82"/>
    </row>
    <row r="2649" spans="1:26">
      <c r="A2649" s="81"/>
      <c r="F2649" s="81"/>
      <c r="G2649" s="82"/>
      <c r="H2649" s="82"/>
      <c r="I2649" s="82"/>
      <c r="J2649" s="82"/>
      <c r="K2649" s="82"/>
      <c r="L2649" s="82"/>
      <c r="M2649" s="82"/>
      <c r="N2649" s="82"/>
      <c r="O2649" s="82"/>
      <c r="P2649" s="82"/>
      <c r="Q2649" s="82"/>
      <c r="R2649" s="82"/>
      <c r="S2649" s="82"/>
      <c r="T2649" s="82"/>
      <c r="U2649" s="82"/>
      <c r="V2649" s="82"/>
      <c r="W2649" s="82"/>
      <c r="X2649" s="82"/>
      <c r="Y2649" s="82"/>
      <c r="Z2649" s="82"/>
    </row>
    <row r="2650" spans="1:26">
      <c r="A2650" s="81"/>
      <c r="F2650" s="81"/>
      <c r="G2650" s="82"/>
      <c r="H2650" s="82"/>
      <c r="I2650" s="82"/>
      <c r="J2650" s="82"/>
      <c r="K2650" s="82"/>
      <c r="L2650" s="82"/>
      <c r="M2650" s="82"/>
      <c r="N2650" s="82"/>
      <c r="O2650" s="82"/>
      <c r="P2650" s="82"/>
      <c r="Q2650" s="82"/>
      <c r="R2650" s="82"/>
      <c r="S2650" s="82"/>
      <c r="T2650" s="82"/>
      <c r="U2650" s="82"/>
      <c r="V2650" s="82"/>
      <c r="W2650" s="82"/>
      <c r="X2650" s="82"/>
      <c r="Y2650" s="82"/>
      <c r="Z2650" s="82"/>
    </row>
    <row r="2651" spans="1:26">
      <c r="A2651" s="81"/>
      <c r="F2651" s="81"/>
      <c r="G2651" s="82"/>
      <c r="H2651" s="82"/>
      <c r="I2651" s="82"/>
      <c r="J2651" s="82"/>
      <c r="K2651" s="82"/>
      <c r="L2651" s="82"/>
      <c r="M2651" s="82"/>
      <c r="N2651" s="82"/>
      <c r="O2651" s="82"/>
      <c r="P2651" s="82"/>
      <c r="Q2651" s="82"/>
      <c r="R2651" s="82"/>
      <c r="S2651" s="82"/>
      <c r="T2651" s="82"/>
      <c r="U2651" s="82"/>
      <c r="V2651" s="82"/>
      <c r="W2651" s="82"/>
      <c r="X2651" s="82"/>
      <c r="Y2651" s="82"/>
      <c r="Z2651" s="82"/>
    </row>
    <row r="2652" spans="1:26">
      <c r="A2652" s="81"/>
      <c r="F2652" s="81"/>
      <c r="G2652" s="82"/>
      <c r="H2652" s="82"/>
      <c r="I2652" s="82"/>
      <c r="J2652" s="82"/>
      <c r="K2652" s="82"/>
      <c r="L2652" s="82"/>
      <c r="M2652" s="82"/>
      <c r="N2652" s="82"/>
      <c r="O2652" s="82"/>
      <c r="P2652" s="82"/>
      <c r="Q2652" s="82"/>
      <c r="R2652" s="82"/>
      <c r="S2652" s="82"/>
      <c r="T2652" s="82"/>
      <c r="U2652" s="82"/>
      <c r="V2652" s="82"/>
      <c r="W2652" s="82"/>
      <c r="X2652" s="82"/>
      <c r="Y2652" s="82"/>
      <c r="Z2652" s="82"/>
    </row>
    <row r="2653" spans="1:26">
      <c r="A2653" s="81"/>
      <c r="F2653" s="81"/>
      <c r="G2653" s="82"/>
      <c r="H2653" s="82"/>
      <c r="I2653" s="82"/>
      <c r="J2653" s="82"/>
      <c r="K2653" s="82"/>
      <c r="L2653" s="82"/>
      <c r="M2653" s="82"/>
      <c r="N2653" s="82"/>
      <c r="O2653" s="82"/>
      <c r="P2653" s="82"/>
      <c r="Q2653" s="82"/>
      <c r="R2653" s="82"/>
      <c r="S2653" s="82"/>
      <c r="T2653" s="82"/>
      <c r="U2653" s="82"/>
      <c r="V2653" s="82"/>
      <c r="W2653" s="82"/>
      <c r="X2653" s="82"/>
      <c r="Y2653" s="82"/>
      <c r="Z2653" s="82"/>
    </row>
    <row r="2654" spans="1:26">
      <c r="A2654" s="81"/>
      <c r="F2654" s="81"/>
      <c r="G2654" s="82"/>
      <c r="H2654" s="82"/>
      <c r="I2654" s="82"/>
      <c r="J2654" s="82"/>
      <c r="K2654" s="82"/>
      <c r="L2654" s="82"/>
      <c r="M2654" s="82"/>
      <c r="N2654" s="82"/>
      <c r="O2654" s="82"/>
      <c r="P2654" s="82"/>
      <c r="Q2654" s="82"/>
      <c r="R2654" s="82"/>
      <c r="S2654" s="82"/>
      <c r="T2654" s="82"/>
      <c r="U2654" s="82"/>
      <c r="V2654" s="82"/>
      <c r="W2654" s="82"/>
      <c r="X2654" s="82"/>
      <c r="Y2654" s="82"/>
      <c r="Z2654" s="82"/>
    </row>
    <row r="2655" spans="1:26">
      <c r="A2655" s="81"/>
      <c r="F2655" s="81"/>
      <c r="G2655" s="82"/>
      <c r="H2655" s="82"/>
      <c r="I2655" s="82"/>
      <c r="J2655" s="82"/>
      <c r="K2655" s="82"/>
      <c r="L2655" s="82"/>
      <c r="M2655" s="82"/>
      <c r="N2655" s="82"/>
      <c r="O2655" s="82"/>
      <c r="P2655" s="82"/>
      <c r="Q2655" s="82"/>
      <c r="R2655" s="82"/>
      <c r="S2655" s="82"/>
      <c r="T2655" s="82"/>
      <c r="U2655" s="82"/>
      <c r="V2655" s="82"/>
      <c r="W2655" s="82"/>
      <c r="X2655" s="82"/>
      <c r="Y2655" s="82"/>
      <c r="Z2655" s="82"/>
    </row>
    <row r="2656" spans="1:26">
      <c r="A2656" s="81"/>
      <c r="F2656" s="81"/>
      <c r="G2656" s="82"/>
      <c r="H2656" s="82"/>
      <c r="I2656" s="82"/>
      <c r="J2656" s="82"/>
      <c r="K2656" s="82"/>
      <c r="L2656" s="82"/>
      <c r="M2656" s="82"/>
      <c r="N2656" s="82"/>
      <c r="O2656" s="82"/>
      <c r="P2656" s="82"/>
      <c r="Q2656" s="82"/>
      <c r="R2656" s="82"/>
      <c r="S2656" s="82"/>
      <c r="T2656" s="82"/>
      <c r="U2656" s="82"/>
      <c r="V2656" s="82"/>
      <c r="W2656" s="82"/>
      <c r="X2656" s="82"/>
      <c r="Y2656" s="82"/>
      <c r="Z2656" s="82"/>
    </row>
    <row r="2657" spans="1:26">
      <c r="A2657" s="81"/>
      <c r="F2657" s="81"/>
      <c r="G2657" s="82"/>
      <c r="H2657" s="82"/>
      <c r="I2657" s="82"/>
      <c r="J2657" s="82"/>
      <c r="K2657" s="82"/>
      <c r="L2657" s="82"/>
      <c r="M2657" s="82"/>
      <c r="N2657" s="82"/>
      <c r="O2657" s="82"/>
      <c r="P2657" s="82"/>
      <c r="Q2657" s="82"/>
      <c r="R2657" s="82"/>
      <c r="S2657" s="82"/>
      <c r="T2657" s="82"/>
      <c r="U2657" s="82"/>
      <c r="V2657" s="82"/>
      <c r="W2657" s="82"/>
      <c r="X2657" s="82"/>
      <c r="Y2657" s="82"/>
      <c r="Z2657" s="82"/>
    </row>
    <row r="2658" spans="1:26">
      <c r="A2658" s="81"/>
      <c r="F2658" s="81"/>
      <c r="G2658" s="82"/>
      <c r="H2658" s="82"/>
      <c r="I2658" s="82"/>
      <c r="J2658" s="82"/>
      <c r="K2658" s="82"/>
      <c r="L2658" s="82"/>
      <c r="M2658" s="82"/>
      <c r="N2658" s="82"/>
      <c r="O2658" s="82"/>
      <c r="P2658" s="82"/>
      <c r="Q2658" s="82"/>
      <c r="R2658" s="82"/>
      <c r="S2658" s="82"/>
      <c r="T2658" s="82"/>
      <c r="U2658" s="82"/>
      <c r="V2658" s="82"/>
      <c r="W2658" s="82"/>
      <c r="X2658" s="82"/>
      <c r="Y2658" s="82"/>
      <c r="Z2658" s="82"/>
    </row>
    <row r="2659" spans="1:26">
      <c r="A2659" s="81"/>
      <c r="F2659" s="81"/>
      <c r="G2659" s="82"/>
      <c r="H2659" s="82"/>
      <c r="I2659" s="82"/>
      <c r="J2659" s="82"/>
      <c r="K2659" s="82"/>
      <c r="L2659" s="82"/>
      <c r="M2659" s="82"/>
      <c r="N2659" s="82"/>
      <c r="O2659" s="82"/>
      <c r="P2659" s="82"/>
      <c r="Q2659" s="82"/>
      <c r="R2659" s="82"/>
      <c r="S2659" s="82"/>
      <c r="T2659" s="82"/>
      <c r="U2659" s="82"/>
      <c r="V2659" s="82"/>
      <c r="W2659" s="82"/>
      <c r="X2659" s="82"/>
      <c r="Y2659" s="82"/>
      <c r="Z2659" s="82"/>
    </row>
    <row r="2660" spans="1:26">
      <c r="A2660" s="81"/>
      <c r="F2660" s="81"/>
      <c r="G2660" s="82"/>
      <c r="H2660" s="82"/>
      <c r="I2660" s="82"/>
      <c r="J2660" s="82"/>
      <c r="K2660" s="82"/>
      <c r="L2660" s="82"/>
      <c r="M2660" s="82"/>
      <c r="N2660" s="82"/>
      <c r="O2660" s="82"/>
      <c r="P2660" s="82"/>
      <c r="Q2660" s="82"/>
      <c r="R2660" s="82"/>
      <c r="S2660" s="82"/>
      <c r="T2660" s="82"/>
      <c r="U2660" s="82"/>
      <c r="V2660" s="82"/>
      <c r="W2660" s="82"/>
      <c r="X2660" s="82"/>
      <c r="Y2660" s="82"/>
      <c r="Z2660" s="82"/>
    </row>
    <row r="2661" spans="1:26">
      <c r="A2661" s="81"/>
      <c r="F2661" s="81"/>
      <c r="G2661" s="82"/>
      <c r="H2661" s="82"/>
      <c r="I2661" s="82"/>
      <c r="J2661" s="82"/>
      <c r="K2661" s="82"/>
      <c r="L2661" s="82"/>
      <c r="M2661" s="82"/>
      <c r="N2661" s="82"/>
      <c r="O2661" s="82"/>
      <c r="P2661" s="82"/>
      <c r="Q2661" s="82"/>
      <c r="R2661" s="82"/>
      <c r="S2661" s="82"/>
      <c r="T2661" s="82"/>
      <c r="U2661" s="82"/>
      <c r="V2661" s="82"/>
      <c r="W2661" s="82"/>
      <c r="X2661" s="82"/>
      <c r="Y2661" s="82"/>
      <c r="Z2661" s="82"/>
    </row>
    <row r="2662" spans="1:26">
      <c r="A2662" s="81"/>
      <c r="F2662" s="81"/>
      <c r="G2662" s="82"/>
      <c r="H2662" s="82"/>
      <c r="I2662" s="82"/>
      <c r="J2662" s="82"/>
      <c r="K2662" s="82"/>
      <c r="L2662" s="82"/>
      <c r="M2662" s="82"/>
      <c r="N2662" s="82"/>
      <c r="O2662" s="82"/>
      <c r="P2662" s="82"/>
      <c r="Q2662" s="82"/>
      <c r="R2662" s="82"/>
      <c r="S2662" s="82"/>
      <c r="T2662" s="82"/>
      <c r="U2662" s="82"/>
      <c r="V2662" s="82"/>
      <c r="W2662" s="82"/>
      <c r="X2662" s="82"/>
      <c r="Y2662" s="82"/>
      <c r="Z2662" s="82"/>
    </row>
    <row r="2663" spans="1:26">
      <c r="A2663" s="81"/>
      <c r="F2663" s="81"/>
      <c r="G2663" s="82"/>
      <c r="H2663" s="82"/>
      <c r="I2663" s="82"/>
      <c r="J2663" s="82"/>
      <c r="K2663" s="82"/>
      <c r="L2663" s="82"/>
      <c r="M2663" s="82"/>
      <c r="N2663" s="82"/>
      <c r="O2663" s="82"/>
      <c r="P2663" s="82"/>
      <c r="Q2663" s="82"/>
      <c r="R2663" s="82"/>
      <c r="S2663" s="82"/>
      <c r="T2663" s="82"/>
      <c r="U2663" s="82"/>
      <c r="V2663" s="82"/>
      <c r="W2663" s="82"/>
      <c r="X2663" s="82"/>
      <c r="Y2663" s="82"/>
      <c r="Z2663" s="82"/>
    </row>
    <row r="2664" spans="1:26">
      <c r="A2664" s="81"/>
      <c r="F2664" s="81"/>
      <c r="G2664" s="82"/>
      <c r="H2664" s="82"/>
      <c r="I2664" s="82"/>
      <c r="J2664" s="82"/>
      <c r="K2664" s="82"/>
      <c r="L2664" s="82"/>
      <c r="M2664" s="82"/>
      <c r="N2664" s="82"/>
      <c r="O2664" s="82"/>
      <c r="P2664" s="82"/>
      <c r="Q2664" s="82"/>
      <c r="R2664" s="82"/>
      <c r="S2664" s="82"/>
      <c r="T2664" s="82"/>
      <c r="U2664" s="82"/>
      <c r="V2664" s="82"/>
      <c r="W2664" s="82"/>
      <c r="X2664" s="82"/>
      <c r="Y2664" s="82"/>
      <c r="Z2664" s="82"/>
    </row>
    <row r="2665" spans="1:26">
      <c r="A2665" s="81"/>
      <c r="F2665" s="81"/>
      <c r="G2665" s="82"/>
      <c r="H2665" s="82"/>
      <c r="I2665" s="82"/>
      <c r="J2665" s="82"/>
      <c r="K2665" s="82"/>
      <c r="L2665" s="82"/>
      <c r="M2665" s="82"/>
      <c r="N2665" s="82"/>
      <c r="O2665" s="82"/>
      <c r="P2665" s="82"/>
      <c r="Q2665" s="82"/>
      <c r="R2665" s="82"/>
      <c r="S2665" s="82"/>
      <c r="T2665" s="82"/>
      <c r="U2665" s="82"/>
      <c r="V2665" s="82"/>
      <c r="W2665" s="82"/>
      <c r="X2665" s="82"/>
      <c r="Y2665" s="82"/>
      <c r="Z2665" s="82"/>
    </row>
    <row r="2666" spans="1:26">
      <c r="A2666" s="81"/>
      <c r="F2666" s="81"/>
      <c r="G2666" s="82"/>
      <c r="H2666" s="82"/>
      <c r="I2666" s="82"/>
      <c r="J2666" s="82"/>
      <c r="K2666" s="82"/>
      <c r="L2666" s="82"/>
      <c r="M2666" s="82"/>
      <c r="N2666" s="82"/>
      <c r="O2666" s="82"/>
      <c r="P2666" s="82"/>
      <c r="Q2666" s="82"/>
      <c r="R2666" s="82"/>
      <c r="S2666" s="82"/>
      <c r="T2666" s="82"/>
      <c r="U2666" s="82"/>
      <c r="V2666" s="82"/>
      <c r="W2666" s="82"/>
      <c r="X2666" s="82"/>
      <c r="Y2666" s="82"/>
      <c r="Z2666" s="82"/>
    </row>
    <row r="2667" spans="1:26">
      <c r="A2667" s="81"/>
      <c r="F2667" s="81"/>
      <c r="G2667" s="82"/>
      <c r="H2667" s="82"/>
      <c r="I2667" s="82"/>
      <c r="J2667" s="82"/>
      <c r="K2667" s="82"/>
      <c r="L2667" s="82"/>
      <c r="M2667" s="82"/>
      <c r="N2667" s="82"/>
      <c r="O2667" s="82"/>
      <c r="P2667" s="82"/>
      <c r="Q2667" s="82"/>
      <c r="R2667" s="82"/>
      <c r="S2667" s="82"/>
      <c r="T2667" s="82"/>
      <c r="U2667" s="82"/>
      <c r="V2667" s="82"/>
      <c r="W2667" s="82"/>
      <c r="X2667" s="82"/>
      <c r="Y2667" s="82"/>
      <c r="Z2667" s="82"/>
    </row>
    <row r="2668" spans="1:26">
      <c r="A2668" s="81"/>
      <c r="F2668" s="81"/>
      <c r="G2668" s="82"/>
      <c r="H2668" s="82"/>
      <c r="I2668" s="82"/>
      <c r="J2668" s="82"/>
      <c r="K2668" s="82"/>
      <c r="L2668" s="82"/>
      <c r="M2668" s="82"/>
      <c r="N2668" s="82"/>
      <c r="O2668" s="82"/>
      <c r="P2668" s="82"/>
      <c r="Q2668" s="82"/>
      <c r="R2668" s="82"/>
      <c r="S2668" s="82"/>
      <c r="T2668" s="82"/>
      <c r="U2668" s="82"/>
      <c r="V2668" s="82"/>
      <c r="W2668" s="82"/>
      <c r="X2668" s="82"/>
      <c r="Y2668" s="82"/>
      <c r="Z2668" s="82"/>
    </row>
    <row r="2669" spans="1:26">
      <c r="A2669" s="81"/>
      <c r="F2669" s="81"/>
      <c r="G2669" s="82"/>
      <c r="H2669" s="82"/>
      <c r="I2669" s="82"/>
      <c r="J2669" s="82"/>
      <c r="K2669" s="82"/>
      <c r="L2669" s="82"/>
      <c r="M2669" s="82"/>
      <c r="N2669" s="82"/>
      <c r="O2669" s="82"/>
      <c r="P2669" s="82"/>
      <c r="Q2669" s="82"/>
      <c r="R2669" s="82"/>
      <c r="S2669" s="82"/>
      <c r="T2669" s="82"/>
      <c r="U2669" s="82"/>
      <c r="V2669" s="82"/>
      <c r="W2669" s="82"/>
      <c r="X2669" s="82"/>
      <c r="Y2669" s="82"/>
      <c r="Z2669" s="82"/>
    </row>
    <row r="2670" spans="1:26">
      <c r="A2670" s="81"/>
      <c r="F2670" s="81"/>
      <c r="G2670" s="82"/>
      <c r="H2670" s="82"/>
      <c r="I2670" s="82"/>
      <c r="J2670" s="82"/>
      <c r="K2670" s="82"/>
      <c r="L2670" s="82"/>
      <c r="M2670" s="82"/>
      <c r="N2670" s="82"/>
      <c r="O2670" s="82"/>
      <c r="P2670" s="82"/>
      <c r="Q2670" s="82"/>
      <c r="R2670" s="82"/>
      <c r="S2670" s="82"/>
      <c r="T2670" s="82"/>
      <c r="U2670" s="82"/>
      <c r="V2670" s="82"/>
      <c r="W2670" s="82"/>
      <c r="X2670" s="82"/>
      <c r="Y2670" s="82"/>
      <c r="Z2670" s="82"/>
    </row>
    <row r="2671" spans="1:26">
      <c r="A2671" s="81"/>
      <c r="F2671" s="81"/>
      <c r="G2671" s="82"/>
      <c r="H2671" s="82"/>
      <c r="I2671" s="82"/>
      <c r="J2671" s="82"/>
      <c r="K2671" s="82"/>
      <c r="L2671" s="82"/>
      <c r="M2671" s="82"/>
      <c r="N2671" s="82"/>
      <c r="O2671" s="82"/>
      <c r="P2671" s="82"/>
      <c r="Q2671" s="82"/>
      <c r="R2671" s="82"/>
      <c r="S2671" s="82"/>
      <c r="T2671" s="82"/>
      <c r="U2671" s="82"/>
      <c r="V2671" s="82"/>
      <c r="W2671" s="82"/>
      <c r="X2671" s="82"/>
      <c r="Y2671" s="82"/>
      <c r="Z2671" s="82"/>
    </row>
    <row r="2672" spans="1:26">
      <c r="A2672" s="81"/>
      <c r="F2672" s="81"/>
      <c r="G2672" s="82"/>
      <c r="H2672" s="82"/>
      <c r="I2672" s="82"/>
      <c r="J2672" s="82"/>
      <c r="K2672" s="82"/>
      <c r="L2672" s="82"/>
      <c r="M2672" s="82"/>
      <c r="N2672" s="82"/>
      <c r="O2672" s="82"/>
      <c r="P2672" s="82"/>
      <c r="Q2672" s="82"/>
      <c r="R2672" s="82"/>
      <c r="S2672" s="82"/>
      <c r="T2672" s="82"/>
      <c r="U2672" s="82"/>
      <c r="V2672" s="82"/>
      <c r="W2672" s="82"/>
      <c r="X2672" s="82"/>
      <c r="Y2672" s="82"/>
      <c r="Z2672" s="82"/>
    </row>
    <row r="2673" spans="1:26">
      <c r="A2673" s="81"/>
      <c r="F2673" s="81"/>
      <c r="G2673" s="82"/>
      <c r="H2673" s="82"/>
      <c r="I2673" s="82"/>
      <c r="J2673" s="82"/>
      <c r="K2673" s="82"/>
      <c r="L2673" s="82"/>
      <c r="M2673" s="82"/>
      <c r="N2673" s="82"/>
      <c r="O2673" s="82"/>
      <c r="P2673" s="82"/>
      <c r="Q2673" s="82"/>
      <c r="R2673" s="82"/>
      <c r="S2673" s="82"/>
      <c r="T2673" s="82"/>
      <c r="U2673" s="82"/>
      <c r="V2673" s="82"/>
      <c r="W2673" s="82"/>
      <c r="X2673" s="82"/>
      <c r="Y2673" s="82"/>
      <c r="Z2673" s="82"/>
    </row>
    <row r="2674" spans="1:26">
      <c r="A2674" s="81"/>
      <c r="F2674" s="81"/>
      <c r="G2674" s="82"/>
      <c r="H2674" s="82"/>
      <c r="I2674" s="82"/>
      <c r="J2674" s="82"/>
      <c r="K2674" s="82"/>
      <c r="L2674" s="82"/>
      <c r="M2674" s="82"/>
      <c r="N2674" s="82"/>
      <c r="O2674" s="82"/>
      <c r="P2674" s="82"/>
      <c r="Q2674" s="82"/>
      <c r="R2674" s="82"/>
      <c r="S2674" s="82"/>
      <c r="T2674" s="82"/>
      <c r="U2674" s="82"/>
      <c r="V2674" s="82"/>
      <c r="W2674" s="82"/>
      <c r="X2674" s="82"/>
      <c r="Y2674" s="82"/>
      <c r="Z2674" s="82"/>
    </row>
    <row r="2675" spans="1:26">
      <c r="A2675" s="81"/>
      <c r="F2675" s="81"/>
      <c r="G2675" s="82"/>
      <c r="H2675" s="82"/>
      <c r="I2675" s="82"/>
      <c r="J2675" s="82"/>
      <c r="K2675" s="82"/>
      <c r="L2675" s="82"/>
      <c r="M2675" s="82"/>
      <c r="N2675" s="82"/>
      <c r="O2675" s="82"/>
      <c r="P2675" s="82"/>
      <c r="Q2675" s="82"/>
      <c r="R2675" s="82"/>
      <c r="S2675" s="82"/>
      <c r="T2675" s="82"/>
      <c r="U2675" s="82"/>
      <c r="V2675" s="82"/>
      <c r="W2675" s="82"/>
      <c r="X2675" s="82"/>
      <c r="Y2675" s="82"/>
      <c r="Z2675" s="82"/>
    </row>
    <row r="2676" spans="1:26">
      <c r="A2676" s="81"/>
      <c r="F2676" s="81"/>
      <c r="G2676" s="82"/>
      <c r="H2676" s="82"/>
      <c r="I2676" s="82"/>
      <c r="J2676" s="82"/>
      <c r="K2676" s="82"/>
      <c r="L2676" s="82"/>
      <c r="M2676" s="82"/>
      <c r="N2676" s="82"/>
      <c r="O2676" s="82"/>
      <c r="P2676" s="82"/>
      <c r="Q2676" s="82"/>
      <c r="R2676" s="82"/>
      <c r="S2676" s="82"/>
      <c r="T2676" s="82"/>
      <c r="U2676" s="82"/>
      <c r="V2676" s="82"/>
      <c r="W2676" s="82"/>
      <c r="X2676" s="82"/>
      <c r="Y2676" s="82"/>
      <c r="Z2676" s="82"/>
    </row>
    <row r="2677" spans="1:26">
      <c r="A2677" s="81"/>
      <c r="F2677" s="81"/>
      <c r="G2677" s="82"/>
      <c r="H2677" s="82"/>
      <c r="I2677" s="82"/>
      <c r="J2677" s="82"/>
      <c r="K2677" s="82"/>
      <c r="L2677" s="82"/>
      <c r="M2677" s="82"/>
      <c r="N2677" s="82"/>
      <c r="O2677" s="82"/>
      <c r="P2677" s="82"/>
      <c r="Q2677" s="82"/>
      <c r="R2677" s="82"/>
      <c r="S2677" s="82"/>
      <c r="T2677" s="82"/>
      <c r="U2677" s="82"/>
      <c r="V2677" s="82"/>
      <c r="W2677" s="82"/>
      <c r="X2677" s="82"/>
      <c r="Y2677" s="82"/>
      <c r="Z2677" s="82"/>
    </row>
    <row r="2678" spans="1:26">
      <c r="A2678" s="81"/>
      <c r="F2678" s="81"/>
      <c r="G2678" s="82"/>
      <c r="H2678" s="82"/>
      <c r="I2678" s="82"/>
      <c r="J2678" s="82"/>
      <c r="K2678" s="82"/>
      <c r="L2678" s="82"/>
      <c r="M2678" s="82"/>
      <c r="N2678" s="82"/>
      <c r="O2678" s="82"/>
      <c r="P2678" s="82"/>
      <c r="Q2678" s="82"/>
      <c r="R2678" s="82"/>
      <c r="S2678" s="82"/>
      <c r="T2678" s="82"/>
      <c r="U2678" s="82"/>
      <c r="V2678" s="82"/>
      <c r="W2678" s="82"/>
      <c r="X2678" s="82"/>
      <c r="Y2678" s="82"/>
      <c r="Z2678" s="82"/>
    </row>
    <row r="2679" spans="1:26">
      <c r="A2679" s="81"/>
      <c r="F2679" s="81"/>
      <c r="G2679" s="82"/>
      <c r="H2679" s="82"/>
      <c r="I2679" s="82"/>
      <c r="J2679" s="82"/>
      <c r="K2679" s="82"/>
      <c r="L2679" s="82"/>
      <c r="M2679" s="82"/>
      <c r="N2679" s="82"/>
      <c r="O2679" s="82"/>
      <c r="P2679" s="82"/>
      <c r="Q2679" s="82"/>
      <c r="R2679" s="82"/>
      <c r="S2679" s="82"/>
      <c r="T2679" s="82"/>
      <c r="U2679" s="82"/>
      <c r="V2679" s="82"/>
      <c r="W2679" s="82"/>
      <c r="X2679" s="82"/>
      <c r="Y2679" s="82"/>
      <c r="Z2679" s="82"/>
    </row>
    <row r="2680" spans="1:26">
      <c r="A2680" s="81"/>
      <c r="F2680" s="81"/>
      <c r="G2680" s="82"/>
      <c r="H2680" s="82"/>
      <c r="I2680" s="82"/>
      <c r="J2680" s="82"/>
      <c r="K2680" s="82"/>
      <c r="L2680" s="82"/>
      <c r="M2680" s="82"/>
      <c r="N2680" s="82"/>
      <c r="O2680" s="82"/>
      <c r="P2680" s="82"/>
      <c r="Q2680" s="82"/>
      <c r="R2680" s="82"/>
      <c r="S2680" s="82"/>
      <c r="T2680" s="82"/>
      <c r="U2680" s="82"/>
      <c r="V2680" s="82"/>
      <c r="W2680" s="82"/>
      <c r="X2680" s="82"/>
      <c r="Y2680" s="82"/>
      <c r="Z2680" s="82"/>
    </row>
    <row r="2681" spans="1:26">
      <c r="A2681" s="81"/>
      <c r="F2681" s="81"/>
      <c r="G2681" s="82"/>
      <c r="H2681" s="82"/>
      <c r="I2681" s="82"/>
      <c r="J2681" s="82"/>
      <c r="K2681" s="82"/>
      <c r="L2681" s="82"/>
      <c r="M2681" s="82"/>
      <c r="N2681" s="82"/>
      <c r="O2681" s="82"/>
      <c r="P2681" s="82"/>
      <c r="Q2681" s="82"/>
      <c r="R2681" s="82"/>
      <c r="S2681" s="82"/>
      <c r="T2681" s="82"/>
      <c r="U2681" s="82"/>
      <c r="V2681" s="82"/>
      <c r="W2681" s="82"/>
      <c r="X2681" s="82"/>
      <c r="Y2681" s="82"/>
      <c r="Z2681" s="82"/>
    </row>
    <row r="2682" spans="1:26">
      <c r="A2682" s="81"/>
      <c r="F2682" s="81"/>
      <c r="G2682" s="82"/>
      <c r="H2682" s="82"/>
      <c r="I2682" s="82"/>
      <c r="J2682" s="82"/>
      <c r="K2682" s="82"/>
      <c r="L2682" s="82"/>
      <c r="M2682" s="82"/>
      <c r="N2682" s="82"/>
      <c r="O2682" s="82"/>
      <c r="P2682" s="82"/>
      <c r="Q2682" s="82"/>
      <c r="R2682" s="82"/>
      <c r="S2682" s="82"/>
      <c r="T2682" s="82"/>
      <c r="U2682" s="82"/>
      <c r="V2682" s="82"/>
      <c r="W2682" s="82"/>
      <c r="X2682" s="82"/>
      <c r="Y2682" s="82"/>
      <c r="Z2682" s="82"/>
    </row>
    <row r="2683" spans="1:26">
      <c r="A2683" s="81"/>
      <c r="F2683" s="81"/>
      <c r="G2683" s="82"/>
      <c r="H2683" s="82"/>
      <c r="I2683" s="82"/>
      <c r="J2683" s="82"/>
      <c r="K2683" s="82"/>
      <c r="L2683" s="82"/>
      <c r="M2683" s="82"/>
      <c r="N2683" s="82"/>
      <c r="O2683" s="82"/>
      <c r="P2683" s="82"/>
      <c r="Q2683" s="82"/>
      <c r="R2683" s="82"/>
      <c r="S2683" s="82"/>
      <c r="T2683" s="82"/>
      <c r="U2683" s="82"/>
      <c r="V2683" s="82"/>
      <c r="W2683" s="82"/>
      <c r="X2683" s="82"/>
      <c r="Y2683" s="82"/>
      <c r="Z2683" s="82"/>
    </row>
    <row r="2684" spans="1:26">
      <c r="A2684" s="81"/>
      <c r="F2684" s="81"/>
      <c r="G2684" s="82"/>
      <c r="H2684" s="82"/>
      <c r="I2684" s="82"/>
      <c r="J2684" s="82"/>
      <c r="K2684" s="82"/>
      <c r="L2684" s="82"/>
      <c r="M2684" s="82"/>
      <c r="N2684" s="82"/>
      <c r="O2684" s="82"/>
      <c r="P2684" s="82"/>
      <c r="Q2684" s="82"/>
      <c r="R2684" s="82"/>
      <c r="S2684" s="82"/>
      <c r="T2684" s="82"/>
      <c r="U2684" s="82"/>
      <c r="V2684" s="82"/>
      <c r="W2684" s="82"/>
      <c r="X2684" s="82"/>
      <c r="Y2684" s="82"/>
      <c r="Z2684" s="82"/>
    </row>
    <row r="2685" spans="1:26">
      <c r="A2685" s="81"/>
      <c r="F2685" s="81"/>
      <c r="G2685" s="82"/>
      <c r="H2685" s="82"/>
      <c r="I2685" s="82"/>
      <c r="J2685" s="82"/>
      <c r="K2685" s="82"/>
      <c r="L2685" s="82"/>
      <c r="M2685" s="82"/>
      <c r="N2685" s="82"/>
      <c r="O2685" s="82"/>
      <c r="P2685" s="82"/>
      <c r="Q2685" s="82"/>
      <c r="R2685" s="82"/>
      <c r="S2685" s="82"/>
      <c r="T2685" s="82"/>
      <c r="U2685" s="82"/>
      <c r="V2685" s="82"/>
      <c r="W2685" s="82"/>
      <c r="X2685" s="82"/>
      <c r="Y2685" s="82"/>
      <c r="Z2685" s="82"/>
    </row>
    <row r="2686" spans="1:26">
      <c r="A2686" s="81"/>
      <c r="F2686" s="81"/>
      <c r="G2686" s="82"/>
      <c r="H2686" s="82"/>
      <c r="I2686" s="82"/>
      <c r="J2686" s="82"/>
      <c r="K2686" s="82"/>
      <c r="L2686" s="82"/>
      <c r="M2686" s="82"/>
      <c r="N2686" s="82"/>
      <c r="O2686" s="82"/>
      <c r="P2686" s="82"/>
      <c r="Q2686" s="82"/>
      <c r="R2686" s="82"/>
      <c r="S2686" s="82"/>
      <c r="T2686" s="82"/>
      <c r="U2686" s="82"/>
      <c r="V2686" s="82"/>
      <c r="W2686" s="82"/>
      <c r="X2686" s="82"/>
      <c r="Y2686" s="82"/>
      <c r="Z2686" s="82"/>
    </row>
    <row r="2687" spans="1:26">
      <c r="A2687" s="81"/>
      <c r="F2687" s="81"/>
      <c r="G2687" s="82"/>
      <c r="H2687" s="82"/>
      <c r="I2687" s="82"/>
      <c r="J2687" s="82"/>
      <c r="K2687" s="82"/>
      <c r="L2687" s="82"/>
      <c r="M2687" s="82"/>
      <c r="N2687" s="82"/>
      <c r="O2687" s="82"/>
      <c r="P2687" s="82"/>
      <c r="Q2687" s="82"/>
      <c r="R2687" s="82"/>
      <c r="S2687" s="82"/>
      <c r="T2687" s="82"/>
      <c r="U2687" s="82"/>
      <c r="V2687" s="82"/>
      <c r="W2687" s="82"/>
      <c r="X2687" s="82"/>
      <c r="Y2687" s="82"/>
      <c r="Z2687" s="82"/>
    </row>
    <row r="2688" spans="1:26">
      <c r="A2688" s="81"/>
      <c r="F2688" s="81"/>
      <c r="G2688" s="82"/>
      <c r="H2688" s="82"/>
      <c r="I2688" s="82"/>
      <c r="J2688" s="82"/>
      <c r="K2688" s="82"/>
      <c r="L2688" s="82"/>
      <c r="M2688" s="82"/>
      <c r="N2688" s="82"/>
      <c r="O2688" s="82"/>
      <c r="P2688" s="82"/>
      <c r="Q2688" s="82"/>
      <c r="R2688" s="82"/>
      <c r="S2688" s="82"/>
      <c r="T2688" s="82"/>
      <c r="U2688" s="82"/>
      <c r="V2688" s="82"/>
      <c r="W2688" s="82"/>
      <c r="X2688" s="82"/>
      <c r="Y2688" s="82"/>
      <c r="Z2688" s="82"/>
    </row>
    <row r="2689" spans="1:26">
      <c r="A2689" s="81"/>
      <c r="F2689" s="81"/>
      <c r="G2689" s="82"/>
      <c r="H2689" s="82"/>
      <c r="I2689" s="82"/>
      <c r="J2689" s="82"/>
      <c r="K2689" s="82"/>
      <c r="L2689" s="82"/>
      <c r="M2689" s="82"/>
      <c r="N2689" s="82"/>
      <c r="O2689" s="82"/>
      <c r="P2689" s="82"/>
      <c r="Q2689" s="82"/>
      <c r="R2689" s="82"/>
      <c r="S2689" s="82"/>
      <c r="T2689" s="82"/>
      <c r="U2689" s="82"/>
      <c r="V2689" s="82"/>
      <c r="W2689" s="82"/>
      <c r="X2689" s="82"/>
      <c r="Y2689" s="82"/>
      <c r="Z2689" s="82"/>
    </row>
    <row r="2690" spans="1:26">
      <c r="A2690" s="81"/>
      <c r="F2690" s="81"/>
      <c r="G2690" s="82"/>
      <c r="H2690" s="82"/>
      <c r="I2690" s="82"/>
      <c r="J2690" s="82"/>
      <c r="K2690" s="82"/>
      <c r="L2690" s="82"/>
      <c r="M2690" s="82"/>
      <c r="N2690" s="82"/>
      <c r="O2690" s="82"/>
      <c r="P2690" s="82"/>
      <c r="Q2690" s="82"/>
      <c r="R2690" s="82"/>
      <c r="S2690" s="82"/>
      <c r="T2690" s="82"/>
      <c r="U2690" s="82"/>
      <c r="V2690" s="82"/>
      <c r="W2690" s="82"/>
      <c r="X2690" s="82"/>
      <c r="Y2690" s="82"/>
      <c r="Z2690" s="82"/>
    </row>
    <row r="2691" spans="1:26">
      <c r="A2691" s="81"/>
      <c r="F2691" s="81"/>
      <c r="G2691" s="82"/>
      <c r="H2691" s="82"/>
      <c r="I2691" s="82"/>
      <c r="J2691" s="82"/>
      <c r="K2691" s="82"/>
      <c r="L2691" s="82"/>
      <c r="M2691" s="82"/>
      <c r="N2691" s="82"/>
      <c r="O2691" s="82"/>
      <c r="P2691" s="82"/>
      <c r="Q2691" s="82"/>
      <c r="R2691" s="82"/>
      <c r="S2691" s="82"/>
      <c r="T2691" s="82"/>
      <c r="U2691" s="82"/>
      <c r="V2691" s="82"/>
      <c r="W2691" s="82"/>
      <c r="X2691" s="82"/>
      <c r="Y2691" s="82"/>
      <c r="Z2691" s="82"/>
    </row>
    <row r="2692" spans="1:26">
      <c r="A2692" s="81"/>
      <c r="F2692" s="81"/>
      <c r="G2692" s="82"/>
      <c r="H2692" s="82"/>
      <c r="I2692" s="82"/>
      <c r="J2692" s="82"/>
      <c r="K2692" s="82"/>
      <c r="L2692" s="82"/>
      <c r="M2692" s="82"/>
      <c r="N2692" s="82"/>
      <c r="O2692" s="82"/>
      <c r="P2692" s="82"/>
      <c r="Q2692" s="82"/>
      <c r="R2692" s="82"/>
      <c r="S2692" s="82"/>
      <c r="T2692" s="82"/>
      <c r="U2692" s="82"/>
      <c r="V2692" s="82"/>
      <c r="W2692" s="82"/>
      <c r="X2692" s="82"/>
      <c r="Y2692" s="82"/>
      <c r="Z2692" s="82"/>
    </row>
    <row r="2693" spans="1:26">
      <c r="A2693" s="81"/>
      <c r="F2693" s="81"/>
      <c r="G2693" s="82"/>
      <c r="H2693" s="82"/>
      <c r="I2693" s="82"/>
      <c r="J2693" s="82"/>
      <c r="K2693" s="82"/>
      <c r="L2693" s="82"/>
      <c r="M2693" s="82"/>
      <c r="N2693" s="82"/>
      <c r="O2693" s="82"/>
      <c r="P2693" s="82"/>
      <c r="Q2693" s="82"/>
      <c r="R2693" s="82"/>
      <c r="S2693" s="82"/>
      <c r="T2693" s="82"/>
      <c r="U2693" s="82"/>
      <c r="V2693" s="82"/>
      <c r="W2693" s="82"/>
      <c r="X2693" s="82"/>
      <c r="Y2693" s="82"/>
      <c r="Z2693" s="82"/>
    </row>
    <row r="2694" spans="1:26">
      <c r="A2694" s="81"/>
      <c r="F2694" s="81"/>
      <c r="G2694" s="82"/>
      <c r="H2694" s="82"/>
      <c r="I2694" s="82"/>
      <c r="J2694" s="82"/>
      <c r="K2694" s="82"/>
      <c r="L2694" s="82"/>
      <c r="M2694" s="82"/>
      <c r="N2694" s="82"/>
      <c r="O2694" s="82"/>
      <c r="P2694" s="82"/>
      <c r="Q2694" s="82"/>
      <c r="R2694" s="82"/>
      <c r="S2694" s="82"/>
      <c r="T2694" s="82"/>
      <c r="U2694" s="82"/>
      <c r="V2694" s="82"/>
      <c r="W2694" s="82"/>
      <c r="X2694" s="82"/>
      <c r="Y2694" s="82"/>
      <c r="Z2694" s="82"/>
    </row>
    <row r="2695" spans="1:26">
      <c r="A2695" s="81"/>
      <c r="F2695" s="81"/>
      <c r="G2695" s="82"/>
      <c r="H2695" s="82"/>
      <c r="I2695" s="82"/>
      <c r="J2695" s="82"/>
      <c r="K2695" s="82"/>
      <c r="L2695" s="82"/>
      <c r="M2695" s="82"/>
      <c r="N2695" s="82"/>
      <c r="O2695" s="82"/>
      <c r="P2695" s="82"/>
      <c r="Q2695" s="82"/>
      <c r="R2695" s="82"/>
      <c r="S2695" s="82"/>
      <c r="T2695" s="82"/>
      <c r="U2695" s="82"/>
      <c r="V2695" s="82"/>
      <c r="W2695" s="82"/>
      <c r="X2695" s="82"/>
      <c r="Y2695" s="82"/>
      <c r="Z2695" s="82"/>
    </row>
    <row r="2696" spans="1:26">
      <c r="A2696" s="81"/>
      <c r="F2696" s="81"/>
      <c r="G2696" s="82"/>
      <c r="H2696" s="82"/>
      <c r="I2696" s="82"/>
      <c r="J2696" s="82"/>
      <c r="K2696" s="82"/>
      <c r="L2696" s="82"/>
      <c r="M2696" s="82"/>
      <c r="N2696" s="82"/>
      <c r="O2696" s="82"/>
      <c r="P2696" s="82"/>
      <c r="Q2696" s="82"/>
      <c r="R2696" s="82"/>
      <c r="S2696" s="82"/>
      <c r="T2696" s="82"/>
      <c r="U2696" s="82"/>
      <c r="V2696" s="82"/>
      <c r="W2696" s="82"/>
      <c r="X2696" s="82"/>
      <c r="Y2696" s="82"/>
      <c r="Z2696" s="82"/>
    </row>
    <row r="2697" spans="1:26">
      <c r="A2697" s="81"/>
      <c r="F2697" s="81"/>
      <c r="G2697" s="82"/>
      <c r="H2697" s="82"/>
      <c r="I2697" s="82"/>
      <c r="J2697" s="82"/>
      <c r="K2697" s="82"/>
      <c r="L2697" s="82"/>
      <c r="M2697" s="82"/>
      <c r="N2697" s="82"/>
      <c r="O2697" s="82"/>
      <c r="P2697" s="82"/>
      <c r="Q2697" s="82"/>
      <c r="R2697" s="82"/>
      <c r="S2697" s="82"/>
      <c r="T2697" s="82"/>
      <c r="U2697" s="82"/>
      <c r="V2697" s="82"/>
      <c r="W2697" s="82"/>
      <c r="X2697" s="82"/>
      <c r="Y2697" s="82"/>
      <c r="Z2697" s="82"/>
    </row>
    <row r="2698" spans="1:26">
      <c r="A2698" s="81"/>
      <c r="F2698" s="81"/>
      <c r="G2698" s="82"/>
      <c r="H2698" s="82"/>
      <c r="I2698" s="82"/>
      <c r="J2698" s="82"/>
      <c r="K2698" s="82"/>
      <c r="L2698" s="82"/>
      <c r="M2698" s="82"/>
      <c r="N2698" s="82"/>
      <c r="O2698" s="82"/>
      <c r="P2698" s="82"/>
      <c r="Q2698" s="82"/>
      <c r="R2698" s="82"/>
      <c r="S2698" s="82"/>
      <c r="T2698" s="82"/>
      <c r="U2698" s="82"/>
      <c r="V2698" s="82"/>
      <c r="W2698" s="82"/>
      <c r="X2698" s="82"/>
      <c r="Y2698" s="82"/>
      <c r="Z2698" s="82"/>
    </row>
    <row r="2699" spans="1:26">
      <c r="A2699" s="81"/>
      <c r="F2699" s="81"/>
      <c r="G2699" s="82"/>
      <c r="H2699" s="82"/>
      <c r="I2699" s="82"/>
      <c r="J2699" s="82"/>
      <c r="K2699" s="82"/>
      <c r="L2699" s="82"/>
      <c r="M2699" s="82"/>
      <c r="N2699" s="82"/>
      <c r="O2699" s="82"/>
      <c r="P2699" s="82"/>
      <c r="Q2699" s="82"/>
      <c r="R2699" s="82"/>
      <c r="S2699" s="82"/>
      <c r="T2699" s="82"/>
      <c r="U2699" s="82"/>
      <c r="V2699" s="82"/>
      <c r="W2699" s="82"/>
      <c r="X2699" s="82"/>
      <c r="Y2699" s="82"/>
      <c r="Z2699" s="82"/>
    </row>
    <row r="2700" spans="1:26">
      <c r="A2700" s="81"/>
      <c r="F2700" s="81"/>
      <c r="G2700" s="82"/>
      <c r="H2700" s="82"/>
      <c r="I2700" s="82"/>
      <c r="J2700" s="82"/>
      <c r="K2700" s="82"/>
      <c r="L2700" s="82"/>
      <c r="M2700" s="82"/>
      <c r="N2700" s="82"/>
      <c r="O2700" s="82"/>
      <c r="P2700" s="82"/>
      <c r="Q2700" s="82"/>
      <c r="R2700" s="82"/>
      <c r="S2700" s="82"/>
      <c r="T2700" s="82"/>
      <c r="U2700" s="82"/>
      <c r="V2700" s="82"/>
      <c r="W2700" s="82"/>
      <c r="X2700" s="82"/>
      <c r="Y2700" s="82"/>
      <c r="Z2700" s="82"/>
    </row>
    <row r="2701" spans="1:26">
      <c r="A2701" s="81"/>
      <c r="F2701" s="81"/>
      <c r="G2701" s="82"/>
      <c r="H2701" s="82"/>
      <c r="I2701" s="82"/>
      <c r="J2701" s="82"/>
      <c r="K2701" s="82"/>
      <c r="L2701" s="82"/>
      <c r="M2701" s="82"/>
      <c r="N2701" s="82"/>
      <c r="O2701" s="82"/>
      <c r="P2701" s="82"/>
      <c r="Q2701" s="82"/>
      <c r="R2701" s="82"/>
      <c r="S2701" s="82"/>
      <c r="T2701" s="82"/>
      <c r="U2701" s="82"/>
      <c r="V2701" s="82"/>
      <c r="W2701" s="82"/>
      <c r="X2701" s="82"/>
      <c r="Y2701" s="82"/>
      <c r="Z2701" s="82"/>
    </row>
    <row r="2702" spans="1:26">
      <c r="A2702" s="81"/>
      <c r="F2702" s="81"/>
      <c r="G2702" s="82"/>
      <c r="H2702" s="82"/>
      <c r="I2702" s="82"/>
      <c r="J2702" s="82"/>
      <c r="K2702" s="82"/>
      <c r="L2702" s="82"/>
      <c r="M2702" s="82"/>
      <c r="N2702" s="82"/>
      <c r="O2702" s="82"/>
      <c r="P2702" s="82"/>
      <c r="Q2702" s="82"/>
      <c r="R2702" s="82"/>
      <c r="S2702" s="82"/>
      <c r="T2702" s="82"/>
      <c r="U2702" s="82"/>
      <c r="V2702" s="82"/>
      <c r="W2702" s="82"/>
      <c r="X2702" s="82"/>
      <c r="Y2702" s="82"/>
      <c r="Z2702" s="82"/>
    </row>
    <row r="2703" spans="1:26">
      <c r="A2703" s="81"/>
      <c r="F2703" s="81"/>
      <c r="G2703" s="82"/>
      <c r="H2703" s="82"/>
      <c r="I2703" s="82"/>
      <c r="J2703" s="82"/>
      <c r="K2703" s="82"/>
      <c r="L2703" s="82"/>
      <c r="M2703" s="82"/>
      <c r="N2703" s="82"/>
      <c r="O2703" s="82"/>
      <c r="P2703" s="82"/>
      <c r="Q2703" s="82"/>
      <c r="R2703" s="82"/>
      <c r="S2703" s="82"/>
      <c r="T2703" s="82"/>
      <c r="U2703" s="82"/>
      <c r="V2703" s="82"/>
      <c r="W2703" s="82"/>
      <c r="X2703" s="82"/>
      <c r="Y2703" s="82"/>
      <c r="Z2703" s="82"/>
    </row>
    <row r="2704" spans="1:26">
      <c r="A2704" s="81"/>
      <c r="F2704" s="81"/>
      <c r="G2704" s="82"/>
      <c r="H2704" s="82"/>
      <c r="I2704" s="82"/>
      <c r="J2704" s="82"/>
      <c r="K2704" s="82"/>
      <c r="L2704" s="82"/>
      <c r="M2704" s="82"/>
      <c r="N2704" s="82"/>
      <c r="O2704" s="82"/>
      <c r="P2704" s="82"/>
      <c r="Q2704" s="82"/>
      <c r="R2704" s="82"/>
      <c r="S2704" s="82"/>
      <c r="T2704" s="82"/>
      <c r="U2704" s="82"/>
      <c r="V2704" s="82"/>
      <c r="W2704" s="82"/>
      <c r="X2704" s="82"/>
      <c r="Y2704" s="82"/>
      <c r="Z2704" s="82"/>
    </row>
    <row r="2705" spans="1:26">
      <c r="A2705" s="81"/>
      <c r="F2705" s="81"/>
      <c r="G2705" s="82"/>
      <c r="H2705" s="82"/>
      <c r="I2705" s="82"/>
      <c r="J2705" s="82"/>
      <c r="K2705" s="82"/>
      <c r="L2705" s="82"/>
      <c r="M2705" s="82"/>
      <c r="N2705" s="82"/>
      <c r="O2705" s="82"/>
      <c r="P2705" s="82"/>
      <c r="Q2705" s="82"/>
      <c r="R2705" s="82"/>
      <c r="S2705" s="82"/>
      <c r="T2705" s="82"/>
      <c r="U2705" s="82"/>
      <c r="V2705" s="82"/>
      <c r="W2705" s="82"/>
      <c r="X2705" s="82"/>
      <c r="Y2705" s="82"/>
      <c r="Z2705" s="82"/>
    </row>
    <row r="2706" spans="1:26">
      <c r="A2706" s="81"/>
      <c r="F2706" s="81"/>
      <c r="G2706" s="82"/>
      <c r="H2706" s="82"/>
      <c r="I2706" s="82"/>
      <c r="J2706" s="82"/>
      <c r="K2706" s="82"/>
      <c r="L2706" s="82"/>
      <c r="M2706" s="82"/>
      <c r="N2706" s="82"/>
      <c r="O2706" s="82"/>
      <c r="P2706" s="82"/>
      <c r="Q2706" s="82"/>
      <c r="R2706" s="82"/>
      <c r="S2706" s="82"/>
      <c r="T2706" s="82"/>
      <c r="U2706" s="82"/>
      <c r="V2706" s="82"/>
      <c r="W2706" s="82"/>
      <c r="X2706" s="82"/>
      <c r="Y2706" s="82"/>
      <c r="Z2706" s="82"/>
    </row>
    <row r="2707" spans="1:26">
      <c r="A2707" s="81"/>
      <c r="F2707" s="81"/>
      <c r="G2707" s="82"/>
      <c r="H2707" s="82"/>
      <c r="I2707" s="82"/>
      <c r="J2707" s="82"/>
      <c r="K2707" s="82"/>
      <c r="L2707" s="82"/>
      <c r="M2707" s="82"/>
      <c r="N2707" s="82"/>
      <c r="O2707" s="82"/>
      <c r="P2707" s="82"/>
      <c r="Q2707" s="82"/>
      <c r="R2707" s="82"/>
      <c r="S2707" s="82"/>
      <c r="T2707" s="82"/>
      <c r="U2707" s="82"/>
      <c r="V2707" s="82"/>
      <c r="W2707" s="82"/>
      <c r="X2707" s="82"/>
      <c r="Y2707" s="82"/>
      <c r="Z2707" s="82"/>
    </row>
    <row r="2708" spans="1:26">
      <c r="A2708" s="81"/>
      <c r="F2708" s="81"/>
      <c r="G2708" s="82"/>
      <c r="H2708" s="82"/>
      <c r="I2708" s="82"/>
      <c r="J2708" s="82"/>
      <c r="K2708" s="82"/>
      <c r="L2708" s="82"/>
      <c r="M2708" s="82"/>
      <c r="N2708" s="82"/>
      <c r="O2708" s="82"/>
      <c r="P2708" s="82"/>
      <c r="Q2708" s="82"/>
      <c r="R2708" s="82"/>
      <c r="S2708" s="82"/>
      <c r="T2708" s="82"/>
      <c r="U2708" s="82"/>
      <c r="V2708" s="82"/>
      <c r="W2708" s="82"/>
      <c r="X2708" s="82"/>
      <c r="Y2708" s="82"/>
      <c r="Z2708" s="82"/>
    </row>
    <row r="2709" spans="1:26">
      <c r="A2709" s="81"/>
      <c r="F2709" s="81"/>
      <c r="G2709" s="82"/>
      <c r="H2709" s="82"/>
      <c r="I2709" s="82"/>
      <c r="J2709" s="82"/>
      <c r="K2709" s="82"/>
      <c r="L2709" s="82"/>
      <c r="M2709" s="82"/>
      <c r="N2709" s="82"/>
      <c r="O2709" s="82"/>
      <c r="P2709" s="82"/>
      <c r="Q2709" s="82"/>
      <c r="R2709" s="82"/>
      <c r="S2709" s="82"/>
      <c r="T2709" s="82"/>
      <c r="U2709" s="82"/>
      <c r="V2709" s="82"/>
      <c r="W2709" s="82"/>
      <c r="X2709" s="82"/>
      <c r="Y2709" s="82"/>
      <c r="Z2709" s="82"/>
    </row>
    <row r="2710" spans="1:26">
      <c r="A2710" s="81"/>
      <c r="F2710" s="81"/>
      <c r="G2710" s="82"/>
      <c r="H2710" s="82"/>
      <c r="I2710" s="82"/>
      <c r="J2710" s="82"/>
      <c r="K2710" s="82"/>
      <c r="L2710" s="82"/>
      <c r="M2710" s="82"/>
      <c r="N2710" s="82"/>
      <c r="O2710" s="82"/>
      <c r="P2710" s="82"/>
      <c r="Q2710" s="82"/>
      <c r="R2710" s="82"/>
      <c r="S2710" s="82"/>
      <c r="T2710" s="82"/>
      <c r="U2710" s="82"/>
      <c r="V2710" s="82"/>
      <c r="W2710" s="82"/>
      <c r="X2710" s="82"/>
      <c r="Y2710" s="82"/>
      <c r="Z2710" s="82"/>
    </row>
    <row r="2711" spans="1:26">
      <c r="A2711" s="81"/>
      <c r="F2711" s="81"/>
      <c r="G2711" s="82"/>
      <c r="H2711" s="82"/>
      <c r="I2711" s="82"/>
      <c r="J2711" s="82"/>
      <c r="K2711" s="82"/>
      <c r="L2711" s="82"/>
      <c r="M2711" s="82"/>
      <c r="N2711" s="82"/>
      <c r="O2711" s="82"/>
      <c r="P2711" s="82"/>
      <c r="Q2711" s="82"/>
      <c r="R2711" s="82"/>
      <c r="S2711" s="82"/>
      <c r="T2711" s="82"/>
      <c r="U2711" s="82"/>
      <c r="V2711" s="82"/>
      <c r="W2711" s="82"/>
      <c r="X2711" s="82"/>
      <c r="Y2711" s="82"/>
      <c r="Z2711" s="82"/>
    </row>
    <row r="2712" spans="1:26">
      <c r="A2712" s="81"/>
      <c r="F2712" s="81"/>
      <c r="G2712" s="82"/>
      <c r="H2712" s="82"/>
      <c r="I2712" s="82"/>
      <c r="J2712" s="82"/>
      <c r="K2712" s="82"/>
      <c r="L2712" s="82"/>
      <c r="M2712" s="82"/>
      <c r="N2712" s="82"/>
      <c r="O2712" s="82"/>
      <c r="P2712" s="82"/>
      <c r="Q2712" s="82"/>
      <c r="R2712" s="82"/>
      <c r="S2712" s="82"/>
      <c r="T2712" s="82"/>
      <c r="U2712" s="82"/>
      <c r="V2712" s="82"/>
      <c r="W2712" s="82"/>
      <c r="X2712" s="82"/>
      <c r="Y2712" s="82"/>
      <c r="Z2712" s="82"/>
    </row>
    <row r="2713" spans="1:26">
      <c r="A2713" s="81"/>
      <c r="F2713" s="81"/>
      <c r="G2713" s="82"/>
      <c r="H2713" s="82"/>
      <c r="I2713" s="82"/>
      <c r="J2713" s="82"/>
      <c r="K2713" s="82"/>
      <c r="L2713" s="82"/>
      <c r="M2713" s="82"/>
      <c r="N2713" s="82"/>
      <c r="O2713" s="82"/>
      <c r="P2713" s="82"/>
      <c r="Q2713" s="82"/>
      <c r="R2713" s="82"/>
      <c r="S2713" s="82"/>
      <c r="T2713" s="82"/>
      <c r="U2713" s="82"/>
      <c r="V2713" s="82"/>
      <c r="W2713" s="82"/>
      <c r="X2713" s="82"/>
      <c r="Y2713" s="82"/>
      <c r="Z2713" s="82"/>
    </row>
    <row r="2714" spans="1:26">
      <c r="A2714" s="81"/>
      <c r="F2714" s="81"/>
      <c r="G2714" s="82"/>
      <c r="H2714" s="82"/>
      <c r="I2714" s="82"/>
      <c r="J2714" s="82"/>
      <c r="K2714" s="82"/>
      <c r="L2714" s="82"/>
      <c r="M2714" s="82"/>
      <c r="N2714" s="82"/>
      <c r="O2714" s="82"/>
      <c r="P2714" s="82"/>
      <c r="Q2714" s="82"/>
      <c r="R2714" s="82"/>
      <c r="S2714" s="82"/>
      <c r="T2714" s="82"/>
      <c r="U2714" s="82"/>
      <c r="V2714" s="82"/>
      <c r="W2714" s="82"/>
      <c r="X2714" s="82"/>
      <c r="Y2714" s="82"/>
      <c r="Z2714" s="82"/>
    </row>
    <row r="2715" spans="1:26">
      <c r="A2715" s="81"/>
      <c r="F2715" s="81"/>
      <c r="G2715" s="82"/>
      <c r="H2715" s="82"/>
      <c r="I2715" s="82"/>
      <c r="J2715" s="82"/>
      <c r="K2715" s="82"/>
      <c r="L2715" s="82"/>
      <c r="M2715" s="82"/>
      <c r="N2715" s="82"/>
      <c r="O2715" s="82"/>
      <c r="P2715" s="82"/>
      <c r="Q2715" s="82"/>
      <c r="R2715" s="82"/>
      <c r="S2715" s="82"/>
      <c r="T2715" s="82"/>
      <c r="U2715" s="82"/>
      <c r="V2715" s="82"/>
      <c r="W2715" s="82"/>
      <c r="X2715" s="82"/>
      <c r="Y2715" s="82"/>
      <c r="Z2715" s="82"/>
    </row>
    <row r="2716" spans="1:26">
      <c r="A2716" s="81"/>
      <c r="F2716" s="81"/>
      <c r="G2716" s="82"/>
      <c r="H2716" s="82"/>
      <c r="I2716" s="82"/>
      <c r="J2716" s="82"/>
      <c r="K2716" s="82"/>
      <c r="L2716" s="82"/>
      <c r="M2716" s="82"/>
      <c r="N2716" s="82"/>
      <c r="O2716" s="82"/>
      <c r="P2716" s="82"/>
      <c r="Q2716" s="82"/>
      <c r="R2716" s="82"/>
      <c r="S2716" s="82"/>
      <c r="T2716" s="82"/>
      <c r="U2716" s="82"/>
      <c r="V2716" s="82"/>
      <c r="W2716" s="82"/>
      <c r="X2716" s="82"/>
      <c r="Y2716" s="82"/>
      <c r="Z2716" s="82"/>
    </row>
    <row r="2717" spans="1:26">
      <c r="A2717" s="81"/>
      <c r="F2717" s="81"/>
      <c r="G2717" s="82"/>
      <c r="H2717" s="82"/>
      <c r="I2717" s="82"/>
      <c r="J2717" s="82"/>
      <c r="K2717" s="82"/>
      <c r="L2717" s="82"/>
      <c r="M2717" s="82"/>
      <c r="N2717" s="82"/>
      <c r="O2717" s="82"/>
      <c r="P2717" s="82"/>
      <c r="Q2717" s="82"/>
      <c r="R2717" s="82"/>
      <c r="S2717" s="82"/>
      <c r="T2717" s="82"/>
      <c r="U2717" s="82"/>
      <c r="V2717" s="82"/>
      <c r="W2717" s="82"/>
      <c r="X2717" s="82"/>
      <c r="Y2717" s="82"/>
      <c r="Z2717" s="82"/>
    </row>
    <row r="2718" spans="1:26">
      <c r="A2718" s="81"/>
      <c r="F2718" s="81"/>
      <c r="G2718" s="82"/>
      <c r="H2718" s="82"/>
      <c r="I2718" s="82"/>
      <c r="J2718" s="82"/>
      <c r="K2718" s="82"/>
      <c r="L2718" s="82"/>
      <c r="M2718" s="82"/>
      <c r="N2718" s="82"/>
      <c r="O2718" s="82"/>
      <c r="P2718" s="82"/>
      <c r="Q2718" s="82"/>
      <c r="R2718" s="82"/>
      <c r="S2718" s="82"/>
      <c r="T2718" s="82"/>
      <c r="U2718" s="82"/>
      <c r="V2718" s="82"/>
      <c r="W2718" s="82"/>
      <c r="X2718" s="82"/>
      <c r="Y2718" s="82"/>
      <c r="Z2718" s="82"/>
    </row>
    <row r="2719" spans="1:26">
      <c r="A2719" s="81"/>
      <c r="F2719" s="81"/>
      <c r="G2719" s="82"/>
      <c r="H2719" s="82"/>
      <c r="I2719" s="82"/>
      <c r="J2719" s="82"/>
      <c r="K2719" s="82"/>
      <c r="L2719" s="82"/>
      <c r="M2719" s="82"/>
      <c r="N2719" s="82"/>
      <c r="O2719" s="82"/>
      <c r="P2719" s="82"/>
      <c r="Q2719" s="82"/>
      <c r="R2719" s="82"/>
      <c r="S2719" s="82"/>
      <c r="T2719" s="82"/>
      <c r="U2719" s="82"/>
      <c r="V2719" s="82"/>
      <c r="W2719" s="82"/>
      <c r="X2719" s="82"/>
      <c r="Y2719" s="82"/>
      <c r="Z2719" s="82"/>
    </row>
    <row r="2720" spans="1:26">
      <c r="A2720" s="81"/>
      <c r="F2720" s="81"/>
      <c r="G2720" s="82"/>
      <c r="H2720" s="82"/>
      <c r="I2720" s="82"/>
      <c r="J2720" s="82"/>
      <c r="K2720" s="82"/>
      <c r="L2720" s="82"/>
      <c r="M2720" s="82"/>
      <c r="N2720" s="82"/>
      <c r="O2720" s="82"/>
      <c r="P2720" s="82"/>
      <c r="Q2720" s="82"/>
      <c r="R2720" s="82"/>
      <c r="S2720" s="82"/>
      <c r="T2720" s="82"/>
      <c r="U2720" s="82"/>
      <c r="V2720" s="82"/>
      <c r="W2720" s="82"/>
      <c r="X2720" s="82"/>
      <c r="Y2720" s="82"/>
      <c r="Z2720" s="82"/>
    </row>
    <row r="2721" spans="1:26">
      <c r="A2721" s="81"/>
      <c r="F2721" s="81"/>
      <c r="G2721" s="82"/>
      <c r="H2721" s="82"/>
      <c r="I2721" s="82"/>
      <c r="J2721" s="82"/>
      <c r="K2721" s="82"/>
      <c r="L2721" s="82"/>
      <c r="M2721" s="82"/>
      <c r="N2721" s="82"/>
      <c r="O2721" s="82"/>
      <c r="P2721" s="82"/>
      <c r="Q2721" s="82"/>
      <c r="R2721" s="82"/>
      <c r="S2721" s="82"/>
      <c r="T2721" s="82"/>
      <c r="U2721" s="82"/>
      <c r="V2721" s="82"/>
      <c r="W2721" s="82"/>
      <c r="X2721" s="82"/>
      <c r="Y2721" s="82"/>
      <c r="Z2721" s="82"/>
    </row>
    <row r="2722" spans="1:26">
      <c r="A2722" s="81"/>
      <c r="F2722" s="81"/>
      <c r="G2722" s="82"/>
      <c r="H2722" s="82"/>
      <c r="I2722" s="82"/>
      <c r="J2722" s="82"/>
      <c r="K2722" s="82"/>
      <c r="L2722" s="82"/>
      <c r="M2722" s="82"/>
      <c r="N2722" s="82"/>
      <c r="O2722" s="82"/>
      <c r="P2722" s="82"/>
      <c r="Q2722" s="82"/>
      <c r="R2722" s="82"/>
      <c r="S2722" s="82"/>
      <c r="T2722" s="82"/>
      <c r="U2722" s="82"/>
      <c r="V2722" s="82"/>
      <c r="W2722" s="82"/>
      <c r="X2722" s="82"/>
      <c r="Y2722" s="82"/>
      <c r="Z2722" s="82"/>
    </row>
    <row r="2723" spans="1:26">
      <c r="A2723" s="81"/>
      <c r="F2723" s="81"/>
      <c r="G2723" s="82"/>
      <c r="H2723" s="82"/>
      <c r="I2723" s="82"/>
      <c r="J2723" s="82"/>
      <c r="K2723" s="82"/>
      <c r="L2723" s="82"/>
      <c r="M2723" s="82"/>
      <c r="N2723" s="82"/>
      <c r="O2723" s="82"/>
      <c r="P2723" s="82"/>
      <c r="Q2723" s="82"/>
      <c r="R2723" s="82"/>
      <c r="S2723" s="82"/>
      <c r="T2723" s="82"/>
      <c r="U2723" s="82"/>
      <c r="V2723" s="82"/>
      <c r="W2723" s="82"/>
      <c r="X2723" s="82"/>
      <c r="Y2723" s="82"/>
      <c r="Z2723" s="82"/>
    </row>
    <row r="2724" spans="1:26">
      <c r="A2724" s="81"/>
      <c r="F2724" s="81"/>
      <c r="G2724" s="82"/>
      <c r="H2724" s="82"/>
      <c r="I2724" s="82"/>
      <c r="J2724" s="82"/>
      <c r="K2724" s="82"/>
      <c r="L2724" s="82"/>
      <c r="M2724" s="82"/>
      <c r="N2724" s="82"/>
      <c r="O2724" s="82"/>
      <c r="P2724" s="82"/>
      <c r="Q2724" s="82"/>
      <c r="R2724" s="82"/>
      <c r="S2724" s="82"/>
      <c r="T2724" s="82"/>
      <c r="U2724" s="82"/>
      <c r="V2724" s="82"/>
      <c r="W2724" s="82"/>
      <c r="X2724" s="82"/>
      <c r="Y2724" s="82"/>
      <c r="Z2724" s="82"/>
    </row>
    <row r="2725" spans="1:26">
      <c r="A2725" s="81"/>
      <c r="F2725" s="81"/>
      <c r="G2725" s="82"/>
      <c r="H2725" s="82"/>
      <c r="I2725" s="82"/>
      <c r="J2725" s="82"/>
      <c r="K2725" s="82"/>
      <c r="L2725" s="82"/>
      <c r="M2725" s="82"/>
      <c r="N2725" s="82"/>
      <c r="O2725" s="82"/>
      <c r="P2725" s="82"/>
      <c r="Q2725" s="82"/>
      <c r="R2725" s="82"/>
      <c r="S2725" s="82"/>
      <c r="T2725" s="82"/>
      <c r="U2725" s="82"/>
      <c r="V2725" s="82"/>
      <c r="W2725" s="82"/>
      <c r="X2725" s="82"/>
      <c r="Y2725" s="82"/>
      <c r="Z2725" s="82"/>
    </row>
    <row r="2726" spans="1:26">
      <c r="A2726" s="81"/>
      <c r="F2726" s="81"/>
      <c r="G2726" s="82"/>
      <c r="H2726" s="82"/>
      <c r="I2726" s="82"/>
      <c r="J2726" s="82"/>
      <c r="K2726" s="82"/>
      <c r="L2726" s="82"/>
      <c r="M2726" s="82"/>
      <c r="N2726" s="82"/>
      <c r="O2726" s="82"/>
      <c r="P2726" s="82"/>
      <c r="Q2726" s="82"/>
      <c r="R2726" s="82"/>
      <c r="S2726" s="82"/>
      <c r="T2726" s="82"/>
      <c r="U2726" s="82"/>
      <c r="V2726" s="82"/>
      <c r="W2726" s="82"/>
      <c r="X2726" s="82"/>
      <c r="Y2726" s="82"/>
      <c r="Z2726" s="82"/>
    </row>
    <row r="2727" spans="1:26">
      <c r="A2727" s="81"/>
      <c r="F2727" s="81"/>
      <c r="G2727" s="82"/>
      <c r="H2727" s="82"/>
      <c r="I2727" s="82"/>
      <c r="J2727" s="82"/>
      <c r="K2727" s="82"/>
      <c r="L2727" s="82"/>
      <c r="M2727" s="82"/>
      <c r="N2727" s="82"/>
      <c r="O2727" s="82"/>
      <c r="P2727" s="82"/>
      <c r="Q2727" s="82"/>
      <c r="R2727" s="82"/>
      <c r="S2727" s="82"/>
      <c r="T2727" s="82"/>
      <c r="U2727" s="82"/>
      <c r="V2727" s="82"/>
      <c r="W2727" s="82"/>
      <c r="X2727" s="82"/>
      <c r="Y2727" s="82"/>
      <c r="Z2727" s="82"/>
    </row>
    <row r="2728" spans="1:26">
      <c r="A2728" s="81"/>
      <c r="F2728" s="81"/>
      <c r="G2728" s="82"/>
      <c r="H2728" s="82"/>
      <c r="I2728" s="82"/>
      <c r="J2728" s="82"/>
      <c r="K2728" s="82"/>
      <c r="L2728" s="82"/>
      <c r="M2728" s="82"/>
      <c r="N2728" s="82"/>
      <c r="O2728" s="82"/>
      <c r="P2728" s="82"/>
      <c r="Q2728" s="82"/>
      <c r="R2728" s="82"/>
      <c r="S2728" s="82"/>
      <c r="T2728" s="82"/>
      <c r="U2728" s="82"/>
      <c r="V2728" s="82"/>
      <c r="W2728" s="82"/>
      <c r="X2728" s="82"/>
      <c r="Y2728" s="82"/>
      <c r="Z2728" s="82"/>
    </row>
    <row r="2729" spans="1:26">
      <c r="A2729" s="81"/>
      <c r="F2729" s="81"/>
      <c r="G2729" s="82"/>
      <c r="H2729" s="82"/>
      <c r="I2729" s="82"/>
      <c r="J2729" s="82"/>
      <c r="K2729" s="82"/>
      <c r="L2729" s="82"/>
      <c r="M2729" s="82"/>
      <c r="N2729" s="82"/>
      <c r="O2729" s="82"/>
      <c r="P2729" s="82"/>
      <c r="Q2729" s="82"/>
      <c r="R2729" s="82"/>
      <c r="S2729" s="82"/>
      <c r="T2729" s="82"/>
      <c r="U2729" s="82"/>
      <c r="V2729" s="82"/>
      <c r="W2729" s="82"/>
      <c r="X2729" s="82"/>
      <c r="Y2729" s="82"/>
      <c r="Z2729" s="82"/>
    </row>
    <row r="2730" spans="1:26">
      <c r="A2730" s="81"/>
      <c r="F2730" s="81"/>
      <c r="G2730" s="82"/>
      <c r="H2730" s="82"/>
      <c r="I2730" s="82"/>
      <c r="J2730" s="82"/>
      <c r="K2730" s="82"/>
      <c r="L2730" s="82"/>
      <c r="M2730" s="82"/>
      <c r="N2730" s="82"/>
      <c r="O2730" s="82"/>
      <c r="P2730" s="82"/>
      <c r="Q2730" s="82"/>
      <c r="R2730" s="82"/>
      <c r="S2730" s="82"/>
      <c r="T2730" s="82"/>
      <c r="U2730" s="82"/>
      <c r="V2730" s="82"/>
      <c r="W2730" s="82"/>
      <c r="X2730" s="82"/>
      <c r="Y2730" s="82"/>
      <c r="Z2730" s="82"/>
    </row>
    <row r="2731" spans="1:26">
      <c r="A2731" s="81"/>
      <c r="F2731" s="81"/>
      <c r="G2731" s="82"/>
      <c r="H2731" s="82"/>
      <c r="I2731" s="82"/>
      <c r="J2731" s="82"/>
      <c r="K2731" s="82"/>
      <c r="L2731" s="82"/>
      <c r="M2731" s="82"/>
      <c r="N2731" s="82"/>
      <c r="O2731" s="82"/>
      <c r="P2731" s="82"/>
      <c r="Q2731" s="82"/>
      <c r="R2731" s="82"/>
      <c r="S2731" s="82"/>
      <c r="T2731" s="82"/>
      <c r="U2731" s="82"/>
      <c r="V2731" s="82"/>
      <c r="W2731" s="82"/>
      <c r="X2731" s="82"/>
      <c r="Y2731" s="82"/>
      <c r="Z2731" s="82"/>
    </row>
    <row r="2732" spans="1:26">
      <c r="A2732" s="81"/>
      <c r="F2732" s="81"/>
      <c r="G2732" s="82"/>
      <c r="H2732" s="82"/>
      <c r="I2732" s="82"/>
      <c r="J2732" s="82"/>
      <c r="K2732" s="82"/>
      <c r="L2732" s="82"/>
      <c r="M2732" s="82"/>
      <c r="N2732" s="82"/>
      <c r="O2732" s="82"/>
      <c r="P2732" s="82"/>
      <c r="Q2732" s="82"/>
      <c r="R2732" s="82"/>
      <c r="S2732" s="82"/>
      <c r="T2732" s="82"/>
      <c r="U2732" s="82"/>
      <c r="V2732" s="82"/>
      <c r="W2732" s="82"/>
      <c r="X2732" s="82"/>
      <c r="Y2732" s="82"/>
      <c r="Z2732" s="82"/>
    </row>
    <row r="2733" spans="1:26">
      <c r="A2733" s="81"/>
      <c r="F2733" s="81"/>
      <c r="G2733" s="82"/>
      <c r="H2733" s="82"/>
      <c r="I2733" s="82"/>
      <c r="J2733" s="82"/>
      <c r="K2733" s="82"/>
      <c r="L2733" s="82"/>
      <c r="M2733" s="82"/>
      <c r="N2733" s="82"/>
      <c r="O2733" s="82"/>
      <c r="P2733" s="82"/>
      <c r="Q2733" s="82"/>
      <c r="R2733" s="82"/>
      <c r="S2733" s="82"/>
      <c r="T2733" s="82"/>
      <c r="U2733" s="82"/>
      <c r="V2733" s="82"/>
      <c r="W2733" s="82"/>
      <c r="X2733" s="82"/>
      <c r="Y2733" s="82"/>
      <c r="Z2733" s="82"/>
    </row>
    <row r="2734" spans="1:26">
      <c r="A2734" s="81"/>
      <c r="F2734" s="81"/>
      <c r="G2734" s="82"/>
      <c r="H2734" s="82"/>
      <c r="I2734" s="82"/>
      <c r="J2734" s="82"/>
      <c r="K2734" s="82"/>
      <c r="L2734" s="82"/>
      <c r="M2734" s="82"/>
      <c r="N2734" s="82"/>
      <c r="O2734" s="82"/>
      <c r="P2734" s="82"/>
      <c r="Q2734" s="82"/>
      <c r="R2734" s="82"/>
      <c r="S2734" s="82"/>
      <c r="T2734" s="82"/>
      <c r="U2734" s="82"/>
      <c r="V2734" s="82"/>
      <c r="W2734" s="82"/>
      <c r="X2734" s="82"/>
      <c r="Y2734" s="82"/>
      <c r="Z2734" s="82"/>
    </row>
    <row r="2735" spans="1:26">
      <c r="A2735" s="81"/>
      <c r="F2735" s="81"/>
      <c r="G2735" s="82"/>
      <c r="H2735" s="82"/>
      <c r="I2735" s="82"/>
      <c r="J2735" s="82"/>
      <c r="K2735" s="82"/>
      <c r="L2735" s="82"/>
      <c r="M2735" s="82"/>
      <c r="N2735" s="82"/>
      <c r="O2735" s="82"/>
      <c r="P2735" s="82"/>
      <c r="Q2735" s="82"/>
      <c r="R2735" s="82"/>
      <c r="S2735" s="82"/>
      <c r="T2735" s="82"/>
      <c r="U2735" s="82"/>
      <c r="V2735" s="82"/>
      <c r="W2735" s="82"/>
      <c r="X2735" s="82"/>
      <c r="Y2735" s="82"/>
      <c r="Z2735" s="82"/>
    </row>
    <row r="2736" spans="1:26">
      <c r="A2736" s="81"/>
      <c r="F2736" s="81"/>
      <c r="G2736" s="82"/>
      <c r="H2736" s="82"/>
      <c r="I2736" s="82"/>
      <c r="J2736" s="82"/>
      <c r="K2736" s="82"/>
      <c r="L2736" s="82"/>
      <c r="M2736" s="82"/>
      <c r="N2736" s="82"/>
      <c r="O2736" s="82"/>
      <c r="P2736" s="82"/>
      <c r="Q2736" s="82"/>
      <c r="R2736" s="82"/>
      <c r="S2736" s="82"/>
      <c r="T2736" s="82"/>
      <c r="U2736" s="82"/>
      <c r="V2736" s="82"/>
      <c r="W2736" s="82"/>
      <c r="X2736" s="82"/>
      <c r="Y2736" s="82"/>
      <c r="Z2736" s="82"/>
    </row>
    <row r="2737" spans="1:26">
      <c r="A2737" s="81"/>
      <c r="F2737" s="81"/>
      <c r="G2737" s="82"/>
      <c r="H2737" s="82"/>
      <c r="I2737" s="82"/>
      <c r="J2737" s="82"/>
      <c r="K2737" s="82"/>
      <c r="L2737" s="82"/>
      <c r="M2737" s="82"/>
      <c r="N2737" s="82"/>
      <c r="O2737" s="82"/>
      <c r="P2737" s="82"/>
      <c r="Q2737" s="82"/>
      <c r="R2737" s="82"/>
      <c r="S2737" s="82"/>
      <c r="T2737" s="82"/>
      <c r="U2737" s="82"/>
      <c r="V2737" s="82"/>
      <c r="W2737" s="82"/>
      <c r="X2737" s="82"/>
      <c r="Y2737" s="82"/>
      <c r="Z2737" s="82"/>
    </row>
    <row r="2738" spans="1:26">
      <c r="A2738" s="81"/>
      <c r="F2738" s="81"/>
      <c r="G2738" s="82"/>
      <c r="H2738" s="82"/>
      <c r="I2738" s="82"/>
      <c r="J2738" s="82"/>
      <c r="K2738" s="82"/>
      <c r="L2738" s="82"/>
      <c r="M2738" s="82"/>
      <c r="N2738" s="82"/>
      <c r="O2738" s="82"/>
      <c r="P2738" s="82"/>
      <c r="Q2738" s="82"/>
      <c r="R2738" s="82"/>
      <c r="S2738" s="82"/>
      <c r="T2738" s="82"/>
      <c r="U2738" s="82"/>
      <c r="V2738" s="82"/>
      <c r="W2738" s="82"/>
      <c r="X2738" s="82"/>
      <c r="Y2738" s="82"/>
      <c r="Z2738" s="82"/>
    </row>
    <row r="2739" spans="1:26">
      <c r="A2739" s="81"/>
      <c r="F2739" s="81"/>
      <c r="G2739" s="82"/>
      <c r="H2739" s="82"/>
      <c r="I2739" s="82"/>
      <c r="J2739" s="82"/>
      <c r="K2739" s="82"/>
      <c r="L2739" s="82"/>
      <c r="M2739" s="82"/>
      <c r="N2739" s="82"/>
      <c r="O2739" s="82"/>
      <c r="P2739" s="82"/>
      <c r="Q2739" s="82"/>
      <c r="R2739" s="82"/>
      <c r="S2739" s="82"/>
      <c r="T2739" s="82"/>
      <c r="U2739" s="82"/>
      <c r="V2739" s="82"/>
      <c r="W2739" s="82"/>
      <c r="X2739" s="82"/>
      <c r="Y2739" s="82"/>
      <c r="Z2739" s="82"/>
    </row>
    <row r="2740" spans="1:26">
      <c r="A2740" s="81"/>
      <c r="F2740" s="81"/>
      <c r="G2740" s="82"/>
      <c r="H2740" s="82"/>
      <c r="I2740" s="82"/>
      <c r="J2740" s="82"/>
      <c r="K2740" s="82"/>
      <c r="L2740" s="82"/>
      <c r="M2740" s="82"/>
      <c r="N2740" s="82"/>
      <c r="O2740" s="82"/>
      <c r="P2740" s="82"/>
      <c r="Q2740" s="82"/>
      <c r="R2740" s="82"/>
      <c r="S2740" s="82"/>
      <c r="T2740" s="82"/>
      <c r="U2740" s="82"/>
      <c r="V2740" s="82"/>
      <c r="W2740" s="82"/>
      <c r="X2740" s="82"/>
      <c r="Y2740" s="82"/>
      <c r="Z2740" s="82"/>
    </row>
    <row r="2741" spans="1:26">
      <c r="A2741" s="81"/>
      <c r="F2741" s="81"/>
      <c r="G2741" s="82"/>
      <c r="H2741" s="82"/>
      <c r="I2741" s="82"/>
      <c r="J2741" s="82"/>
      <c r="K2741" s="82"/>
      <c r="L2741" s="82"/>
      <c r="M2741" s="82"/>
      <c r="N2741" s="82"/>
      <c r="O2741" s="82"/>
      <c r="P2741" s="82"/>
      <c r="Q2741" s="82"/>
      <c r="R2741" s="82"/>
      <c r="S2741" s="82"/>
      <c r="T2741" s="82"/>
      <c r="U2741" s="82"/>
      <c r="V2741" s="82"/>
      <c r="W2741" s="82"/>
      <c r="X2741" s="82"/>
      <c r="Y2741" s="82"/>
      <c r="Z2741" s="82"/>
    </row>
    <row r="2742" spans="1:26">
      <c r="A2742" s="81"/>
      <c r="F2742" s="81"/>
      <c r="G2742" s="82"/>
      <c r="H2742" s="82"/>
      <c r="I2742" s="82"/>
      <c r="J2742" s="82"/>
      <c r="K2742" s="82"/>
      <c r="L2742" s="82"/>
      <c r="M2742" s="82"/>
      <c r="N2742" s="82"/>
      <c r="O2742" s="82"/>
      <c r="P2742" s="82"/>
      <c r="Q2742" s="82"/>
      <c r="R2742" s="82"/>
      <c r="S2742" s="82"/>
      <c r="T2742" s="82"/>
      <c r="U2742" s="82"/>
      <c r="V2742" s="82"/>
      <c r="W2742" s="82"/>
      <c r="X2742" s="82"/>
      <c r="Y2742" s="82"/>
      <c r="Z2742" s="82"/>
    </row>
    <row r="2743" spans="1:26">
      <c r="A2743" s="81"/>
      <c r="F2743" s="81"/>
      <c r="G2743" s="82"/>
      <c r="H2743" s="82"/>
      <c r="I2743" s="82"/>
      <c r="J2743" s="82"/>
      <c r="K2743" s="82"/>
      <c r="L2743" s="82"/>
      <c r="M2743" s="82"/>
      <c r="N2743" s="82"/>
      <c r="O2743" s="82"/>
      <c r="P2743" s="82"/>
      <c r="Q2743" s="82"/>
      <c r="R2743" s="82"/>
      <c r="S2743" s="82"/>
      <c r="T2743" s="82"/>
      <c r="U2743" s="82"/>
      <c r="V2743" s="82"/>
      <c r="W2743" s="82"/>
      <c r="X2743" s="82"/>
      <c r="Y2743" s="82"/>
      <c r="Z2743" s="82"/>
    </row>
    <row r="2744" spans="1:26">
      <c r="A2744" s="81"/>
      <c r="F2744" s="81"/>
      <c r="G2744" s="82"/>
      <c r="H2744" s="82"/>
      <c r="I2744" s="82"/>
      <c r="J2744" s="82"/>
      <c r="K2744" s="82"/>
      <c r="L2744" s="82"/>
      <c r="M2744" s="82"/>
      <c r="N2744" s="82"/>
      <c r="O2744" s="82"/>
      <c r="P2744" s="82"/>
      <c r="Q2744" s="82"/>
      <c r="R2744" s="82"/>
      <c r="S2744" s="82"/>
      <c r="T2744" s="82"/>
      <c r="U2744" s="82"/>
      <c r="V2744" s="82"/>
      <c r="W2744" s="82"/>
      <c r="X2744" s="82"/>
      <c r="Y2744" s="82"/>
      <c r="Z2744" s="82"/>
    </row>
    <row r="2745" spans="1:26">
      <c r="A2745" s="81"/>
      <c r="F2745" s="81"/>
      <c r="G2745" s="82"/>
      <c r="H2745" s="82"/>
      <c r="I2745" s="82"/>
      <c r="J2745" s="82"/>
      <c r="K2745" s="82"/>
      <c r="L2745" s="82"/>
      <c r="M2745" s="82"/>
      <c r="N2745" s="82"/>
      <c r="O2745" s="82"/>
      <c r="P2745" s="82"/>
      <c r="Q2745" s="82"/>
      <c r="R2745" s="82"/>
      <c r="S2745" s="82"/>
      <c r="T2745" s="82"/>
      <c r="U2745" s="82"/>
      <c r="V2745" s="82"/>
      <c r="W2745" s="82"/>
      <c r="X2745" s="82"/>
      <c r="Y2745" s="82"/>
      <c r="Z2745" s="82"/>
    </row>
    <row r="2746" spans="1:26">
      <c r="A2746" s="81"/>
      <c r="F2746" s="81"/>
      <c r="G2746" s="82"/>
      <c r="H2746" s="82"/>
      <c r="I2746" s="82"/>
      <c r="J2746" s="82"/>
      <c r="K2746" s="82"/>
      <c r="L2746" s="82"/>
      <c r="M2746" s="82"/>
      <c r="N2746" s="82"/>
      <c r="O2746" s="82"/>
      <c r="P2746" s="82"/>
      <c r="Q2746" s="82"/>
      <c r="R2746" s="82"/>
      <c r="S2746" s="82"/>
      <c r="T2746" s="82"/>
      <c r="U2746" s="82"/>
      <c r="V2746" s="82"/>
      <c r="W2746" s="82"/>
      <c r="X2746" s="82"/>
      <c r="Y2746" s="82"/>
      <c r="Z2746" s="82"/>
    </row>
    <row r="2747" spans="1:26">
      <c r="A2747" s="81"/>
      <c r="F2747" s="81"/>
      <c r="G2747" s="82"/>
      <c r="H2747" s="82"/>
      <c r="I2747" s="82"/>
      <c r="J2747" s="82"/>
      <c r="K2747" s="82"/>
      <c r="L2747" s="82"/>
      <c r="M2747" s="82"/>
      <c r="N2747" s="82"/>
      <c r="O2747" s="82"/>
      <c r="P2747" s="82"/>
      <c r="Q2747" s="82"/>
      <c r="R2747" s="82"/>
      <c r="S2747" s="82"/>
      <c r="T2747" s="82"/>
      <c r="U2747" s="82"/>
      <c r="V2747" s="82"/>
      <c r="W2747" s="82"/>
      <c r="X2747" s="82"/>
      <c r="Y2747" s="82"/>
      <c r="Z2747" s="82"/>
    </row>
    <row r="2748" spans="1:26">
      <c r="A2748" s="81"/>
      <c r="F2748" s="81"/>
      <c r="G2748" s="82"/>
      <c r="H2748" s="82"/>
      <c r="I2748" s="82"/>
      <c r="J2748" s="82"/>
      <c r="K2748" s="82"/>
      <c r="L2748" s="82"/>
      <c r="M2748" s="82"/>
      <c r="N2748" s="82"/>
      <c r="O2748" s="82"/>
      <c r="P2748" s="82"/>
      <c r="Q2748" s="82"/>
      <c r="R2748" s="82"/>
      <c r="S2748" s="82"/>
      <c r="T2748" s="82"/>
      <c r="U2748" s="82"/>
      <c r="V2748" s="82"/>
      <c r="W2748" s="82"/>
      <c r="X2748" s="82"/>
      <c r="Y2748" s="82"/>
      <c r="Z2748" s="82"/>
    </row>
    <row r="2749" spans="1:26">
      <c r="A2749" s="81"/>
      <c r="F2749" s="81"/>
      <c r="G2749" s="82"/>
      <c r="H2749" s="82"/>
      <c r="I2749" s="82"/>
      <c r="J2749" s="82"/>
      <c r="K2749" s="82"/>
      <c r="L2749" s="82"/>
      <c r="M2749" s="82"/>
      <c r="N2749" s="82"/>
      <c r="O2749" s="82"/>
      <c r="P2749" s="82"/>
      <c r="Q2749" s="82"/>
      <c r="R2749" s="82"/>
      <c r="S2749" s="82"/>
      <c r="T2749" s="82"/>
      <c r="U2749" s="82"/>
      <c r="V2749" s="82"/>
      <c r="W2749" s="82"/>
      <c r="X2749" s="82"/>
      <c r="Y2749" s="82"/>
      <c r="Z2749" s="82"/>
    </row>
    <row r="2750" spans="1:26">
      <c r="A2750" s="81"/>
      <c r="F2750" s="81"/>
      <c r="G2750" s="82"/>
      <c r="H2750" s="82"/>
      <c r="I2750" s="82"/>
      <c r="J2750" s="82"/>
      <c r="K2750" s="82"/>
      <c r="L2750" s="82"/>
      <c r="M2750" s="82"/>
      <c r="N2750" s="82"/>
      <c r="O2750" s="82"/>
      <c r="P2750" s="82"/>
      <c r="Q2750" s="82"/>
      <c r="R2750" s="82"/>
      <c r="S2750" s="82"/>
      <c r="T2750" s="82"/>
      <c r="U2750" s="82"/>
      <c r="V2750" s="82"/>
      <c r="W2750" s="82"/>
      <c r="X2750" s="82"/>
      <c r="Y2750" s="82"/>
      <c r="Z2750" s="82"/>
    </row>
    <row r="2751" spans="1:26">
      <c r="A2751" s="81"/>
      <c r="F2751" s="81"/>
      <c r="G2751" s="82"/>
      <c r="H2751" s="82"/>
      <c r="I2751" s="82"/>
      <c r="J2751" s="82"/>
      <c r="K2751" s="82"/>
      <c r="L2751" s="82"/>
      <c r="M2751" s="82"/>
      <c r="N2751" s="82"/>
      <c r="O2751" s="82"/>
      <c r="P2751" s="82"/>
      <c r="Q2751" s="82"/>
      <c r="R2751" s="82"/>
      <c r="S2751" s="82"/>
      <c r="T2751" s="82"/>
      <c r="U2751" s="82"/>
      <c r="V2751" s="82"/>
      <c r="W2751" s="82"/>
      <c r="X2751" s="82"/>
      <c r="Y2751" s="82"/>
      <c r="Z2751" s="82"/>
    </row>
    <row r="2752" spans="1:26">
      <c r="A2752" s="81"/>
      <c r="F2752" s="81"/>
      <c r="G2752" s="82"/>
      <c r="H2752" s="82"/>
      <c r="I2752" s="82"/>
      <c r="J2752" s="82"/>
      <c r="K2752" s="82"/>
      <c r="L2752" s="82"/>
      <c r="M2752" s="82"/>
      <c r="N2752" s="82"/>
      <c r="O2752" s="82"/>
      <c r="P2752" s="82"/>
      <c r="Q2752" s="82"/>
      <c r="R2752" s="82"/>
      <c r="S2752" s="82"/>
      <c r="T2752" s="82"/>
      <c r="U2752" s="82"/>
      <c r="V2752" s="82"/>
      <c r="W2752" s="82"/>
      <c r="X2752" s="82"/>
      <c r="Y2752" s="82"/>
      <c r="Z2752" s="82"/>
    </row>
    <row r="2753" spans="1:26">
      <c r="A2753" s="81"/>
      <c r="F2753" s="81"/>
      <c r="G2753" s="82"/>
      <c r="H2753" s="82"/>
      <c r="I2753" s="82"/>
      <c r="J2753" s="82"/>
      <c r="K2753" s="82"/>
      <c r="L2753" s="82"/>
      <c r="M2753" s="82"/>
      <c r="N2753" s="82"/>
      <c r="O2753" s="82"/>
      <c r="P2753" s="82"/>
      <c r="Q2753" s="82"/>
      <c r="R2753" s="82"/>
      <c r="S2753" s="82"/>
      <c r="T2753" s="82"/>
      <c r="U2753" s="82"/>
      <c r="V2753" s="82"/>
      <c r="W2753" s="82"/>
      <c r="X2753" s="82"/>
      <c r="Y2753" s="82"/>
      <c r="Z2753" s="82"/>
    </row>
    <row r="2754" spans="1:26">
      <c r="A2754" s="81"/>
      <c r="F2754" s="81"/>
      <c r="G2754" s="82"/>
      <c r="H2754" s="82"/>
      <c r="I2754" s="82"/>
      <c r="J2754" s="82"/>
      <c r="K2754" s="82"/>
      <c r="L2754" s="82"/>
      <c r="M2754" s="82"/>
      <c r="N2754" s="82"/>
      <c r="O2754" s="82"/>
      <c r="P2754" s="82"/>
      <c r="Q2754" s="82"/>
      <c r="R2754" s="82"/>
      <c r="S2754" s="82"/>
      <c r="T2754" s="82"/>
      <c r="U2754" s="82"/>
      <c r="V2754" s="82"/>
      <c r="W2754" s="82"/>
      <c r="X2754" s="82"/>
      <c r="Y2754" s="82"/>
      <c r="Z2754" s="82"/>
    </row>
    <row r="2755" spans="1:26">
      <c r="A2755" s="81"/>
      <c r="F2755" s="81"/>
      <c r="G2755" s="82"/>
      <c r="H2755" s="82"/>
      <c r="I2755" s="82"/>
      <c r="J2755" s="82"/>
      <c r="K2755" s="82"/>
      <c r="L2755" s="82"/>
      <c r="M2755" s="82"/>
      <c r="N2755" s="82"/>
      <c r="O2755" s="82"/>
      <c r="P2755" s="82"/>
      <c r="Q2755" s="82"/>
      <c r="R2755" s="82"/>
      <c r="S2755" s="82"/>
      <c r="T2755" s="82"/>
      <c r="U2755" s="82"/>
      <c r="V2755" s="82"/>
      <c r="W2755" s="82"/>
      <c r="X2755" s="82"/>
      <c r="Y2755" s="82"/>
      <c r="Z2755" s="82"/>
    </row>
    <row r="2756" spans="1:26">
      <c r="A2756" s="81"/>
      <c r="F2756" s="81"/>
      <c r="G2756" s="82"/>
      <c r="H2756" s="82"/>
      <c r="I2756" s="82"/>
      <c r="J2756" s="82"/>
      <c r="K2756" s="82"/>
      <c r="L2756" s="82"/>
      <c r="M2756" s="82"/>
      <c r="N2756" s="82"/>
      <c r="O2756" s="82"/>
      <c r="P2756" s="82"/>
      <c r="Q2756" s="82"/>
      <c r="R2756" s="82"/>
      <c r="S2756" s="82"/>
      <c r="T2756" s="82"/>
      <c r="U2756" s="82"/>
      <c r="V2756" s="82"/>
      <c r="W2756" s="82"/>
      <c r="X2756" s="82"/>
      <c r="Y2756" s="82"/>
      <c r="Z2756" s="82"/>
    </row>
    <row r="2757" spans="1:26">
      <c r="A2757" s="81"/>
      <c r="F2757" s="81"/>
      <c r="G2757" s="82"/>
      <c r="H2757" s="82"/>
      <c r="I2757" s="82"/>
      <c r="J2757" s="82"/>
      <c r="K2757" s="82"/>
      <c r="L2757" s="82"/>
      <c r="M2757" s="82"/>
      <c r="N2757" s="82"/>
      <c r="O2757" s="82"/>
      <c r="P2757" s="82"/>
      <c r="Q2757" s="82"/>
      <c r="R2757" s="82"/>
      <c r="S2757" s="82"/>
      <c r="T2757" s="82"/>
      <c r="U2757" s="82"/>
      <c r="V2757" s="82"/>
      <c r="W2757" s="82"/>
      <c r="X2757" s="82"/>
      <c r="Y2757" s="82"/>
      <c r="Z2757" s="82"/>
    </row>
    <row r="2758" spans="1:26">
      <c r="A2758" s="81"/>
      <c r="F2758" s="81"/>
      <c r="G2758" s="82"/>
      <c r="H2758" s="82"/>
      <c r="I2758" s="82"/>
      <c r="J2758" s="82"/>
      <c r="K2758" s="82"/>
      <c r="L2758" s="82"/>
      <c r="M2758" s="82"/>
      <c r="N2758" s="82"/>
      <c r="O2758" s="82"/>
      <c r="P2758" s="82"/>
      <c r="Q2758" s="82"/>
      <c r="R2758" s="82"/>
      <c r="S2758" s="82"/>
      <c r="T2758" s="82"/>
      <c r="U2758" s="82"/>
      <c r="V2758" s="82"/>
      <c r="W2758" s="82"/>
      <c r="X2758" s="82"/>
      <c r="Y2758" s="82"/>
      <c r="Z2758" s="82"/>
    </row>
    <row r="2759" spans="1:26">
      <c r="A2759" s="81"/>
      <c r="F2759" s="81"/>
      <c r="G2759" s="82"/>
      <c r="H2759" s="82"/>
      <c r="I2759" s="82"/>
      <c r="J2759" s="82"/>
      <c r="K2759" s="82"/>
      <c r="L2759" s="82"/>
      <c r="M2759" s="82"/>
      <c r="N2759" s="82"/>
      <c r="O2759" s="82"/>
      <c r="P2759" s="82"/>
      <c r="Q2759" s="82"/>
      <c r="R2759" s="82"/>
      <c r="S2759" s="82"/>
      <c r="T2759" s="82"/>
      <c r="U2759" s="82"/>
      <c r="V2759" s="82"/>
      <c r="W2759" s="82"/>
      <c r="X2759" s="82"/>
      <c r="Y2759" s="82"/>
      <c r="Z2759" s="82"/>
    </row>
    <row r="2760" spans="1:26">
      <c r="A2760" s="81"/>
      <c r="F2760" s="81"/>
      <c r="G2760" s="82"/>
      <c r="H2760" s="82"/>
      <c r="I2760" s="82"/>
      <c r="J2760" s="82"/>
      <c r="K2760" s="82"/>
      <c r="L2760" s="82"/>
      <c r="M2760" s="82"/>
      <c r="N2760" s="82"/>
      <c r="O2760" s="82"/>
      <c r="P2760" s="82"/>
      <c r="Q2760" s="82"/>
      <c r="R2760" s="82"/>
      <c r="S2760" s="82"/>
      <c r="T2760" s="82"/>
      <c r="U2760" s="82"/>
      <c r="V2760" s="82"/>
      <c r="W2760" s="82"/>
      <c r="X2760" s="82"/>
      <c r="Y2760" s="82"/>
      <c r="Z2760" s="82"/>
    </row>
    <row r="2761" spans="1:26">
      <c r="A2761" s="81"/>
      <c r="F2761" s="81"/>
      <c r="G2761" s="82"/>
      <c r="H2761" s="82"/>
      <c r="I2761" s="82"/>
      <c r="J2761" s="82"/>
      <c r="K2761" s="82"/>
      <c r="L2761" s="82"/>
      <c r="M2761" s="82"/>
      <c r="N2761" s="82"/>
      <c r="O2761" s="82"/>
      <c r="P2761" s="82"/>
      <c r="Q2761" s="82"/>
      <c r="R2761" s="82"/>
      <c r="S2761" s="82"/>
      <c r="T2761" s="82"/>
      <c r="U2761" s="82"/>
      <c r="V2761" s="82"/>
      <c r="W2761" s="82"/>
      <c r="X2761" s="82"/>
      <c r="Y2761" s="82"/>
      <c r="Z2761" s="82"/>
    </row>
    <row r="2762" spans="1:26">
      <c r="A2762" s="81"/>
      <c r="F2762" s="81"/>
      <c r="G2762" s="82"/>
      <c r="H2762" s="82"/>
      <c r="I2762" s="82"/>
      <c r="J2762" s="82"/>
      <c r="K2762" s="82"/>
      <c r="L2762" s="82"/>
      <c r="M2762" s="82"/>
      <c r="N2762" s="82"/>
      <c r="O2762" s="82"/>
      <c r="P2762" s="82"/>
      <c r="Q2762" s="82"/>
      <c r="R2762" s="82"/>
      <c r="S2762" s="82"/>
      <c r="T2762" s="82"/>
      <c r="U2762" s="82"/>
      <c r="V2762" s="82"/>
      <c r="W2762" s="82"/>
      <c r="X2762" s="82"/>
      <c r="Y2762" s="82"/>
      <c r="Z2762" s="82"/>
    </row>
    <row r="2763" spans="1:26">
      <c r="A2763" s="81"/>
      <c r="F2763" s="81"/>
      <c r="G2763" s="82"/>
      <c r="H2763" s="82"/>
      <c r="I2763" s="82"/>
      <c r="J2763" s="82"/>
      <c r="K2763" s="82"/>
      <c r="L2763" s="82"/>
      <c r="M2763" s="82"/>
      <c r="N2763" s="82"/>
      <c r="O2763" s="82"/>
      <c r="P2763" s="82"/>
      <c r="Q2763" s="82"/>
      <c r="R2763" s="82"/>
      <c r="S2763" s="82"/>
      <c r="T2763" s="82"/>
      <c r="U2763" s="82"/>
      <c r="V2763" s="82"/>
      <c r="W2763" s="82"/>
      <c r="X2763" s="82"/>
      <c r="Y2763" s="82"/>
      <c r="Z2763" s="82"/>
    </row>
    <row r="2764" spans="1:26">
      <c r="A2764" s="81"/>
      <c r="F2764" s="81"/>
      <c r="G2764" s="82"/>
      <c r="H2764" s="82"/>
      <c r="I2764" s="82"/>
      <c r="J2764" s="82"/>
      <c r="K2764" s="82"/>
      <c r="L2764" s="82"/>
      <c r="M2764" s="82"/>
      <c r="N2764" s="82"/>
      <c r="O2764" s="82"/>
      <c r="P2764" s="82"/>
      <c r="Q2764" s="82"/>
      <c r="R2764" s="82"/>
      <c r="S2764" s="82"/>
      <c r="T2764" s="82"/>
      <c r="U2764" s="82"/>
      <c r="V2764" s="82"/>
      <c r="W2764" s="82"/>
      <c r="X2764" s="82"/>
      <c r="Y2764" s="82"/>
      <c r="Z2764" s="82"/>
    </row>
    <row r="2765" spans="1:26">
      <c r="A2765" s="81"/>
      <c r="F2765" s="81"/>
      <c r="G2765" s="82"/>
      <c r="H2765" s="82"/>
      <c r="I2765" s="82"/>
      <c r="J2765" s="82"/>
      <c r="K2765" s="82"/>
      <c r="L2765" s="82"/>
      <c r="M2765" s="82"/>
      <c r="N2765" s="82"/>
      <c r="O2765" s="82"/>
      <c r="P2765" s="82"/>
      <c r="Q2765" s="82"/>
      <c r="R2765" s="82"/>
      <c r="S2765" s="82"/>
      <c r="T2765" s="82"/>
      <c r="U2765" s="82"/>
      <c r="V2765" s="82"/>
      <c r="W2765" s="82"/>
      <c r="X2765" s="82"/>
      <c r="Y2765" s="82"/>
      <c r="Z2765" s="82"/>
    </row>
    <row r="2766" spans="1:26">
      <c r="A2766" s="81"/>
      <c r="F2766" s="81"/>
      <c r="G2766" s="82"/>
      <c r="H2766" s="82"/>
      <c r="I2766" s="82"/>
      <c r="J2766" s="82"/>
      <c r="K2766" s="82"/>
      <c r="L2766" s="82"/>
      <c r="M2766" s="82"/>
      <c r="N2766" s="82"/>
      <c r="O2766" s="82"/>
      <c r="P2766" s="82"/>
      <c r="Q2766" s="82"/>
      <c r="R2766" s="82"/>
      <c r="S2766" s="82"/>
      <c r="T2766" s="82"/>
      <c r="U2766" s="82"/>
      <c r="V2766" s="82"/>
      <c r="W2766" s="82"/>
      <c r="X2766" s="82"/>
      <c r="Y2766" s="82"/>
      <c r="Z2766" s="82"/>
    </row>
    <row r="2767" spans="1:26">
      <c r="A2767" s="81"/>
      <c r="F2767" s="81"/>
      <c r="G2767" s="82"/>
      <c r="H2767" s="82"/>
      <c r="I2767" s="82"/>
      <c r="J2767" s="82"/>
      <c r="K2767" s="82"/>
      <c r="L2767" s="82"/>
      <c r="M2767" s="82"/>
      <c r="N2767" s="82"/>
      <c r="O2767" s="82"/>
      <c r="P2767" s="82"/>
      <c r="Q2767" s="82"/>
      <c r="R2767" s="82"/>
      <c r="S2767" s="82"/>
      <c r="T2767" s="82"/>
      <c r="U2767" s="82"/>
      <c r="V2767" s="82"/>
      <c r="W2767" s="82"/>
      <c r="X2767" s="82"/>
      <c r="Y2767" s="82"/>
      <c r="Z2767" s="82"/>
    </row>
    <row r="2768" spans="1:26">
      <c r="A2768" s="81"/>
      <c r="F2768" s="81"/>
      <c r="G2768" s="82"/>
      <c r="H2768" s="82"/>
      <c r="I2768" s="82"/>
      <c r="J2768" s="82"/>
      <c r="K2768" s="82"/>
      <c r="L2768" s="82"/>
      <c r="M2768" s="82"/>
      <c r="N2768" s="82"/>
      <c r="O2768" s="82"/>
      <c r="P2768" s="82"/>
      <c r="Q2768" s="82"/>
      <c r="R2768" s="82"/>
      <c r="S2768" s="82"/>
      <c r="T2768" s="82"/>
      <c r="U2768" s="82"/>
      <c r="V2768" s="82"/>
      <c r="W2768" s="82"/>
      <c r="X2768" s="82"/>
      <c r="Y2768" s="82"/>
      <c r="Z2768" s="82"/>
    </row>
    <row r="2769" spans="1:26">
      <c r="A2769" s="81"/>
      <c r="F2769" s="81"/>
      <c r="G2769" s="82"/>
      <c r="H2769" s="82"/>
      <c r="I2769" s="82"/>
      <c r="J2769" s="82"/>
      <c r="K2769" s="82"/>
      <c r="L2769" s="82"/>
      <c r="M2769" s="82"/>
      <c r="N2769" s="82"/>
      <c r="O2769" s="82"/>
      <c r="P2769" s="82"/>
      <c r="Q2769" s="82"/>
      <c r="R2769" s="82"/>
      <c r="S2769" s="82"/>
      <c r="T2769" s="82"/>
      <c r="U2769" s="82"/>
      <c r="V2769" s="82"/>
      <c r="W2769" s="82"/>
      <c r="X2769" s="82"/>
      <c r="Y2769" s="82"/>
      <c r="Z2769" s="82"/>
    </row>
    <row r="2770" spans="1:26">
      <c r="A2770" s="81"/>
      <c r="F2770" s="81"/>
      <c r="G2770" s="82"/>
      <c r="H2770" s="82"/>
      <c r="I2770" s="82"/>
      <c r="J2770" s="82"/>
      <c r="K2770" s="82"/>
      <c r="L2770" s="82"/>
      <c r="M2770" s="82"/>
      <c r="N2770" s="82"/>
      <c r="O2770" s="82"/>
      <c r="P2770" s="82"/>
      <c r="Q2770" s="82"/>
      <c r="R2770" s="82"/>
      <c r="S2770" s="82"/>
      <c r="T2770" s="82"/>
      <c r="U2770" s="82"/>
      <c r="V2770" s="82"/>
      <c r="W2770" s="82"/>
      <c r="X2770" s="82"/>
      <c r="Y2770" s="82"/>
      <c r="Z2770" s="82"/>
    </row>
    <row r="2771" spans="1:26">
      <c r="A2771" s="81"/>
      <c r="F2771" s="81"/>
      <c r="G2771" s="82"/>
      <c r="H2771" s="82"/>
      <c r="I2771" s="82"/>
      <c r="J2771" s="82"/>
      <c r="K2771" s="82"/>
      <c r="L2771" s="82"/>
      <c r="M2771" s="82"/>
      <c r="N2771" s="82"/>
      <c r="O2771" s="82"/>
      <c r="P2771" s="82"/>
      <c r="Q2771" s="82"/>
      <c r="R2771" s="82"/>
      <c r="S2771" s="82"/>
      <c r="T2771" s="82"/>
      <c r="U2771" s="82"/>
      <c r="V2771" s="82"/>
      <c r="W2771" s="82"/>
      <c r="X2771" s="82"/>
      <c r="Y2771" s="82"/>
      <c r="Z2771" s="82"/>
    </row>
    <row r="2772" spans="1:26">
      <c r="A2772" s="81"/>
      <c r="F2772" s="81"/>
      <c r="G2772" s="82"/>
      <c r="H2772" s="82"/>
      <c r="I2772" s="82"/>
      <c r="J2772" s="82"/>
      <c r="K2772" s="82"/>
      <c r="L2772" s="82"/>
      <c r="M2772" s="82"/>
      <c r="N2772" s="82"/>
      <c r="O2772" s="82"/>
      <c r="P2772" s="82"/>
      <c r="Q2772" s="82"/>
      <c r="R2772" s="82"/>
      <c r="S2772" s="82"/>
      <c r="T2772" s="82"/>
      <c r="U2772" s="82"/>
      <c r="V2772" s="82"/>
      <c r="W2772" s="82"/>
      <c r="X2772" s="82"/>
      <c r="Y2772" s="82"/>
      <c r="Z2772" s="82"/>
    </row>
    <row r="2773" spans="1:26">
      <c r="A2773" s="81"/>
      <c r="F2773" s="81"/>
      <c r="G2773" s="82"/>
      <c r="H2773" s="82"/>
      <c r="I2773" s="82"/>
      <c r="J2773" s="82"/>
      <c r="K2773" s="82"/>
      <c r="L2773" s="82"/>
      <c r="M2773" s="82"/>
      <c r="N2773" s="82"/>
      <c r="O2773" s="82"/>
      <c r="P2773" s="82"/>
      <c r="Q2773" s="82"/>
      <c r="R2773" s="82"/>
      <c r="S2773" s="82"/>
      <c r="T2773" s="82"/>
      <c r="U2773" s="82"/>
      <c r="V2773" s="82"/>
      <c r="W2773" s="82"/>
      <c r="X2773" s="82"/>
      <c r="Y2773" s="82"/>
      <c r="Z2773" s="82"/>
    </row>
    <row r="2774" spans="1:26">
      <c r="A2774" s="81"/>
      <c r="F2774" s="81"/>
      <c r="G2774" s="82"/>
      <c r="H2774" s="82"/>
      <c r="I2774" s="82"/>
      <c r="J2774" s="82"/>
      <c r="K2774" s="82"/>
      <c r="L2774" s="82"/>
      <c r="M2774" s="82"/>
      <c r="N2774" s="82"/>
      <c r="O2774" s="82"/>
      <c r="P2774" s="82"/>
      <c r="Q2774" s="82"/>
      <c r="R2774" s="82"/>
      <c r="S2774" s="82"/>
      <c r="T2774" s="82"/>
      <c r="U2774" s="82"/>
      <c r="V2774" s="82"/>
      <c r="W2774" s="82"/>
      <c r="X2774" s="82"/>
      <c r="Y2774" s="82"/>
      <c r="Z2774" s="82"/>
    </row>
    <row r="2775" spans="1:26">
      <c r="A2775" s="81"/>
      <c r="F2775" s="81"/>
      <c r="G2775" s="82"/>
      <c r="H2775" s="82"/>
      <c r="I2775" s="82"/>
      <c r="J2775" s="82"/>
      <c r="K2775" s="82"/>
      <c r="L2775" s="82"/>
      <c r="M2775" s="82"/>
      <c r="N2775" s="82"/>
      <c r="O2775" s="82"/>
      <c r="P2775" s="82"/>
      <c r="Q2775" s="82"/>
      <c r="R2775" s="82"/>
      <c r="S2775" s="82"/>
      <c r="T2775" s="82"/>
      <c r="U2775" s="82"/>
      <c r="V2775" s="82"/>
      <c r="W2775" s="82"/>
      <c r="X2775" s="82"/>
      <c r="Y2775" s="82"/>
      <c r="Z2775" s="82"/>
    </row>
    <row r="2776" spans="1:26">
      <c r="A2776" s="81"/>
      <c r="F2776" s="81"/>
      <c r="G2776" s="82"/>
      <c r="H2776" s="82"/>
      <c r="I2776" s="82"/>
      <c r="J2776" s="82"/>
      <c r="K2776" s="82"/>
      <c r="L2776" s="82"/>
      <c r="M2776" s="82"/>
      <c r="N2776" s="82"/>
      <c r="O2776" s="82"/>
      <c r="P2776" s="82"/>
      <c r="Q2776" s="82"/>
      <c r="R2776" s="82"/>
      <c r="S2776" s="82"/>
      <c r="T2776" s="82"/>
      <c r="U2776" s="82"/>
      <c r="V2776" s="82"/>
      <c r="W2776" s="82"/>
      <c r="X2776" s="82"/>
      <c r="Y2776" s="82"/>
      <c r="Z2776" s="82"/>
    </row>
    <row r="2777" spans="1:26">
      <c r="A2777" s="81"/>
      <c r="F2777" s="81"/>
      <c r="G2777" s="82"/>
      <c r="H2777" s="82"/>
      <c r="I2777" s="82"/>
      <c r="J2777" s="82"/>
      <c r="K2777" s="82"/>
      <c r="L2777" s="82"/>
      <c r="M2777" s="82"/>
      <c r="N2777" s="82"/>
      <c r="O2777" s="82"/>
      <c r="P2777" s="82"/>
      <c r="Q2777" s="82"/>
      <c r="R2777" s="82"/>
      <c r="S2777" s="82"/>
      <c r="T2777" s="82"/>
      <c r="U2777" s="82"/>
      <c r="V2777" s="82"/>
      <c r="W2777" s="82"/>
      <c r="X2777" s="82"/>
      <c r="Y2777" s="82"/>
      <c r="Z2777" s="82"/>
    </row>
    <row r="2778" spans="1:26">
      <c r="A2778" s="81"/>
      <c r="F2778" s="81"/>
      <c r="G2778" s="82"/>
      <c r="H2778" s="82"/>
      <c r="I2778" s="82"/>
      <c r="J2778" s="82"/>
      <c r="K2778" s="82"/>
      <c r="L2778" s="82"/>
      <c r="M2778" s="82"/>
      <c r="N2778" s="82"/>
      <c r="O2778" s="82"/>
      <c r="P2778" s="82"/>
      <c r="Q2778" s="82"/>
      <c r="R2778" s="82"/>
      <c r="S2778" s="82"/>
      <c r="T2778" s="82"/>
      <c r="U2778" s="82"/>
      <c r="V2778" s="82"/>
      <c r="W2778" s="82"/>
      <c r="X2778" s="82"/>
      <c r="Y2778" s="82"/>
      <c r="Z2778" s="82"/>
    </row>
    <row r="2779" spans="1:26">
      <c r="A2779" s="81"/>
      <c r="F2779" s="81"/>
      <c r="G2779" s="82"/>
      <c r="H2779" s="82"/>
      <c r="I2779" s="82"/>
      <c r="J2779" s="82"/>
      <c r="K2779" s="82"/>
      <c r="L2779" s="82"/>
      <c r="M2779" s="82"/>
      <c r="N2779" s="82"/>
      <c r="O2779" s="82"/>
      <c r="P2779" s="82"/>
      <c r="Q2779" s="82"/>
      <c r="R2779" s="82"/>
      <c r="S2779" s="82"/>
      <c r="T2779" s="82"/>
      <c r="U2779" s="82"/>
      <c r="V2779" s="82"/>
      <c r="W2779" s="82"/>
      <c r="X2779" s="82"/>
      <c r="Y2779" s="82"/>
      <c r="Z2779" s="82"/>
    </row>
    <row r="2780" spans="1:26">
      <c r="A2780" s="81"/>
      <c r="F2780" s="81"/>
      <c r="G2780" s="82"/>
      <c r="H2780" s="82"/>
      <c r="I2780" s="82"/>
      <c r="J2780" s="82"/>
      <c r="K2780" s="82"/>
      <c r="L2780" s="82"/>
      <c r="M2780" s="82"/>
      <c r="N2780" s="82"/>
      <c r="O2780" s="82"/>
      <c r="P2780" s="82"/>
      <c r="Q2780" s="82"/>
      <c r="R2780" s="82"/>
      <c r="S2780" s="82"/>
      <c r="T2780" s="82"/>
      <c r="U2780" s="82"/>
      <c r="V2780" s="82"/>
      <c r="W2780" s="82"/>
      <c r="X2780" s="82"/>
      <c r="Y2780" s="82"/>
      <c r="Z2780" s="82"/>
    </row>
    <row r="2781" spans="1:26">
      <c r="A2781" s="81"/>
      <c r="F2781" s="81"/>
      <c r="G2781" s="82"/>
      <c r="H2781" s="82"/>
      <c r="I2781" s="82"/>
      <c r="J2781" s="82"/>
      <c r="K2781" s="82"/>
      <c r="L2781" s="82"/>
      <c r="M2781" s="82"/>
      <c r="N2781" s="82"/>
      <c r="O2781" s="82"/>
      <c r="P2781" s="82"/>
      <c r="Q2781" s="82"/>
      <c r="R2781" s="82"/>
      <c r="S2781" s="82"/>
      <c r="T2781" s="82"/>
      <c r="U2781" s="82"/>
      <c r="V2781" s="82"/>
      <c r="W2781" s="82"/>
      <c r="X2781" s="82"/>
      <c r="Y2781" s="82"/>
      <c r="Z2781" s="82"/>
    </row>
    <row r="2782" spans="1:26">
      <c r="A2782" s="81"/>
      <c r="F2782" s="81"/>
      <c r="G2782" s="82"/>
      <c r="H2782" s="82"/>
      <c r="I2782" s="82"/>
      <c r="J2782" s="82"/>
      <c r="K2782" s="82"/>
      <c r="L2782" s="82"/>
      <c r="M2782" s="82"/>
      <c r="N2782" s="82"/>
      <c r="O2782" s="82"/>
      <c r="P2782" s="82"/>
      <c r="Q2782" s="82"/>
      <c r="R2782" s="82"/>
      <c r="S2782" s="82"/>
      <c r="T2782" s="82"/>
      <c r="U2782" s="82"/>
      <c r="V2782" s="82"/>
      <c r="W2782" s="82"/>
      <c r="X2782" s="82"/>
      <c r="Y2782" s="82"/>
      <c r="Z2782" s="82"/>
    </row>
    <row r="2783" spans="1:26">
      <c r="A2783" s="81"/>
      <c r="F2783" s="81"/>
      <c r="G2783" s="82"/>
      <c r="H2783" s="82"/>
      <c r="I2783" s="82"/>
      <c r="J2783" s="82"/>
      <c r="K2783" s="82"/>
      <c r="L2783" s="82"/>
      <c r="M2783" s="82"/>
      <c r="N2783" s="82"/>
      <c r="O2783" s="82"/>
      <c r="P2783" s="82"/>
      <c r="Q2783" s="82"/>
      <c r="R2783" s="82"/>
      <c r="S2783" s="82"/>
      <c r="T2783" s="82"/>
      <c r="U2783" s="82"/>
      <c r="V2783" s="82"/>
      <c r="W2783" s="82"/>
      <c r="X2783" s="82"/>
      <c r="Y2783" s="82"/>
      <c r="Z2783" s="82"/>
    </row>
    <row r="2784" spans="1:26">
      <c r="A2784" s="81"/>
      <c r="F2784" s="81"/>
      <c r="G2784" s="82"/>
      <c r="H2784" s="82"/>
      <c r="I2784" s="82"/>
      <c r="J2784" s="82"/>
      <c r="K2784" s="82"/>
      <c r="L2784" s="82"/>
      <c r="M2784" s="82"/>
      <c r="N2784" s="82"/>
      <c r="O2784" s="82"/>
      <c r="P2784" s="82"/>
      <c r="Q2784" s="82"/>
      <c r="R2784" s="82"/>
      <c r="S2784" s="82"/>
      <c r="T2784" s="82"/>
      <c r="U2784" s="82"/>
      <c r="V2784" s="82"/>
      <c r="W2784" s="82"/>
      <c r="X2784" s="82"/>
      <c r="Y2784" s="82"/>
      <c r="Z2784" s="82"/>
    </row>
    <row r="2785" spans="1:26">
      <c r="A2785" s="81"/>
      <c r="F2785" s="81"/>
      <c r="G2785" s="82"/>
      <c r="H2785" s="82"/>
      <c r="I2785" s="82"/>
      <c r="J2785" s="82"/>
      <c r="K2785" s="82"/>
      <c r="L2785" s="82"/>
      <c r="M2785" s="82"/>
      <c r="N2785" s="82"/>
      <c r="O2785" s="82"/>
      <c r="P2785" s="82"/>
      <c r="Q2785" s="82"/>
      <c r="R2785" s="82"/>
      <c r="S2785" s="82"/>
      <c r="T2785" s="82"/>
      <c r="U2785" s="82"/>
      <c r="V2785" s="82"/>
      <c r="W2785" s="82"/>
      <c r="X2785" s="82"/>
      <c r="Y2785" s="82"/>
      <c r="Z2785" s="82"/>
    </row>
    <row r="2786" spans="1:26">
      <c r="A2786" s="81"/>
      <c r="F2786" s="81"/>
      <c r="G2786" s="82"/>
      <c r="H2786" s="82"/>
      <c r="I2786" s="82"/>
      <c r="J2786" s="82"/>
      <c r="K2786" s="82"/>
      <c r="L2786" s="82"/>
      <c r="M2786" s="82"/>
      <c r="N2786" s="82"/>
      <c r="O2786" s="82"/>
      <c r="P2786" s="82"/>
      <c r="Q2786" s="82"/>
      <c r="R2786" s="82"/>
      <c r="S2786" s="82"/>
      <c r="T2786" s="82"/>
      <c r="U2786" s="82"/>
      <c r="V2786" s="82"/>
      <c r="W2786" s="82"/>
      <c r="X2786" s="82"/>
      <c r="Y2786" s="82"/>
      <c r="Z2786" s="82"/>
    </row>
    <row r="2787" spans="1:26">
      <c r="A2787" s="81"/>
      <c r="F2787" s="81"/>
      <c r="G2787" s="82"/>
      <c r="H2787" s="82"/>
      <c r="I2787" s="82"/>
      <c r="J2787" s="82"/>
      <c r="K2787" s="82"/>
      <c r="L2787" s="82"/>
      <c r="M2787" s="82"/>
      <c r="N2787" s="82"/>
      <c r="O2787" s="82"/>
      <c r="P2787" s="82"/>
      <c r="Q2787" s="82"/>
      <c r="R2787" s="82"/>
      <c r="S2787" s="82"/>
      <c r="T2787" s="82"/>
      <c r="U2787" s="82"/>
      <c r="V2787" s="82"/>
      <c r="W2787" s="82"/>
      <c r="X2787" s="82"/>
      <c r="Y2787" s="82"/>
      <c r="Z2787" s="82"/>
    </row>
    <row r="2788" spans="1:26">
      <c r="A2788" s="81"/>
      <c r="F2788" s="81"/>
      <c r="G2788" s="82"/>
      <c r="H2788" s="82"/>
      <c r="I2788" s="82"/>
      <c r="J2788" s="82"/>
      <c r="K2788" s="82"/>
      <c r="L2788" s="82"/>
      <c r="M2788" s="82"/>
      <c r="N2788" s="82"/>
      <c r="O2788" s="82"/>
      <c r="P2788" s="82"/>
      <c r="Q2788" s="82"/>
      <c r="R2788" s="82"/>
      <c r="S2788" s="82"/>
      <c r="T2788" s="82"/>
      <c r="U2788" s="82"/>
      <c r="V2788" s="82"/>
      <c r="W2788" s="82"/>
      <c r="X2788" s="82"/>
      <c r="Y2788" s="82"/>
      <c r="Z2788" s="82"/>
    </row>
    <row r="2789" spans="1:26">
      <c r="A2789" s="81"/>
      <c r="F2789" s="81"/>
      <c r="G2789" s="82"/>
      <c r="H2789" s="82"/>
      <c r="I2789" s="82"/>
      <c r="J2789" s="82"/>
      <c r="K2789" s="82"/>
      <c r="L2789" s="82"/>
      <c r="M2789" s="82"/>
      <c r="N2789" s="82"/>
      <c r="O2789" s="82"/>
      <c r="P2789" s="82"/>
      <c r="Q2789" s="82"/>
      <c r="R2789" s="82"/>
      <c r="S2789" s="82"/>
      <c r="T2789" s="82"/>
      <c r="U2789" s="82"/>
      <c r="V2789" s="82"/>
      <c r="W2789" s="82"/>
      <c r="X2789" s="82"/>
      <c r="Y2789" s="82"/>
      <c r="Z2789" s="82"/>
    </row>
    <row r="2790" spans="1:26">
      <c r="A2790" s="81"/>
      <c r="F2790" s="81"/>
      <c r="G2790" s="82"/>
      <c r="H2790" s="82"/>
      <c r="I2790" s="82"/>
      <c r="J2790" s="82"/>
      <c r="K2790" s="82"/>
      <c r="L2790" s="82"/>
      <c r="M2790" s="82"/>
      <c r="N2790" s="82"/>
      <c r="O2790" s="82"/>
      <c r="P2790" s="82"/>
      <c r="Q2790" s="82"/>
      <c r="R2790" s="82"/>
      <c r="S2790" s="82"/>
      <c r="T2790" s="82"/>
      <c r="U2790" s="82"/>
      <c r="V2790" s="82"/>
      <c r="W2790" s="82"/>
      <c r="X2790" s="82"/>
      <c r="Y2790" s="82"/>
      <c r="Z2790" s="82"/>
    </row>
    <row r="2791" spans="1:26">
      <c r="A2791" s="81"/>
      <c r="F2791" s="81"/>
      <c r="G2791" s="82"/>
      <c r="H2791" s="82"/>
      <c r="I2791" s="82"/>
      <c r="J2791" s="82"/>
      <c r="K2791" s="82"/>
      <c r="L2791" s="82"/>
      <c r="M2791" s="82"/>
      <c r="N2791" s="82"/>
      <c r="O2791" s="82"/>
      <c r="P2791" s="82"/>
      <c r="Q2791" s="82"/>
      <c r="R2791" s="82"/>
      <c r="S2791" s="82"/>
      <c r="T2791" s="82"/>
      <c r="U2791" s="82"/>
      <c r="V2791" s="82"/>
      <c r="W2791" s="82"/>
      <c r="X2791" s="82"/>
      <c r="Y2791" s="82"/>
      <c r="Z2791" s="82"/>
    </row>
    <row r="2792" spans="1:26">
      <c r="A2792" s="81"/>
      <c r="F2792" s="81"/>
      <c r="G2792" s="82"/>
      <c r="H2792" s="82"/>
      <c r="I2792" s="82"/>
      <c r="J2792" s="82"/>
      <c r="K2792" s="82"/>
      <c r="L2792" s="82"/>
      <c r="M2792" s="82"/>
      <c r="N2792" s="82"/>
      <c r="O2792" s="82"/>
      <c r="P2792" s="82"/>
      <c r="Q2792" s="82"/>
      <c r="R2792" s="82"/>
      <c r="S2792" s="82"/>
      <c r="T2792" s="82"/>
      <c r="U2792" s="82"/>
      <c r="V2792" s="82"/>
      <c r="W2792" s="82"/>
      <c r="X2792" s="82"/>
      <c r="Y2792" s="82"/>
      <c r="Z2792" s="82"/>
    </row>
    <row r="2793" spans="1:26">
      <c r="A2793" s="81"/>
      <c r="F2793" s="81"/>
      <c r="G2793" s="82"/>
      <c r="H2793" s="82"/>
      <c r="I2793" s="82"/>
      <c r="J2793" s="82"/>
      <c r="K2793" s="82"/>
      <c r="L2793" s="82"/>
      <c r="M2793" s="82"/>
      <c r="N2793" s="82"/>
      <c r="O2793" s="82"/>
      <c r="P2793" s="82"/>
      <c r="Q2793" s="82"/>
      <c r="R2793" s="82"/>
      <c r="S2793" s="82"/>
      <c r="T2793" s="82"/>
      <c r="U2793" s="82"/>
      <c r="V2793" s="82"/>
      <c r="W2793" s="82"/>
      <c r="X2793" s="82"/>
      <c r="Y2793" s="82"/>
      <c r="Z2793" s="82"/>
    </row>
    <row r="2794" spans="1:26">
      <c r="A2794" s="81"/>
      <c r="F2794" s="81"/>
      <c r="G2794" s="82"/>
      <c r="H2794" s="82"/>
      <c r="I2794" s="82"/>
      <c r="J2794" s="82"/>
      <c r="K2794" s="82"/>
      <c r="L2794" s="82"/>
      <c r="M2794" s="82"/>
      <c r="N2794" s="82"/>
      <c r="O2794" s="82"/>
      <c r="P2794" s="82"/>
      <c r="Q2794" s="82"/>
      <c r="R2794" s="82"/>
      <c r="S2794" s="82"/>
      <c r="T2794" s="82"/>
      <c r="U2794" s="82"/>
      <c r="V2794" s="82"/>
      <c r="W2794" s="82"/>
      <c r="X2794" s="82"/>
      <c r="Y2794" s="82"/>
      <c r="Z2794" s="82"/>
    </row>
    <row r="2795" spans="1:26">
      <c r="A2795" s="81"/>
      <c r="F2795" s="81"/>
      <c r="G2795" s="82"/>
      <c r="H2795" s="82"/>
      <c r="I2795" s="82"/>
      <c r="J2795" s="82"/>
      <c r="K2795" s="82"/>
      <c r="L2795" s="82"/>
      <c r="M2795" s="82"/>
      <c r="N2795" s="82"/>
      <c r="O2795" s="82"/>
      <c r="P2795" s="82"/>
      <c r="Q2795" s="82"/>
      <c r="R2795" s="82"/>
      <c r="S2795" s="82"/>
      <c r="T2795" s="82"/>
      <c r="U2795" s="82"/>
      <c r="V2795" s="82"/>
      <c r="W2795" s="82"/>
      <c r="X2795" s="82"/>
      <c r="Y2795" s="82"/>
      <c r="Z2795" s="82"/>
    </row>
    <row r="2796" spans="1:26">
      <c r="A2796" s="81"/>
      <c r="F2796" s="81"/>
      <c r="G2796" s="82"/>
      <c r="H2796" s="82"/>
      <c r="I2796" s="82"/>
      <c r="J2796" s="82"/>
      <c r="K2796" s="82"/>
      <c r="L2796" s="82"/>
      <c r="M2796" s="82"/>
      <c r="N2796" s="82"/>
      <c r="O2796" s="82"/>
      <c r="P2796" s="82"/>
      <c r="Q2796" s="82"/>
      <c r="R2796" s="82"/>
      <c r="S2796" s="82"/>
      <c r="T2796" s="82"/>
      <c r="U2796" s="82"/>
      <c r="V2796" s="82"/>
      <c r="W2796" s="82"/>
      <c r="X2796" s="82"/>
      <c r="Y2796" s="82"/>
      <c r="Z2796" s="82"/>
    </row>
    <row r="2797" spans="1:26">
      <c r="A2797" s="81"/>
      <c r="F2797" s="81"/>
      <c r="G2797" s="82"/>
      <c r="H2797" s="82"/>
      <c r="I2797" s="82"/>
      <c r="J2797" s="82"/>
      <c r="K2797" s="82"/>
      <c r="L2797" s="82"/>
      <c r="M2797" s="82"/>
      <c r="N2797" s="82"/>
      <c r="O2797" s="82"/>
      <c r="P2797" s="82"/>
      <c r="Q2797" s="82"/>
      <c r="R2797" s="82"/>
      <c r="S2797" s="82"/>
      <c r="T2797" s="82"/>
      <c r="U2797" s="82"/>
      <c r="V2797" s="82"/>
      <c r="W2797" s="82"/>
      <c r="X2797" s="82"/>
      <c r="Y2797" s="82"/>
      <c r="Z2797" s="82"/>
    </row>
    <row r="2798" spans="1:26">
      <c r="A2798" s="81"/>
      <c r="F2798" s="81"/>
      <c r="G2798" s="82"/>
      <c r="H2798" s="82"/>
      <c r="I2798" s="82"/>
      <c r="J2798" s="82"/>
      <c r="K2798" s="82"/>
      <c r="L2798" s="82"/>
      <c r="M2798" s="82"/>
      <c r="N2798" s="82"/>
      <c r="O2798" s="82"/>
      <c r="P2798" s="82"/>
      <c r="Q2798" s="82"/>
      <c r="R2798" s="82"/>
      <c r="S2798" s="82"/>
      <c r="T2798" s="82"/>
      <c r="U2798" s="82"/>
      <c r="V2798" s="82"/>
      <c r="W2798" s="82"/>
      <c r="X2798" s="82"/>
      <c r="Y2798" s="82"/>
      <c r="Z2798" s="82"/>
    </row>
    <row r="2799" spans="1:26">
      <c r="A2799" s="81"/>
      <c r="F2799" s="81"/>
      <c r="G2799" s="82"/>
      <c r="H2799" s="82"/>
      <c r="I2799" s="82"/>
      <c r="J2799" s="82"/>
      <c r="K2799" s="82"/>
      <c r="L2799" s="82"/>
      <c r="M2799" s="82"/>
      <c r="N2799" s="82"/>
      <c r="O2799" s="82"/>
      <c r="P2799" s="82"/>
      <c r="Q2799" s="82"/>
      <c r="R2799" s="82"/>
      <c r="S2799" s="82"/>
      <c r="T2799" s="82"/>
      <c r="U2799" s="82"/>
      <c r="V2799" s="82"/>
      <c r="W2799" s="82"/>
      <c r="X2799" s="82"/>
      <c r="Y2799" s="82"/>
      <c r="Z2799" s="82"/>
    </row>
    <row r="2800" spans="1:26">
      <c r="A2800" s="81"/>
      <c r="F2800" s="81"/>
      <c r="G2800" s="82"/>
      <c r="H2800" s="82"/>
      <c r="I2800" s="82"/>
      <c r="J2800" s="82"/>
      <c r="K2800" s="82"/>
      <c r="L2800" s="82"/>
      <c r="M2800" s="82"/>
      <c r="N2800" s="82"/>
      <c r="O2800" s="82"/>
      <c r="P2800" s="82"/>
      <c r="Q2800" s="82"/>
      <c r="R2800" s="82"/>
      <c r="S2800" s="82"/>
      <c r="T2800" s="82"/>
      <c r="U2800" s="82"/>
      <c r="V2800" s="82"/>
      <c r="W2800" s="82"/>
      <c r="X2800" s="82"/>
      <c r="Y2800" s="82"/>
      <c r="Z2800" s="82"/>
    </row>
    <row r="2801" spans="1:26">
      <c r="A2801" s="81"/>
      <c r="F2801" s="81"/>
      <c r="G2801" s="82"/>
      <c r="H2801" s="82"/>
      <c r="I2801" s="82"/>
      <c r="J2801" s="82"/>
      <c r="K2801" s="82"/>
      <c r="L2801" s="82"/>
      <c r="M2801" s="82"/>
      <c r="N2801" s="82"/>
      <c r="O2801" s="82"/>
      <c r="P2801" s="82"/>
      <c r="Q2801" s="82"/>
      <c r="R2801" s="82"/>
      <c r="S2801" s="82"/>
      <c r="T2801" s="82"/>
      <c r="U2801" s="82"/>
      <c r="V2801" s="82"/>
      <c r="W2801" s="82"/>
      <c r="X2801" s="82"/>
      <c r="Y2801" s="82"/>
      <c r="Z2801" s="82"/>
    </row>
    <row r="2802" spans="1:26">
      <c r="A2802" s="81"/>
      <c r="F2802" s="81"/>
      <c r="G2802" s="82"/>
      <c r="H2802" s="82"/>
      <c r="I2802" s="82"/>
      <c r="J2802" s="82"/>
      <c r="K2802" s="82"/>
      <c r="L2802" s="82"/>
      <c r="M2802" s="82"/>
      <c r="N2802" s="82"/>
      <c r="O2802" s="82"/>
      <c r="P2802" s="82"/>
      <c r="Q2802" s="82"/>
      <c r="R2802" s="82"/>
      <c r="S2802" s="82"/>
      <c r="T2802" s="82"/>
      <c r="U2802" s="82"/>
      <c r="V2802" s="82"/>
      <c r="W2802" s="82"/>
      <c r="X2802" s="82"/>
      <c r="Y2802" s="82"/>
      <c r="Z2802" s="82"/>
    </row>
    <row r="2803" spans="1:26">
      <c r="A2803" s="81"/>
      <c r="F2803" s="81"/>
      <c r="G2803" s="82"/>
      <c r="H2803" s="82"/>
      <c r="I2803" s="82"/>
      <c r="J2803" s="82"/>
      <c r="K2803" s="82"/>
      <c r="L2803" s="82"/>
      <c r="M2803" s="82"/>
      <c r="N2803" s="82"/>
      <c r="O2803" s="82"/>
      <c r="P2803" s="82"/>
      <c r="Q2803" s="82"/>
      <c r="R2803" s="82"/>
      <c r="S2803" s="82"/>
      <c r="T2803" s="82"/>
      <c r="U2803" s="82"/>
      <c r="V2803" s="82"/>
      <c r="W2803" s="82"/>
      <c r="X2803" s="82"/>
      <c r="Y2803" s="82"/>
      <c r="Z2803" s="82"/>
    </row>
    <row r="2804" spans="1:26">
      <c r="A2804" s="81"/>
      <c r="F2804" s="81"/>
      <c r="G2804" s="82"/>
      <c r="H2804" s="82"/>
      <c r="I2804" s="82"/>
      <c r="J2804" s="82"/>
      <c r="K2804" s="82"/>
      <c r="L2804" s="82"/>
      <c r="M2804" s="82"/>
      <c r="N2804" s="82"/>
      <c r="O2804" s="82"/>
      <c r="P2804" s="82"/>
      <c r="Q2804" s="82"/>
      <c r="R2804" s="82"/>
      <c r="S2804" s="82"/>
      <c r="T2804" s="82"/>
      <c r="U2804" s="82"/>
      <c r="V2804" s="82"/>
      <c r="W2804" s="82"/>
      <c r="X2804" s="82"/>
      <c r="Y2804" s="82"/>
      <c r="Z2804" s="82"/>
    </row>
    <row r="2805" spans="1:26">
      <c r="A2805" s="81"/>
      <c r="F2805" s="81"/>
      <c r="G2805" s="82"/>
      <c r="H2805" s="82"/>
      <c r="I2805" s="82"/>
      <c r="J2805" s="82"/>
      <c r="K2805" s="82"/>
      <c r="L2805" s="82"/>
      <c r="M2805" s="82"/>
      <c r="N2805" s="82"/>
      <c r="O2805" s="82"/>
      <c r="P2805" s="82"/>
      <c r="Q2805" s="82"/>
      <c r="R2805" s="82"/>
      <c r="S2805" s="82"/>
      <c r="T2805" s="82"/>
      <c r="U2805" s="82"/>
      <c r="V2805" s="82"/>
      <c r="W2805" s="82"/>
      <c r="X2805" s="82"/>
      <c r="Y2805" s="82"/>
      <c r="Z2805" s="82"/>
    </row>
    <row r="2806" spans="1:26">
      <c r="A2806" s="81"/>
      <c r="F2806" s="81"/>
      <c r="G2806" s="82"/>
      <c r="H2806" s="82"/>
      <c r="I2806" s="82"/>
      <c r="J2806" s="82"/>
      <c r="K2806" s="82"/>
      <c r="L2806" s="82"/>
      <c r="M2806" s="82"/>
      <c r="N2806" s="82"/>
      <c r="O2806" s="82"/>
      <c r="P2806" s="82"/>
      <c r="Q2806" s="82"/>
      <c r="R2806" s="82"/>
      <c r="S2806" s="82"/>
      <c r="T2806" s="82"/>
      <c r="U2806" s="82"/>
      <c r="V2806" s="82"/>
      <c r="W2806" s="82"/>
      <c r="X2806" s="82"/>
      <c r="Y2806" s="82"/>
      <c r="Z2806" s="82"/>
    </row>
    <row r="2807" spans="1:26">
      <c r="A2807" s="81"/>
      <c r="F2807" s="81"/>
      <c r="G2807" s="82"/>
      <c r="H2807" s="82"/>
      <c r="I2807" s="82"/>
      <c r="J2807" s="82"/>
      <c r="K2807" s="82"/>
      <c r="L2807" s="82"/>
      <c r="M2807" s="82"/>
      <c r="N2807" s="82"/>
      <c r="O2807" s="82"/>
      <c r="P2807" s="82"/>
      <c r="Q2807" s="82"/>
      <c r="R2807" s="82"/>
      <c r="S2807" s="82"/>
      <c r="T2807" s="82"/>
      <c r="U2807" s="82"/>
      <c r="V2807" s="82"/>
      <c r="W2807" s="82"/>
      <c r="X2807" s="82"/>
      <c r="Y2807" s="82"/>
      <c r="Z2807" s="82"/>
    </row>
    <row r="2808" spans="1:26">
      <c r="A2808" s="81"/>
      <c r="F2808" s="81"/>
      <c r="G2808" s="82"/>
      <c r="H2808" s="82"/>
      <c r="I2808" s="82"/>
      <c r="J2808" s="82"/>
      <c r="K2808" s="82"/>
      <c r="L2808" s="82"/>
      <c r="M2808" s="82"/>
      <c r="N2808" s="82"/>
      <c r="O2808" s="82"/>
      <c r="P2808" s="82"/>
      <c r="Q2808" s="82"/>
      <c r="R2808" s="82"/>
      <c r="S2808" s="82"/>
      <c r="T2808" s="82"/>
      <c r="U2808" s="82"/>
      <c r="V2808" s="82"/>
      <c r="W2808" s="82"/>
      <c r="X2808" s="82"/>
      <c r="Y2808" s="82"/>
      <c r="Z2808" s="82"/>
    </row>
    <row r="2809" spans="1:26">
      <c r="A2809" s="81"/>
      <c r="F2809" s="81"/>
      <c r="G2809" s="82"/>
      <c r="H2809" s="82"/>
      <c r="I2809" s="82"/>
      <c r="J2809" s="82"/>
      <c r="K2809" s="82"/>
      <c r="L2809" s="82"/>
      <c r="M2809" s="82"/>
      <c r="N2809" s="82"/>
      <c r="O2809" s="82"/>
      <c r="P2809" s="82"/>
      <c r="Q2809" s="82"/>
      <c r="R2809" s="82"/>
      <c r="S2809" s="82"/>
      <c r="T2809" s="82"/>
      <c r="U2809" s="82"/>
      <c r="V2809" s="82"/>
      <c r="W2809" s="82"/>
      <c r="X2809" s="82"/>
      <c r="Y2809" s="82"/>
      <c r="Z2809" s="82"/>
    </row>
    <row r="2810" spans="1:26">
      <c r="A2810" s="81"/>
      <c r="F2810" s="81"/>
      <c r="G2810" s="82"/>
      <c r="H2810" s="82"/>
      <c r="I2810" s="82"/>
      <c r="J2810" s="82"/>
      <c r="K2810" s="82"/>
      <c r="L2810" s="82"/>
      <c r="M2810" s="82"/>
      <c r="N2810" s="82"/>
      <c r="O2810" s="82"/>
      <c r="P2810" s="82"/>
      <c r="Q2810" s="82"/>
      <c r="R2810" s="82"/>
      <c r="S2810" s="82"/>
      <c r="T2810" s="82"/>
      <c r="U2810" s="82"/>
      <c r="V2810" s="82"/>
      <c r="W2810" s="82"/>
      <c r="X2810" s="82"/>
      <c r="Y2810" s="82"/>
      <c r="Z2810" s="82"/>
    </row>
    <row r="2811" spans="1:26">
      <c r="A2811" s="81"/>
      <c r="F2811" s="81"/>
      <c r="G2811" s="82"/>
      <c r="H2811" s="82"/>
      <c r="I2811" s="82"/>
      <c r="J2811" s="82"/>
      <c r="K2811" s="82"/>
      <c r="L2811" s="82"/>
      <c r="M2811" s="82"/>
      <c r="N2811" s="82"/>
      <c r="O2811" s="82"/>
      <c r="P2811" s="82"/>
      <c r="Q2811" s="82"/>
      <c r="R2811" s="82"/>
      <c r="S2811" s="82"/>
      <c r="T2811" s="82"/>
      <c r="U2811" s="82"/>
      <c r="V2811" s="82"/>
      <c r="W2811" s="82"/>
      <c r="X2811" s="82"/>
      <c r="Y2811" s="82"/>
      <c r="Z2811" s="82"/>
    </row>
    <row r="2812" spans="1:26">
      <c r="A2812" s="81"/>
      <c r="F2812" s="81"/>
      <c r="G2812" s="82"/>
      <c r="H2812" s="82"/>
      <c r="I2812" s="82"/>
      <c r="J2812" s="82"/>
      <c r="K2812" s="82"/>
      <c r="L2812" s="82"/>
      <c r="M2812" s="82"/>
      <c r="N2812" s="82"/>
      <c r="O2812" s="82"/>
      <c r="P2812" s="82"/>
      <c r="Q2812" s="82"/>
      <c r="R2812" s="82"/>
      <c r="S2812" s="82"/>
      <c r="T2812" s="82"/>
      <c r="U2812" s="82"/>
      <c r="V2812" s="82"/>
      <c r="W2812" s="82"/>
      <c r="X2812" s="82"/>
      <c r="Y2812" s="82"/>
      <c r="Z2812" s="82"/>
    </row>
    <row r="2813" spans="1:26">
      <c r="A2813" s="81"/>
      <c r="F2813" s="81"/>
      <c r="G2813" s="82"/>
      <c r="H2813" s="82"/>
      <c r="I2813" s="82"/>
      <c r="J2813" s="82"/>
      <c r="K2813" s="82"/>
      <c r="L2813" s="82"/>
      <c r="M2813" s="82"/>
      <c r="N2813" s="82"/>
      <c r="O2813" s="82"/>
      <c r="P2813" s="82"/>
      <c r="Q2813" s="82"/>
      <c r="R2813" s="82"/>
      <c r="S2813" s="82"/>
      <c r="T2813" s="82"/>
      <c r="U2813" s="82"/>
      <c r="V2813" s="82"/>
      <c r="W2813" s="82"/>
      <c r="X2813" s="82"/>
      <c r="Y2813" s="82"/>
      <c r="Z2813" s="82"/>
    </row>
    <row r="2814" spans="1:26">
      <c r="A2814" s="81"/>
      <c r="F2814" s="81"/>
      <c r="G2814" s="82"/>
      <c r="H2814" s="82"/>
      <c r="I2814" s="82"/>
      <c r="J2814" s="82"/>
      <c r="K2814" s="82"/>
      <c r="L2814" s="82"/>
      <c r="M2814" s="82"/>
      <c r="N2814" s="82"/>
      <c r="O2814" s="82"/>
      <c r="P2814" s="82"/>
      <c r="Q2814" s="82"/>
      <c r="R2814" s="82"/>
      <c r="S2814" s="82"/>
      <c r="T2814" s="82"/>
      <c r="U2814" s="82"/>
      <c r="V2814" s="82"/>
      <c r="W2814" s="82"/>
      <c r="X2814" s="82"/>
      <c r="Y2814" s="82"/>
      <c r="Z2814" s="82"/>
    </row>
    <row r="2815" spans="1:26">
      <c r="A2815" s="81"/>
      <c r="F2815" s="81"/>
      <c r="G2815" s="82"/>
      <c r="H2815" s="82"/>
      <c r="I2815" s="82"/>
      <c r="J2815" s="82"/>
      <c r="K2815" s="82"/>
      <c r="L2815" s="82"/>
      <c r="M2815" s="82"/>
      <c r="N2815" s="82"/>
      <c r="O2815" s="82"/>
      <c r="P2815" s="82"/>
      <c r="Q2815" s="82"/>
      <c r="R2815" s="82"/>
      <c r="S2815" s="82"/>
      <c r="T2815" s="82"/>
      <c r="U2815" s="82"/>
      <c r="V2815" s="82"/>
      <c r="W2815" s="82"/>
      <c r="X2815" s="82"/>
      <c r="Y2815" s="82"/>
      <c r="Z2815" s="82"/>
    </row>
    <row r="2816" spans="1:26">
      <c r="A2816" s="81"/>
      <c r="F2816" s="81"/>
      <c r="G2816" s="82"/>
      <c r="H2816" s="82"/>
      <c r="I2816" s="82"/>
      <c r="J2816" s="82"/>
      <c r="K2816" s="82"/>
      <c r="L2816" s="82"/>
      <c r="M2816" s="82"/>
      <c r="N2816" s="82"/>
      <c r="O2816" s="82"/>
      <c r="P2816" s="82"/>
      <c r="Q2816" s="82"/>
      <c r="R2816" s="82"/>
      <c r="S2816" s="82"/>
      <c r="T2816" s="82"/>
      <c r="U2816" s="82"/>
      <c r="V2816" s="82"/>
      <c r="W2816" s="82"/>
      <c r="X2816" s="82"/>
      <c r="Y2816" s="82"/>
      <c r="Z2816" s="82"/>
    </row>
    <row r="2817" spans="1:26">
      <c r="A2817" s="81"/>
      <c r="F2817" s="81"/>
      <c r="G2817" s="82"/>
      <c r="H2817" s="82"/>
      <c r="I2817" s="82"/>
      <c r="J2817" s="82"/>
      <c r="K2817" s="82"/>
      <c r="L2817" s="82"/>
      <c r="M2817" s="82"/>
      <c r="N2817" s="82"/>
      <c r="O2817" s="82"/>
      <c r="P2817" s="82"/>
      <c r="Q2817" s="82"/>
      <c r="R2817" s="82"/>
      <c r="S2817" s="82"/>
      <c r="T2817" s="82"/>
      <c r="U2817" s="82"/>
      <c r="V2817" s="82"/>
      <c r="W2817" s="82"/>
      <c r="X2817" s="82"/>
      <c r="Y2817" s="82"/>
      <c r="Z2817" s="82"/>
    </row>
    <row r="2818" spans="1:26">
      <c r="A2818" s="81"/>
      <c r="F2818" s="81"/>
      <c r="G2818" s="82"/>
      <c r="H2818" s="82"/>
      <c r="I2818" s="82"/>
      <c r="J2818" s="82"/>
      <c r="K2818" s="82"/>
      <c r="L2818" s="82"/>
      <c r="M2818" s="82"/>
      <c r="N2818" s="82"/>
      <c r="O2818" s="82"/>
      <c r="P2818" s="82"/>
      <c r="Q2818" s="82"/>
      <c r="R2818" s="82"/>
      <c r="S2818" s="82"/>
      <c r="T2818" s="82"/>
      <c r="U2818" s="82"/>
      <c r="V2818" s="82"/>
      <c r="W2818" s="82"/>
      <c r="X2818" s="82"/>
      <c r="Y2818" s="82"/>
      <c r="Z2818" s="82"/>
    </row>
    <row r="2819" spans="1:26">
      <c r="A2819" s="81"/>
      <c r="F2819" s="81"/>
      <c r="G2819" s="82"/>
      <c r="H2819" s="82"/>
      <c r="I2819" s="82"/>
      <c r="J2819" s="82"/>
      <c r="K2819" s="82"/>
      <c r="L2819" s="82"/>
      <c r="M2819" s="82"/>
      <c r="N2819" s="82"/>
      <c r="O2819" s="82"/>
      <c r="P2819" s="82"/>
      <c r="Q2819" s="82"/>
      <c r="R2819" s="82"/>
      <c r="S2819" s="82"/>
      <c r="T2819" s="82"/>
      <c r="U2819" s="82"/>
      <c r="V2819" s="82"/>
      <c r="W2819" s="82"/>
      <c r="X2819" s="82"/>
      <c r="Y2819" s="82"/>
      <c r="Z2819" s="82"/>
    </row>
    <row r="2820" spans="1:26">
      <c r="A2820" s="81"/>
      <c r="F2820" s="81"/>
      <c r="G2820" s="82"/>
      <c r="H2820" s="82"/>
      <c r="I2820" s="82"/>
      <c r="J2820" s="82"/>
      <c r="K2820" s="82"/>
      <c r="L2820" s="82"/>
      <c r="M2820" s="82"/>
      <c r="N2820" s="82"/>
      <c r="O2820" s="82"/>
      <c r="P2820" s="82"/>
      <c r="Q2820" s="82"/>
      <c r="R2820" s="82"/>
      <c r="S2820" s="82"/>
      <c r="T2820" s="82"/>
      <c r="U2820" s="82"/>
      <c r="V2820" s="82"/>
      <c r="W2820" s="82"/>
      <c r="X2820" s="82"/>
      <c r="Y2820" s="82"/>
      <c r="Z2820" s="82"/>
    </row>
    <row r="2821" spans="1:26">
      <c r="A2821" s="81"/>
      <c r="F2821" s="81"/>
      <c r="G2821" s="82"/>
      <c r="H2821" s="82"/>
      <c r="I2821" s="82"/>
      <c r="J2821" s="82"/>
      <c r="K2821" s="82"/>
      <c r="L2821" s="82"/>
      <c r="M2821" s="82"/>
      <c r="N2821" s="82"/>
      <c r="O2821" s="82"/>
      <c r="P2821" s="82"/>
      <c r="Q2821" s="82"/>
      <c r="R2821" s="82"/>
      <c r="S2821" s="82"/>
      <c r="T2821" s="82"/>
      <c r="U2821" s="82"/>
      <c r="V2821" s="82"/>
      <c r="W2821" s="82"/>
      <c r="X2821" s="82"/>
      <c r="Y2821" s="82"/>
      <c r="Z2821" s="82"/>
    </row>
    <row r="2822" spans="1:26">
      <c r="A2822" s="81"/>
      <c r="F2822" s="81"/>
      <c r="G2822" s="82"/>
      <c r="H2822" s="82"/>
      <c r="I2822" s="82"/>
      <c r="J2822" s="82"/>
      <c r="K2822" s="82"/>
      <c r="L2822" s="82"/>
      <c r="M2822" s="82"/>
      <c r="N2822" s="82"/>
      <c r="O2822" s="82"/>
      <c r="P2822" s="82"/>
      <c r="Q2822" s="82"/>
      <c r="R2822" s="82"/>
      <c r="S2822" s="82"/>
      <c r="T2822" s="82"/>
      <c r="U2822" s="82"/>
      <c r="V2822" s="82"/>
      <c r="W2822" s="82"/>
      <c r="X2822" s="82"/>
      <c r="Y2822" s="82"/>
      <c r="Z2822" s="82"/>
    </row>
    <row r="2823" spans="1:26">
      <c r="A2823" s="81"/>
      <c r="F2823" s="81"/>
      <c r="G2823" s="82"/>
      <c r="H2823" s="82"/>
      <c r="I2823" s="82"/>
      <c r="J2823" s="82"/>
      <c r="K2823" s="82"/>
      <c r="L2823" s="82"/>
      <c r="M2823" s="82"/>
      <c r="N2823" s="82"/>
      <c r="O2823" s="82"/>
      <c r="P2823" s="82"/>
      <c r="Q2823" s="82"/>
      <c r="R2823" s="82"/>
      <c r="S2823" s="82"/>
      <c r="T2823" s="82"/>
      <c r="U2823" s="82"/>
      <c r="V2823" s="82"/>
      <c r="W2823" s="82"/>
      <c r="X2823" s="82"/>
      <c r="Y2823" s="82"/>
      <c r="Z2823" s="82"/>
    </row>
    <row r="2824" spans="1:26">
      <c r="A2824" s="81"/>
      <c r="F2824" s="81"/>
      <c r="G2824" s="82"/>
      <c r="H2824" s="82"/>
      <c r="I2824" s="82"/>
      <c r="J2824" s="82"/>
      <c r="K2824" s="82"/>
      <c r="L2824" s="82"/>
      <c r="M2824" s="82"/>
      <c r="N2824" s="82"/>
      <c r="O2824" s="82"/>
      <c r="P2824" s="82"/>
      <c r="Q2824" s="82"/>
      <c r="R2824" s="82"/>
      <c r="S2824" s="82"/>
      <c r="T2824" s="82"/>
      <c r="U2824" s="82"/>
      <c r="V2824" s="82"/>
      <c r="W2824" s="82"/>
      <c r="X2824" s="82"/>
      <c r="Y2824" s="82"/>
      <c r="Z2824" s="82"/>
    </row>
    <row r="2825" spans="1:26">
      <c r="A2825" s="81"/>
      <c r="F2825" s="81"/>
      <c r="G2825" s="82"/>
      <c r="H2825" s="82"/>
      <c r="I2825" s="82"/>
      <c r="J2825" s="82"/>
      <c r="K2825" s="82"/>
      <c r="L2825" s="82"/>
      <c r="M2825" s="82"/>
      <c r="N2825" s="82"/>
      <c r="O2825" s="82"/>
      <c r="P2825" s="82"/>
      <c r="Q2825" s="82"/>
      <c r="R2825" s="82"/>
      <c r="S2825" s="82"/>
      <c r="T2825" s="82"/>
      <c r="U2825" s="82"/>
      <c r="V2825" s="82"/>
      <c r="W2825" s="82"/>
      <c r="X2825" s="82"/>
      <c r="Y2825" s="82"/>
      <c r="Z2825" s="82"/>
    </row>
    <row r="2826" spans="1:26">
      <c r="A2826" s="81"/>
      <c r="F2826" s="81"/>
      <c r="G2826" s="82"/>
      <c r="H2826" s="82"/>
      <c r="I2826" s="82"/>
      <c r="J2826" s="82"/>
      <c r="K2826" s="82"/>
      <c r="L2826" s="82"/>
      <c r="M2826" s="82"/>
      <c r="N2826" s="82"/>
      <c r="O2826" s="82"/>
      <c r="P2826" s="82"/>
      <c r="Q2826" s="82"/>
      <c r="R2826" s="82"/>
      <c r="S2826" s="82"/>
      <c r="T2826" s="82"/>
      <c r="U2826" s="82"/>
      <c r="V2826" s="82"/>
      <c r="W2826" s="82"/>
      <c r="X2826" s="82"/>
      <c r="Y2826" s="82"/>
      <c r="Z2826" s="82"/>
    </row>
    <row r="2827" spans="1:26">
      <c r="A2827" s="81"/>
      <c r="F2827" s="81"/>
      <c r="G2827" s="82"/>
      <c r="H2827" s="82"/>
      <c r="I2827" s="82"/>
      <c r="J2827" s="82"/>
      <c r="K2827" s="82"/>
      <c r="L2827" s="82"/>
      <c r="M2827" s="82"/>
      <c r="N2827" s="82"/>
      <c r="O2827" s="82"/>
      <c r="P2827" s="82"/>
      <c r="Q2827" s="82"/>
      <c r="R2827" s="82"/>
      <c r="S2827" s="82"/>
      <c r="T2827" s="82"/>
      <c r="U2827" s="82"/>
      <c r="V2827" s="82"/>
      <c r="W2827" s="82"/>
      <c r="X2827" s="82"/>
      <c r="Y2827" s="82"/>
      <c r="Z2827" s="82"/>
    </row>
    <row r="2828" spans="1:26">
      <c r="A2828" s="81"/>
      <c r="F2828" s="81"/>
      <c r="G2828" s="82"/>
      <c r="H2828" s="82"/>
      <c r="I2828" s="82"/>
      <c r="J2828" s="82"/>
      <c r="K2828" s="82"/>
      <c r="L2828" s="82"/>
      <c r="M2828" s="82"/>
      <c r="N2828" s="82"/>
      <c r="O2828" s="82"/>
      <c r="P2828" s="82"/>
      <c r="Q2828" s="82"/>
      <c r="R2828" s="82"/>
      <c r="S2828" s="82"/>
      <c r="T2828" s="82"/>
      <c r="U2828" s="82"/>
      <c r="V2828" s="82"/>
      <c r="W2828" s="82"/>
      <c r="X2828" s="82"/>
      <c r="Y2828" s="82"/>
      <c r="Z2828" s="82"/>
    </row>
    <row r="2829" spans="1:26">
      <c r="A2829" s="81"/>
      <c r="F2829" s="81"/>
      <c r="G2829" s="82"/>
      <c r="H2829" s="82"/>
      <c r="I2829" s="82"/>
      <c r="J2829" s="82"/>
      <c r="K2829" s="82"/>
      <c r="L2829" s="82"/>
      <c r="M2829" s="82"/>
      <c r="N2829" s="82"/>
      <c r="O2829" s="82"/>
      <c r="P2829" s="82"/>
      <c r="Q2829" s="82"/>
      <c r="R2829" s="82"/>
      <c r="S2829" s="82"/>
      <c r="T2829" s="82"/>
      <c r="U2829" s="82"/>
      <c r="V2829" s="82"/>
      <c r="W2829" s="82"/>
      <c r="X2829" s="82"/>
      <c r="Y2829" s="82"/>
      <c r="Z2829" s="82"/>
    </row>
    <row r="2830" spans="1:26">
      <c r="A2830" s="81"/>
      <c r="F2830" s="81"/>
      <c r="G2830" s="82"/>
      <c r="H2830" s="82"/>
      <c r="I2830" s="82"/>
      <c r="J2830" s="82"/>
      <c r="K2830" s="82"/>
      <c r="L2830" s="82"/>
      <c r="M2830" s="82"/>
      <c r="N2830" s="82"/>
      <c r="O2830" s="82"/>
      <c r="P2830" s="82"/>
      <c r="Q2830" s="82"/>
      <c r="R2830" s="82"/>
      <c r="S2830" s="82"/>
      <c r="T2830" s="82"/>
      <c r="U2830" s="82"/>
      <c r="V2830" s="82"/>
      <c r="W2830" s="82"/>
      <c r="X2830" s="82"/>
      <c r="Y2830" s="82"/>
      <c r="Z2830" s="82"/>
    </row>
    <row r="2831" spans="1:26">
      <c r="A2831" s="81"/>
      <c r="F2831" s="81"/>
      <c r="G2831" s="82"/>
      <c r="H2831" s="82"/>
      <c r="I2831" s="82"/>
      <c r="J2831" s="82"/>
      <c r="K2831" s="82"/>
      <c r="L2831" s="82"/>
      <c r="M2831" s="82"/>
      <c r="N2831" s="82"/>
      <c r="O2831" s="82"/>
      <c r="P2831" s="82"/>
      <c r="Q2831" s="82"/>
      <c r="R2831" s="82"/>
      <c r="S2831" s="82"/>
      <c r="T2831" s="82"/>
      <c r="U2831" s="82"/>
      <c r="V2831" s="82"/>
      <c r="W2831" s="82"/>
      <c r="X2831" s="82"/>
      <c r="Y2831" s="82"/>
      <c r="Z2831" s="82"/>
    </row>
    <row r="2832" spans="1:26">
      <c r="A2832" s="81"/>
      <c r="F2832" s="81"/>
      <c r="G2832" s="82"/>
      <c r="H2832" s="82"/>
      <c r="I2832" s="82"/>
      <c r="J2832" s="82"/>
      <c r="K2832" s="82"/>
      <c r="L2832" s="82"/>
      <c r="M2832" s="82"/>
      <c r="N2832" s="82"/>
      <c r="O2832" s="82"/>
      <c r="P2832" s="82"/>
      <c r="Q2832" s="82"/>
      <c r="R2832" s="82"/>
      <c r="S2832" s="82"/>
      <c r="T2832" s="82"/>
      <c r="U2832" s="82"/>
      <c r="V2832" s="82"/>
      <c r="W2832" s="82"/>
      <c r="X2832" s="82"/>
      <c r="Y2832" s="82"/>
      <c r="Z2832" s="82"/>
    </row>
    <row r="2833" spans="1:26">
      <c r="A2833" s="81"/>
      <c r="F2833" s="81"/>
      <c r="G2833" s="82"/>
      <c r="H2833" s="82"/>
      <c r="I2833" s="82"/>
      <c r="J2833" s="82"/>
      <c r="K2833" s="82"/>
      <c r="L2833" s="82"/>
      <c r="M2833" s="82"/>
      <c r="N2833" s="82"/>
      <c r="O2833" s="82"/>
      <c r="P2833" s="82"/>
      <c r="Q2833" s="82"/>
      <c r="R2833" s="82"/>
      <c r="S2833" s="82"/>
      <c r="T2833" s="82"/>
      <c r="U2833" s="82"/>
      <c r="V2833" s="82"/>
      <c r="W2833" s="82"/>
      <c r="X2833" s="82"/>
      <c r="Y2833" s="82"/>
      <c r="Z2833" s="82"/>
    </row>
    <row r="2834" spans="1:26">
      <c r="A2834" s="81"/>
      <c r="F2834" s="81"/>
      <c r="G2834" s="82"/>
      <c r="H2834" s="82"/>
      <c r="I2834" s="82"/>
      <c r="J2834" s="82"/>
      <c r="K2834" s="82"/>
      <c r="L2834" s="82"/>
      <c r="M2834" s="82"/>
      <c r="N2834" s="82"/>
      <c r="O2834" s="82"/>
      <c r="P2834" s="82"/>
      <c r="Q2834" s="82"/>
      <c r="R2834" s="82"/>
      <c r="S2834" s="82"/>
      <c r="T2834" s="82"/>
      <c r="U2834" s="82"/>
      <c r="V2834" s="82"/>
      <c r="W2834" s="82"/>
      <c r="X2834" s="82"/>
      <c r="Y2834" s="82"/>
      <c r="Z2834" s="82"/>
    </row>
    <row r="2835" spans="1:26">
      <c r="A2835" s="81"/>
      <c r="F2835" s="81"/>
      <c r="G2835" s="82"/>
      <c r="H2835" s="82"/>
      <c r="I2835" s="82"/>
      <c r="J2835" s="82"/>
      <c r="K2835" s="82"/>
      <c r="L2835" s="82"/>
      <c r="M2835" s="82"/>
      <c r="N2835" s="82"/>
      <c r="O2835" s="82"/>
      <c r="P2835" s="82"/>
      <c r="Q2835" s="82"/>
      <c r="R2835" s="82"/>
      <c r="S2835" s="82"/>
      <c r="T2835" s="82"/>
      <c r="U2835" s="82"/>
      <c r="V2835" s="82"/>
      <c r="W2835" s="82"/>
      <c r="X2835" s="82"/>
      <c r="Y2835" s="82"/>
      <c r="Z2835" s="82"/>
    </row>
    <row r="2836" spans="1:26">
      <c r="A2836" s="81"/>
      <c r="F2836" s="81"/>
      <c r="G2836" s="82"/>
      <c r="H2836" s="82"/>
      <c r="I2836" s="82"/>
      <c r="J2836" s="82"/>
      <c r="K2836" s="82"/>
      <c r="L2836" s="82"/>
      <c r="M2836" s="82"/>
      <c r="N2836" s="82"/>
      <c r="O2836" s="82"/>
      <c r="P2836" s="82"/>
      <c r="Q2836" s="82"/>
      <c r="R2836" s="82"/>
      <c r="S2836" s="82"/>
      <c r="T2836" s="82"/>
      <c r="U2836" s="82"/>
      <c r="V2836" s="82"/>
      <c r="W2836" s="82"/>
      <c r="X2836" s="82"/>
      <c r="Y2836" s="82"/>
      <c r="Z2836" s="82"/>
    </row>
    <row r="2837" spans="1:26">
      <c r="A2837" s="81"/>
      <c r="F2837" s="81"/>
      <c r="G2837" s="82"/>
      <c r="H2837" s="82"/>
      <c r="I2837" s="82"/>
      <c r="J2837" s="82"/>
      <c r="K2837" s="82"/>
      <c r="L2837" s="82"/>
      <c r="M2837" s="82"/>
      <c r="N2837" s="82"/>
      <c r="O2837" s="82"/>
      <c r="P2837" s="82"/>
      <c r="Q2837" s="82"/>
      <c r="R2837" s="82"/>
      <c r="S2837" s="82"/>
      <c r="T2837" s="82"/>
      <c r="U2837" s="82"/>
      <c r="V2837" s="82"/>
      <c r="W2837" s="82"/>
      <c r="X2837" s="82"/>
      <c r="Y2837" s="82"/>
      <c r="Z2837" s="82"/>
    </row>
    <row r="2838" spans="1:26">
      <c r="A2838" s="81"/>
      <c r="F2838" s="81"/>
      <c r="G2838" s="82"/>
      <c r="H2838" s="82"/>
      <c r="I2838" s="82"/>
      <c r="J2838" s="82"/>
      <c r="K2838" s="82"/>
      <c r="L2838" s="82"/>
      <c r="M2838" s="82"/>
      <c r="N2838" s="82"/>
      <c r="O2838" s="82"/>
      <c r="P2838" s="82"/>
      <c r="Q2838" s="82"/>
      <c r="R2838" s="82"/>
      <c r="S2838" s="82"/>
      <c r="T2838" s="82"/>
      <c r="U2838" s="82"/>
      <c r="V2838" s="82"/>
      <c r="W2838" s="82"/>
      <c r="X2838" s="82"/>
      <c r="Y2838" s="82"/>
      <c r="Z2838" s="82"/>
    </row>
    <row r="2839" spans="1:26">
      <c r="A2839" s="81"/>
      <c r="F2839" s="81"/>
      <c r="G2839" s="82"/>
      <c r="H2839" s="82"/>
      <c r="I2839" s="82"/>
      <c r="J2839" s="82"/>
      <c r="K2839" s="82"/>
      <c r="L2839" s="82"/>
      <c r="M2839" s="82"/>
      <c r="N2839" s="82"/>
      <c r="O2839" s="82"/>
      <c r="P2839" s="82"/>
      <c r="Q2839" s="82"/>
      <c r="R2839" s="82"/>
      <c r="S2839" s="82"/>
      <c r="T2839" s="82"/>
      <c r="U2839" s="82"/>
      <c r="V2839" s="82"/>
      <c r="W2839" s="82"/>
      <c r="X2839" s="82"/>
      <c r="Y2839" s="82"/>
      <c r="Z2839" s="82"/>
    </row>
    <row r="2840" spans="1:26">
      <c r="A2840" s="81"/>
      <c r="F2840" s="81"/>
      <c r="G2840" s="82"/>
      <c r="H2840" s="82"/>
      <c r="I2840" s="82"/>
      <c r="J2840" s="82"/>
      <c r="K2840" s="82"/>
      <c r="L2840" s="82"/>
      <c r="M2840" s="82"/>
      <c r="N2840" s="82"/>
      <c r="O2840" s="82"/>
      <c r="P2840" s="82"/>
      <c r="Q2840" s="82"/>
      <c r="R2840" s="82"/>
      <c r="S2840" s="82"/>
      <c r="T2840" s="82"/>
      <c r="U2840" s="82"/>
      <c r="V2840" s="82"/>
      <c r="W2840" s="82"/>
      <c r="X2840" s="82"/>
      <c r="Y2840" s="82"/>
      <c r="Z2840" s="82"/>
    </row>
    <row r="2841" spans="1:26">
      <c r="A2841" s="81"/>
      <c r="F2841" s="81"/>
      <c r="G2841" s="82"/>
      <c r="H2841" s="82"/>
      <c r="I2841" s="82"/>
      <c r="J2841" s="82"/>
      <c r="K2841" s="82"/>
      <c r="L2841" s="82"/>
      <c r="M2841" s="82"/>
      <c r="N2841" s="82"/>
      <c r="O2841" s="82"/>
      <c r="P2841" s="82"/>
      <c r="Q2841" s="82"/>
      <c r="R2841" s="82"/>
      <c r="S2841" s="82"/>
      <c r="T2841" s="82"/>
      <c r="U2841" s="82"/>
      <c r="V2841" s="82"/>
      <c r="W2841" s="82"/>
      <c r="X2841" s="82"/>
      <c r="Y2841" s="82"/>
      <c r="Z2841" s="82"/>
    </row>
    <row r="2842" spans="1:26">
      <c r="A2842" s="81"/>
      <c r="F2842" s="81"/>
      <c r="G2842" s="82"/>
      <c r="H2842" s="82"/>
      <c r="I2842" s="82"/>
      <c r="J2842" s="82"/>
      <c r="K2842" s="82"/>
      <c r="L2842" s="82"/>
      <c r="M2842" s="82"/>
      <c r="N2842" s="82"/>
      <c r="O2842" s="82"/>
      <c r="P2842" s="82"/>
      <c r="Q2842" s="82"/>
      <c r="R2842" s="82"/>
      <c r="S2842" s="82"/>
      <c r="T2842" s="82"/>
      <c r="U2842" s="82"/>
      <c r="V2842" s="82"/>
      <c r="W2842" s="82"/>
      <c r="X2842" s="82"/>
      <c r="Y2842" s="82"/>
      <c r="Z2842" s="82"/>
    </row>
    <row r="2843" spans="1:26">
      <c r="A2843" s="81"/>
      <c r="F2843" s="81"/>
      <c r="G2843" s="82"/>
      <c r="H2843" s="82"/>
      <c r="I2843" s="82"/>
      <c r="J2843" s="82"/>
      <c r="K2843" s="82"/>
      <c r="L2843" s="82"/>
      <c r="M2843" s="82"/>
      <c r="N2843" s="82"/>
      <c r="O2843" s="82"/>
      <c r="P2843" s="82"/>
      <c r="Q2843" s="82"/>
      <c r="R2843" s="82"/>
      <c r="S2843" s="82"/>
      <c r="T2843" s="82"/>
      <c r="U2843" s="82"/>
      <c r="V2843" s="82"/>
      <c r="W2843" s="82"/>
      <c r="X2843" s="82"/>
      <c r="Y2843" s="82"/>
      <c r="Z2843" s="82"/>
    </row>
    <row r="2844" spans="1:26">
      <c r="A2844" s="81"/>
      <c r="F2844" s="81"/>
      <c r="G2844" s="82"/>
      <c r="H2844" s="82"/>
      <c r="I2844" s="82"/>
      <c r="J2844" s="82"/>
      <c r="K2844" s="82"/>
      <c r="L2844" s="82"/>
      <c r="M2844" s="82"/>
      <c r="N2844" s="82"/>
      <c r="O2844" s="82"/>
      <c r="P2844" s="82"/>
      <c r="Q2844" s="82"/>
      <c r="R2844" s="82"/>
      <c r="S2844" s="82"/>
      <c r="T2844" s="82"/>
      <c r="U2844" s="82"/>
      <c r="V2844" s="82"/>
      <c r="W2844" s="82"/>
      <c r="X2844" s="82"/>
      <c r="Y2844" s="82"/>
      <c r="Z2844" s="82"/>
    </row>
    <row r="2845" spans="1:26">
      <c r="A2845" s="81"/>
      <c r="F2845" s="81"/>
      <c r="G2845" s="82"/>
      <c r="H2845" s="82"/>
      <c r="I2845" s="82"/>
      <c r="J2845" s="82"/>
      <c r="K2845" s="82"/>
      <c r="L2845" s="82"/>
      <c r="M2845" s="82"/>
      <c r="N2845" s="82"/>
      <c r="O2845" s="82"/>
      <c r="P2845" s="82"/>
      <c r="Q2845" s="82"/>
      <c r="R2845" s="82"/>
      <c r="S2845" s="82"/>
      <c r="T2845" s="82"/>
      <c r="U2845" s="82"/>
      <c r="V2845" s="82"/>
      <c r="W2845" s="82"/>
      <c r="X2845" s="82"/>
      <c r="Y2845" s="82"/>
      <c r="Z2845" s="82"/>
    </row>
    <row r="2846" spans="1:26">
      <c r="A2846" s="81"/>
      <c r="F2846" s="81"/>
      <c r="G2846" s="82"/>
      <c r="H2846" s="82"/>
      <c r="I2846" s="82"/>
      <c r="J2846" s="82"/>
      <c r="K2846" s="82"/>
      <c r="L2846" s="82"/>
      <c r="M2846" s="82"/>
      <c r="N2846" s="82"/>
      <c r="O2846" s="82"/>
      <c r="P2846" s="82"/>
      <c r="Q2846" s="82"/>
      <c r="R2846" s="82"/>
      <c r="S2846" s="82"/>
      <c r="T2846" s="82"/>
      <c r="U2846" s="82"/>
      <c r="V2846" s="82"/>
      <c r="W2846" s="82"/>
      <c r="X2846" s="82"/>
      <c r="Y2846" s="82"/>
      <c r="Z2846" s="82"/>
    </row>
    <row r="2847" spans="1:26">
      <c r="A2847" s="81"/>
      <c r="F2847" s="81"/>
      <c r="G2847" s="82"/>
      <c r="H2847" s="82"/>
      <c r="I2847" s="82"/>
      <c r="J2847" s="82"/>
      <c r="K2847" s="82"/>
      <c r="L2847" s="82"/>
      <c r="M2847" s="82"/>
      <c r="N2847" s="82"/>
      <c r="O2847" s="82"/>
      <c r="P2847" s="82"/>
      <c r="Q2847" s="82"/>
      <c r="R2847" s="82"/>
      <c r="S2847" s="82"/>
      <c r="T2847" s="82"/>
      <c r="U2847" s="82"/>
      <c r="V2847" s="82"/>
      <c r="W2847" s="82"/>
      <c r="X2847" s="82"/>
      <c r="Y2847" s="82"/>
      <c r="Z2847" s="82"/>
    </row>
    <row r="2848" spans="1:26">
      <c r="A2848" s="81"/>
      <c r="F2848" s="81"/>
      <c r="G2848" s="82"/>
      <c r="H2848" s="82"/>
      <c r="I2848" s="82"/>
      <c r="J2848" s="82"/>
      <c r="K2848" s="82"/>
      <c r="L2848" s="82"/>
      <c r="M2848" s="82"/>
      <c r="N2848" s="82"/>
      <c r="O2848" s="82"/>
      <c r="P2848" s="82"/>
      <c r="Q2848" s="82"/>
      <c r="R2848" s="82"/>
      <c r="S2848" s="82"/>
      <c r="T2848" s="82"/>
      <c r="U2848" s="82"/>
      <c r="V2848" s="82"/>
      <c r="W2848" s="82"/>
      <c r="X2848" s="82"/>
      <c r="Y2848" s="82"/>
      <c r="Z2848" s="82"/>
    </row>
    <row r="2849" spans="1:26">
      <c r="A2849" s="81"/>
      <c r="F2849" s="81"/>
      <c r="G2849" s="82"/>
      <c r="H2849" s="82"/>
      <c r="I2849" s="82"/>
      <c r="J2849" s="82"/>
      <c r="K2849" s="82"/>
      <c r="L2849" s="82"/>
      <c r="M2849" s="82"/>
      <c r="N2849" s="82"/>
      <c r="O2849" s="82"/>
      <c r="P2849" s="82"/>
      <c r="Q2849" s="82"/>
      <c r="R2849" s="82"/>
      <c r="S2849" s="82"/>
      <c r="T2849" s="82"/>
      <c r="U2849" s="82"/>
      <c r="V2849" s="82"/>
      <c r="W2849" s="82"/>
      <c r="X2849" s="82"/>
      <c r="Y2849" s="82"/>
      <c r="Z2849" s="82"/>
    </row>
    <row r="2850" spans="1:26">
      <c r="A2850" s="81"/>
      <c r="F2850" s="81"/>
      <c r="G2850" s="82"/>
      <c r="H2850" s="82"/>
      <c r="I2850" s="82"/>
      <c r="J2850" s="82"/>
      <c r="K2850" s="82"/>
      <c r="L2850" s="82"/>
      <c r="M2850" s="82"/>
      <c r="N2850" s="82"/>
      <c r="O2850" s="82"/>
      <c r="P2850" s="82"/>
      <c r="Q2850" s="82"/>
      <c r="R2850" s="82"/>
      <c r="S2850" s="82"/>
      <c r="T2850" s="82"/>
      <c r="U2850" s="82"/>
      <c r="V2850" s="82"/>
      <c r="W2850" s="82"/>
      <c r="X2850" s="82"/>
      <c r="Y2850" s="82"/>
      <c r="Z2850" s="82"/>
    </row>
    <row r="2851" spans="1:26">
      <c r="A2851" s="81"/>
      <c r="F2851" s="81"/>
      <c r="G2851" s="82"/>
      <c r="H2851" s="82"/>
      <c r="I2851" s="82"/>
      <c r="J2851" s="82"/>
      <c r="K2851" s="82"/>
      <c r="L2851" s="82"/>
      <c r="M2851" s="82"/>
      <c r="N2851" s="82"/>
      <c r="O2851" s="82"/>
      <c r="P2851" s="82"/>
      <c r="Q2851" s="82"/>
      <c r="R2851" s="82"/>
      <c r="S2851" s="82"/>
      <c r="T2851" s="82"/>
      <c r="U2851" s="82"/>
      <c r="V2851" s="82"/>
      <c r="W2851" s="82"/>
      <c r="X2851" s="82"/>
      <c r="Y2851" s="82"/>
      <c r="Z2851" s="82"/>
    </row>
    <row r="2852" spans="1:26">
      <c r="A2852" s="81"/>
      <c r="F2852" s="81"/>
      <c r="G2852" s="82"/>
      <c r="H2852" s="82"/>
      <c r="I2852" s="82"/>
      <c r="J2852" s="82"/>
      <c r="K2852" s="82"/>
      <c r="L2852" s="82"/>
      <c r="M2852" s="82"/>
      <c r="N2852" s="82"/>
      <c r="O2852" s="82"/>
      <c r="P2852" s="82"/>
      <c r="Q2852" s="82"/>
      <c r="R2852" s="82"/>
      <c r="S2852" s="82"/>
      <c r="T2852" s="82"/>
      <c r="U2852" s="82"/>
      <c r="V2852" s="82"/>
      <c r="W2852" s="82"/>
      <c r="X2852" s="82"/>
      <c r="Y2852" s="82"/>
      <c r="Z2852" s="82"/>
    </row>
    <row r="2853" spans="1:26">
      <c r="A2853" s="81"/>
      <c r="F2853" s="81"/>
      <c r="G2853" s="82"/>
      <c r="H2853" s="82"/>
      <c r="I2853" s="82"/>
      <c r="J2853" s="82"/>
      <c r="K2853" s="82"/>
      <c r="L2853" s="82"/>
      <c r="M2853" s="82"/>
      <c r="N2853" s="82"/>
      <c r="O2853" s="82"/>
      <c r="P2853" s="82"/>
      <c r="Q2853" s="82"/>
      <c r="R2853" s="82"/>
      <c r="S2853" s="82"/>
      <c r="T2853" s="82"/>
      <c r="U2853" s="82"/>
      <c r="V2853" s="82"/>
      <c r="W2853" s="82"/>
      <c r="X2853" s="82"/>
      <c r="Y2853" s="82"/>
      <c r="Z2853" s="82"/>
    </row>
    <row r="2854" spans="1:26">
      <c r="A2854" s="81"/>
      <c r="F2854" s="81"/>
      <c r="G2854" s="82"/>
      <c r="H2854" s="82"/>
      <c r="I2854" s="82"/>
      <c r="J2854" s="82"/>
      <c r="K2854" s="82"/>
      <c r="L2854" s="82"/>
      <c r="M2854" s="82"/>
      <c r="N2854" s="82"/>
      <c r="O2854" s="82"/>
      <c r="P2854" s="82"/>
      <c r="Q2854" s="82"/>
      <c r="R2854" s="82"/>
      <c r="S2854" s="82"/>
      <c r="T2854" s="82"/>
      <c r="U2854" s="82"/>
      <c r="V2854" s="82"/>
      <c r="W2854" s="82"/>
      <c r="X2854" s="82"/>
      <c r="Y2854" s="82"/>
      <c r="Z2854" s="82"/>
    </row>
    <row r="2855" spans="1:26">
      <c r="A2855" s="81"/>
      <c r="F2855" s="81"/>
      <c r="G2855" s="82"/>
      <c r="H2855" s="82"/>
      <c r="I2855" s="82"/>
      <c r="J2855" s="82"/>
      <c r="K2855" s="82"/>
      <c r="L2855" s="82"/>
      <c r="M2855" s="82"/>
      <c r="N2855" s="82"/>
      <c r="O2855" s="82"/>
      <c r="P2855" s="82"/>
      <c r="Q2855" s="82"/>
      <c r="R2855" s="82"/>
      <c r="S2855" s="82"/>
      <c r="T2855" s="82"/>
      <c r="U2855" s="82"/>
      <c r="V2855" s="82"/>
      <c r="W2855" s="82"/>
      <c r="X2855" s="82"/>
      <c r="Y2855" s="82"/>
      <c r="Z2855" s="82"/>
    </row>
    <row r="2856" spans="1:26">
      <c r="A2856" s="81"/>
      <c r="F2856" s="81"/>
      <c r="G2856" s="82"/>
      <c r="H2856" s="82"/>
      <c r="I2856" s="82"/>
      <c r="J2856" s="82"/>
      <c r="K2856" s="82"/>
      <c r="L2856" s="82"/>
      <c r="M2856" s="82"/>
      <c r="N2856" s="82"/>
      <c r="O2856" s="82"/>
      <c r="P2856" s="82"/>
      <c r="Q2856" s="82"/>
      <c r="R2856" s="82"/>
      <c r="S2856" s="82"/>
      <c r="T2856" s="82"/>
      <c r="U2856" s="82"/>
      <c r="V2856" s="82"/>
      <c r="W2856" s="82"/>
      <c r="X2856" s="82"/>
      <c r="Y2856" s="82"/>
      <c r="Z2856" s="82"/>
    </row>
    <row r="2857" spans="1:26">
      <c r="A2857" s="81"/>
      <c r="F2857" s="81"/>
      <c r="G2857" s="82"/>
      <c r="H2857" s="82"/>
      <c r="I2857" s="82"/>
      <c r="J2857" s="82"/>
      <c r="K2857" s="82"/>
      <c r="L2857" s="82"/>
      <c r="M2857" s="82"/>
      <c r="N2857" s="82"/>
      <c r="O2857" s="82"/>
      <c r="P2857" s="82"/>
      <c r="Q2857" s="82"/>
      <c r="R2857" s="82"/>
      <c r="S2857" s="82"/>
      <c r="T2857" s="82"/>
      <c r="U2857" s="82"/>
      <c r="V2857" s="82"/>
      <c r="W2857" s="82"/>
      <c r="X2857" s="82"/>
      <c r="Y2857" s="82"/>
      <c r="Z2857" s="82"/>
    </row>
    <row r="2858" spans="1:26">
      <c r="A2858" s="81"/>
      <c r="F2858" s="81"/>
      <c r="G2858" s="82"/>
      <c r="H2858" s="82"/>
      <c r="I2858" s="82"/>
      <c r="J2858" s="82"/>
      <c r="K2858" s="82"/>
      <c r="L2858" s="82"/>
      <c r="M2858" s="82"/>
      <c r="N2858" s="82"/>
      <c r="O2858" s="82"/>
      <c r="P2858" s="82"/>
      <c r="Q2858" s="82"/>
      <c r="R2858" s="82"/>
      <c r="S2858" s="82"/>
      <c r="T2858" s="82"/>
      <c r="U2858" s="82"/>
      <c r="V2858" s="82"/>
      <c r="W2858" s="82"/>
      <c r="X2858" s="82"/>
      <c r="Y2858" s="82"/>
      <c r="Z2858" s="82"/>
    </row>
    <row r="2859" spans="1:26">
      <c r="A2859" s="81"/>
      <c r="F2859" s="81"/>
      <c r="G2859" s="82"/>
      <c r="H2859" s="82"/>
      <c r="I2859" s="82"/>
      <c r="J2859" s="82"/>
      <c r="K2859" s="82"/>
      <c r="L2859" s="82"/>
      <c r="M2859" s="82"/>
      <c r="N2859" s="82"/>
      <c r="O2859" s="82"/>
      <c r="P2859" s="82"/>
      <c r="Q2859" s="82"/>
      <c r="R2859" s="82"/>
      <c r="S2859" s="82"/>
      <c r="T2859" s="82"/>
      <c r="U2859" s="82"/>
      <c r="V2859" s="82"/>
      <c r="W2859" s="82"/>
      <c r="X2859" s="82"/>
      <c r="Y2859" s="82"/>
      <c r="Z2859" s="82"/>
    </row>
    <row r="2860" spans="1:26">
      <c r="A2860" s="81"/>
      <c r="F2860" s="81"/>
      <c r="G2860" s="82"/>
      <c r="H2860" s="82"/>
      <c r="I2860" s="82"/>
      <c r="J2860" s="82"/>
      <c r="K2860" s="82"/>
      <c r="L2860" s="82"/>
      <c r="M2860" s="82"/>
      <c r="N2860" s="82"/>
      <c r="O2860" s="82"/>
      <c r="P2860" s="82"/>
      <c r="Q2860" s="82"/>
      <c r="R2860" s="82"/>
      <c r="S2860" s="82"/>
      <c r="T2860" s="82"/>
      <c r="U2860" s="82"/>
      <c r="V2860" s="82"/>
      <c r="W2860" s="82"/>
      <c r="X2860" s="82"/>
      <c r="Y2860" s="82"/>
      <c r="Z2860" s="82"/>
    </row>
    <row r="2861" spans="1:26">
      <c r="A2861" s="81"/>
      <c r="F2861" s="81"/>
      <c r="G2861" s="82"/>
      <c r="H2861" s="82"/>
      <c r="I2861" s="82"/>
      <c r="J2861" s="82"/>
      <c r="K2861" s="82"/>
      <c r="L2861" s="82"/>
      <c r="M2861" s="82"/>
      <c r="N2861" s="82"/>
      <c r="O2861" s="82"/>
      <c r="P2861" s="82"/>
      <c r="Q2861" s="82"/>
      <c r="R2861" s="82"/>
      <c r="S2861" s="82"/>
      <c r="T2861" s="82"/>
      <c r="U2861" s="82"/>
      <c r="V2861" s="82"/>
      <c r="W2861" s="82"/>
      <c r="X2861" s="82"/>
      <c r="Y2861" s="82"/>
      <c r="Z2861" s="82"/>
    </row>
    <row r="2862" spans="1:26">
      <c r="A2862" s="81"/>
      <c r="F2862" s="81"/>
      <c r="G2862" s="82"/>
      <c r="H2862" s="82"/>
      <c r="I2862" s="82"/>
      <c r="J2862" s="82"/>
      <c r="K2862" s="82"/>
      <c r="L2862" s="82"/>
      <c r="M2862" s="82"/>
      <c r="N2862" s="82"/>
      <c r="O2862" s="82"/>
      <c r="P2862" s="82"/>
      <c r="Q2862" s="82"/>
      <c r="R2862" s="82"/>
      <c r="S2862" s="82"/>
      <c r="T2862" s="82"/>
      <c r="U2862" s="82"/>
      <c r="V2862" s="82"/>
      <c r="W2862" s="82"/>
      <c r="X2862" s="82"/>
      <c r="Y2862" s="82"/>
      <c r="Z2862" s="82"/>
    </row>
    <row r="2863" spans="1:26">
      <c r="A2863" s="81"/>
      <c r="F2863" s="81"/>
      <c r="G2863" s="82"/>
      <c r="H2863" s="82"/>
      <c r="I2863" s="82"/>
      <c r="J2863" s="82"/>
      <c r="K2863" s="82"/>
      <c r="L2863" s="82"/>
      <c r="M2863" s="82"/>
      <c r="N2863" s="82"/>
      <c r="O2863" s="82"/>
      <c r="P2863" s="82"/>
      <c r="Q2863" s="82"/>
      <c r="R2863" s="82"/>
      <c r="S2863" s="82"/>
      <c r="T2863" s="82"/>
      <c r="U2863" s="82"/>
      <c r="V2863" s="82"/>
      <c r="W2863" s="82"/>
      <c r="X2863" s="82"/>
      <c r="Y2863" s="82"/>
      <c r="Z2863" s="82"/>
    </row>
    <row r="2864" spans="1:26">
      <c r="A2864" s="81"/>
      <c r="F2864" s="81"/>
      <c r="G2864" s="82"/>
      <c r="H2864" s="82"/>
      <c r="I2864" s="82"/>
      <c r="J2864" s="82"/>
      <c r="K2864" s="82"/>
      <c r="L2864" s="82"/>
      <c r="M2864" s="82"/>
      <c r="N2864" s="82"/>
      <c r="O2864" s="82"/>
      <c r="P2864" s="82"/>
      <c r="Q2864" s="82"/>
      <c r="R2864" s="82"/>
      <c r="S2864" s="82"/>
      <c r="T2864" s="82"/>
      <c r="U2864" s="82"/>
      <c r="V2864" s="82"/>
      <c r="W2864" s="82"/>
      <c r="X2864" s="82"/>
      <c r="Y2864" s="82"/>
      <c r="Z2864" s="82"/>
    </row>
    <row r="2865" spans="1:26">
      <c r="A2865" s="81"/>
      <c r="F2865" s="81"/>
      <c r="G2865" s="82"/>
      <c r="H2865" s="82"/>
      <c r="I2865" s="82"/>
      <c r="J2865" s="82"/>
      <c r="K2865" s="82"/>
      <c r="L2865" s="82"/>
      <c r="M2865" s="82"/>
      <c r="N2865" s="82"/>
      <c r="O2865" s="82"/>
      <c r="P2865" s="82"/>
      <c r="Q2865" s="82"/>
      <c r="R2865" s="82"/>
      <c r="S2865" s="82"/>
      <c r="T2865" s="82"/>
      <c r="U2865" s="82"/>
      <c r="V2865" s="82"/>
      <c r="W2865" s="82"/>
      <c r="X2865" s="82"/>
      <c r="Y2865" s="82"/>
      <c r="Z2865" s="82"/>
    </row>
    <row r="2866" spans="1:26">
      <c r="A2866" s="81"/>
      <c r="F2866" s="81"/>
      <c r="G2866" s="82"/>
      <c r="H2866" s="82"/>
      <c r="I2866" s="82"/>
      <c r="J2866" s="82"/>
      <c r="K2866" s="82"/>
      <c r="L2866" s="82"/>
      <c r="M2866" s="82"/>
      <c r="N2866" s="82"/>
      <c r="O2866" s="82"/>
      <c r="P2866" s="82"/>
      <c r="Q2866" s="82"/>
      <c r="R2866" s="82"/>
      <c r="S2866" s="82"/>
      <c r="T2866" s="82"/>
      <c r="U2866" s="82"/>
      <c r="V2866" s="82"/>
      <c r="W2866" s="82"/>
      <c r="X2866" s="82"/>
      <c r="Y2866" s="82"/>
      <c r="Z2866" s="82"/>
    </row>
    <row r="2867" spans="1:26">
      <c r="A2867" s="81"/>
      <c r="F2867" s="81"/>
      <c r="G2867" s="82"/>
      <c r="H2867" s="82"/>
      <c r="I2867" s="82"/>
      <c r="J2867" s="82"/>
      <c r="K2867" s="82"/>
      <c r="L2867" s="82"/>
      <c r="M2867" s="82"/>
      <c r="N2867" s="82"/>
      <c r="O2867" s="82"/>
      <c r="P2867" s="82"/>
      <c r="Q2867" s="82"/>
      <c r="R2867" s="82"/>
      <c r="S2867" s="82"/>
      <c r="T2867" s="82"/>
      <c r="U2867" s="82"/>
      <c r="V2867" s="82"/>
      <c r="W2867" s="82"/>
      <c r="X2867" s="82"/>
      <c r="Y2867" s="82"/>
      <c r="Z2867" s="82"/>
    </row>
    <row r="2868" spans="1:26">
      <c r="A2868" s="81"/>
      <c r="F2868" s="81"/>
      <c r="G2868" s="82"/>
      <c r="H2868" s="82"/>
      <c r="I2868" s="82"/>
      <c r="J2868" s="82"/>
      <c r="K2868" s="82"/>
      <c r="L2868" s="82"/>
      <c r="M2868" s="82"/>
      <c r="N2868" s="82"/>
      <c r="O2868" s="82"/>
      <c r="P2868" s="82"/>
      <c r="Q2868" s="82"/>
      <c r="R2868" s="82"/>
      <c r="S2868" s="82"/>
      <c r="T2868" s="82"/>
      <c r="U2868" s="82"/>
      <c r="V2868" s="82"/>
      <c r="W2868" s="82"/>
      <c r="X2868" s="82"/>
      <c r="Y2868" s="82"/>
      <c r="Z2868" s="82"/>
    </row>
    <row r="2869" spans="1:26">
      <c r="A2869" s="81"/>
      <c r="F2869" s="81"/>
      <c r="G2869" s="82"/>
      <c r="H2869" s="82"/>
      <c r="I2869" s="82"/>
      <c r="J2869" s="82"/>
      <c r="K2869" s="82"/>
      <c r="L2869" s="82"/>
      <c r="M2869" s="82"/>
      <c r="N2869" s="82"/>
      <c r="O2869" s="82"/>
      <c r="P2869" s="82"/>
      <c r="Q2869" s="82"/>
      <c r="R2869" s="82"/>
      <c r="S2869" s="82"/>
      <c r="T2869" s="82"/>
      <c r="U2869" s="82"/>
      <c r="V2869" s="82"/>
      <c r="W2869" s="82"/>
      <c r="X2869" s="82"/>
      <c r="Y2869" s="82"/>
      <c r="Z2869" s="82"/>
    </row>
    <row r="2870" spans="1:26">
      <c r="A2870" s="81"/>
      <c r="F2870" s="81"/>
      <c r="G2870" s="82"/>
      <c r="H2870" s="82"/>
      <c r="I2870" s="82"/>
      <c r="J2870" s="82"/>
      <c r="K2870" s="82"/>
      <c r="L2870" s="82"/>
      <c r="M2870" s="82"/>
      <c r="N2870" s="82"/>
      <c r="O2870" s="82"/>
      <c r="P2870" s="82"/>
      <c r="Q2870" s="82"/>
      <c r="R2870" s="82"/>
      <c r="S2870" s="82"/>
      <c r="T2870" s="82"/>
      <c r="U2870" s="82"/>
      <c r="V2870" s="82"/>
      <c r="W2870" s="82"/>
      <c r="X2870" s="82"/>
      <c r="Y2870" s="82"/>
      <c r="Z2870" s="82"/>
    </row>
    <row r="2871" spans="1:26">
      <c r="A2871" s="81"/>
      <c r="F2871" s="81"/>
      <c r="G2871" s="82"/>
      <c r="H2871" s="82"/>
      <c r="I2871" s="82"/>
      <c r="J2871" s="82"/>
      <c r="K2871" s="82"/>
      <c r="L2871" s="82"/>
      <c r="M2871" s="82"/>
      <c r="N2871" s="82"/>
      <c r="O2871" s="82"/>
      <c r="P2871" s="82"/>
      <c r="Q2871" s="82"/>
      <c r="R2871" s="82"/>
      <c r="S2871" s="82"/>
      <c r="T2871" s="82"/>
      <c r="U2871" s="82"/>
      <c r="V2871" s="82"/>
      <c r="W2871" s="82"/>
      <c r="X2871" s="82"/>
      <c r="Y2871" s="82"/>
      <c r="Z2871" s="82"/>
    </row>
    <row r="2872" spans="1:26">
      <c r="A2872" s="81"/>
      <c r="F2872" s="81"/>
      <c r="G2872" s="82"/>
      <c r="H2872" s="82"/>
      <c r="I2872" s="82"/>
      <c r="J2872" s="82"/>
      <c r="K2872" s="82"/>
      <c r="L2872" s="82"/>
      <c r="M2872" s="82"/>
      <c r="N2872" s="82"/>
      <c r="O2872" s="82"/>
      <c r="P2872" s="82"/>
      <c r="Q2872" s="82"/>
      <c r="R2872" s="82"/>
      <c r="S2872" s="82"/>
      <c r="T2872" s="82"/>
      <c r="U2872" s="82"/>
      <c r="V2872" s="82"/>
      <c r="W2872" s="82"/>
      <c r="X2872" s="82"/>
      <c r="Y2872" s="82"/>
      <c r="Z2872" s="82"/>
    </row>
    <row r="2873" spans="1:26">
      <c r="A2873" s="81"/>
      <c r="F2873" s="81"/>
      <c r="G2873" s="82"/>
      <c r="H2873" s="82"/>
      <c r="I2873" s="82"/>
      <c r="J2873" s="82"/>
      <c r="K2873" s="82"/>
      <c r="L2873" s="82"/>
      <c r="M2873" s="82"/>
      <c r="N2873" s="82"/>
      <c r="O2873" s="82"/>
      <c r="P2873" s="82"/>
      <c r="Q2873" s="82"/>
      <c r="R2873" s="82"/>
      <c r="S2873" s="82"/>
      <c r="T2873" s="82"/>
      <c r="U2873" s="82"/>
      <c r="V2873" s="82"/>
      <c r="W2873" s="82"/>
      <c r="X2873" s="82"/>
      <c r="Y2873" s="82"/>
      <c r="Z2873" s="82"/>
    </row>
    <row r="2874" spans="1:26">
      <c r="A2874" s="81"/>
      <c r="F2874" s="81"/>
      <c r="G2874" s="82"/>
      <c r="H2874" s="82"/>
      <c r="I2874" s="82"/>
      <c r="J2874" s="82"/>
      <c r="K2874" s="82"/>
      <c r="L2874" s="82"/>
      <c r="M2874" s="82"/>
      <c r="N2874" s="82"/>
      <c r="O2874" s="82"/>
      <c r="P2874" s="82"/>
      <c r="Q2874" s="82"/>
      <c r="R2874" s="82"/>
      <c r="S2874" s="82"/>
      <c r="T2874" s="82"/>
      <c r="U2874" s="82"/>
      <c r="V2874" s="82"/>
      <c r="W2874" s="82"/>
      <c r="X2874" s="82"/>
      <c r="Y2874" s="82"/>
      <c r="Z2874" s="82"/>
    </row>
    <row r="2875" spans="1:26">
      <c r="A2875" s="81"/>
      <c r="F2875" s="81"/>
      <c r="G2875" s="82"/>
      <c r="H2875" s="82"/>
      <c r="I2875" s="82"/>
      <c r="J2875" s="82"/>
      <c r="K2875" s="82"/>
      <c r="L2875" s="82"/>
      <c r="M2875" s="82"/>
      <c r="N2875" s="82"/>
      <c r="O2875" s="82"/>
      <c r="P2875" s="82"/>
      <c r="Q2875" s="82"/>
      <c r="R2875" s="82"/>
      <c r="S2875" s="82"/>
      <c r="T2875" s="82"/>
      <c r="U2875" s="82"/>
      <c r="V2875" s="82"/>
      <c r="W2875" s="82"/>
      <c r="X2875" s="82"/>
      <c r="Y2875" s="82"/>
      <c r="Z2875" s="82"/>
    </row>
    <row r="2876" spans="1:26">
      <c r="A2876" s="81"/>
      <c r="F2876" s="81"/>
      <c r="G2876" s="82"/>
      <c r="H2876" s="82"/>
      <c r="I2876" s="82"/>
      <c r="J2876" s="82"/>
      <c r="K2876" s="82"/>
      <c r="L2876" s="82"/>
      <c r="M2876" s="82"/>
      <c r="N2876" s="82"/>
      <c r="O2876" s="82"/>
      <c r="P2876" s="82"/>
      <c r="Q2876" s="82"/>
      <c r="R2876" s="82"/>
      <c r="S2876" s="82"/>
      <c r="T2876" s="82"/>
      <c r="U2876" s="82"/>
      <c r="V2876" s="82"/>
      <c r="W2876" s="82"/>
      <c r="X2876" s="82"/>
      <c r="Y2876" s="82"/>
      <c r="Z2876" s="82"/>
    </row>
    <row r="2877" spans="1:26">
      <c r="A2877" s="81"/>
      <c r="F2877" s="81"/>
      <c r="G2877" s="82"/>
      <c r="H2877" s="82"/>
      <c r="I2877" s="82"/>
      <c r="J2877" s="82"/>
      <c r="K2877" s="82"/>
      <c r="L2877" s="82"/>
      <c r="M2877" s="82"/>
      <c r="N2877" s="82"/>
      <c r="O2877" s="82"/>
      <c r="P2877" s="82"/>
      <c r="Q2877" s="82"/>
      <c r="R2877" s="82"/>
      <c r="S2877" s="82"/>
      <c r="T2877" s="82"/>
      <c r="U2877" s="82"/>
      <c r="V2877" s="82"/>
      <c r="W2877" s="82"/>
      <c r="X2877" s="82"/>
      <c r="Y2877" s="82"/>
      <c r="Z2877" s="82"/>
    </row>
    <row r="2878" spans="1:26">
      <c r="A2878" s="81"/>
      <c r="F2878" s="81"/>
      <c r="G2878" s="82"/>
      <c r="H2878" s="82"/>
      <c r="I2878" s="82"/>
      <c r="J2878" s="82"/>
      <c r="K2878" s="82"/>
      <c r="L2878" s="82"/>
      <c r="M2878" s="82"/>
      <c r="N2878" s="82"/>
      <c r="O2878" s="82"/>
      <c r="P2878" s="82"/>
      <c r="Q2878" s="82"/>
      <c r="R2878" s="82"/>
      <c r="S2878" s="82"/>
      <c r="T2878" s="82"/>
      <c r="U2878" s="82"/>
      <c r="V2878" s="82"/>
      <c r="W2878" s="82"/>
      <c r="X2878" s="82"/>
      <c r="Y2878" s="82"/>
      <c r="Z2878" s="82"/>
    </row>
    <row r="2879" spans="1:26">
      <c r="A2879" s="81"/>
      <c r="F2879" s="81"/>
      <c r="G2879" s="82"/>
      <c r="H2879" s="82"/>
      <c r="I2879" s="82"/>
      <c r="J2879" s="82"/>
      <c r="K2879" s="82"/>
      <c r="L2879" s="82"/>
      <c r="M2879" s="82"/>
      <c r="N2879" s="82"/>
      <c r="O2879" s="82"/>
      <c r="P2879" s="82"/>
      <c r="Q2879" s="82"/>
      <c r="R2879" s="82"/>
      <c r="S2879" s="82"/>
      <c r="T2879" s="82"/>
      <c r="U2879" s="82"/>
      <c r="V2879" s="82"/>
      <c r="W2879" s="82"/>
      <c r="X2879" s="82"/>
      <c r="Y2879" s="82"/>
      <c r="Z2879" s="82"/>
    </row>
    <row r="2880" spans="1:26">
      <c r="A2880" s="81"/>
      <c r="F2880" s="81"/>
      <c r="G2880" s="82"/>
      <c r="H2880" s="82"/>
      <c r="I2880" s="82"/>
      <c r="J2880" s="82"/>
      <c r="K2880" s="82"/>
      <c r="L2880" s="82"/>
      <c r="M2880" s="82"/>
      <c r="N2880" s="82"/>
      <c r="O2880" s="82"/>
      <c r="P2880" s="82"/>
      <c r="Q2880" s="82"/>
      <c r="R2880" s="82"/>
      <c r="S2880" s="82"/>
      <c r="T2880" s="82"/>
      <c r="U2880" s="82"/>
      <c r="V2880" s="82"/>
      <c r="W2880" s="82"/>
      <c r="X2880" s="82"/>
      <c r="Y2880" s="82"/>
      <c r="Z2880" s="82"/>
    </row>
    <row r="2881" spans="1:26">
      <c r="A2881" s="81"/>
      <c r="F2881" s="81"/>
      <c r="G2881" s="82"/>
      <c r="H2881" s="82"/>
      <c r="I2881" s="82"/>
      <c r="J2881" s="82"/>
      <c r="K2881" s="82"/>
      <c r="L2881" s="82"/>
      <c r="M2881" s="82"/>
      <c r="N2881" s="82"/>
      <c r="O2881" s="82"/>
      <c r="P2881" s="82"/>
      <c r="Q2881" s="82"/>
      <c r="R2881" s="82"/>
      <c r="S2881" s="82"/>
      <c r="T2881" s="82"/>
      <c r="U2881" s="82"/>
      <c r="V2881" s="82"/>
      <c r="W2881" s="82"/>
      <c r="X2881" s="82"/>
      <c r="Y2881" s="82"/>
      <c r="Z2881" s="82"/>
    </row>
    <row r="2882" spans="1:26">
      <c r="A2882" s="81"/>
      <c r="F2882" s="81"/>
      <c r="G2882" s="82"/>
      <c r="H2882" s="82"/>
      <c r="I2882" s="82"/>
      <c r="J2882" s="82"/>
      <c r="K2882" s="82"/>
      <c r="L2882" s="82"/>
      <c r="M2882" s="82"/>
      <c r="N2882" s="82"/>
      <c r="O2882" s="82"/>
      <c r="P2882" s="82"/>
      <c r="Q2882" s="82"/>
      <c r="R2882" s="82"/>
      <c r="S2882" s="82"/>
      <c r="T2882" s="82"/>
      <c r="U2882" s="82"/>
      <c r="V2882" s="82"/>
      <c r="W2882" s="82"/>
      <c r="X2882" s="82"/>
      <c r="Y2882" s="82"/>
      <c r="Z2882" s="82"/>
    </row>
    <row r="2883" spans="1:26">
      <c r="A2883" s="81"/>
      <c r="F2883" s="81"/>
      <c r="G2883" s="82"/>
      <c r="H2883" s="82"/>
      <c r="I2883" s="82"/>
      <c r="J2883" s="82"/>
      <c r="K2883" s="82"/>
      <c r="L2883" s="82"/>
      <c r="M2883" s="82"/>
      <c r="N2883" s="82"/>
      <c r="O2883" s="82"/>
      <c r="P2883" s="82"/>
      <c r="Q2883" s="82"/>
      <c r="R2883" s="82"/>
      <c r="S2883" s="82"/>
      <c r="T2883" s="82"/>
      <c r="U2883" s="82"/>
      <c r="V2883" s="82"/>
      <c r="W2883" s="82"/>
      <c r="X2883" s="82"/>
      <c r="Y2883" s="82"/>
      <c r="Z2883" s="82"/>
    </row>
    <row r="2884" spans="1:26">
      <c r="A2884" s="81"/>
      <c r="F2884" s="81"/>
      <c r="G2884" s="82"/>
      <c r="H2884" s="82"/>
      <c r="I2884" s="82"/>
      <c r="J2884" s="82"/>
      <c r="K2884" s="82"/>
      <c r="L2884" s="82"/>
      <c r="M2884" s="82"/>
      <c r="N2884" s="82"/>
      <c r="O2884" s="82"/>
      <c r="P2884" s="82"/>
      <c r="Q2884" s="82"/>
      <c r="R2884" s="82"/>
      <c r="S2884" s="82"/>
      <c r="T2884" s="82"/>
      <c r="U2884" s="82"/>
      <c r="V2884" s="82"/>
      <c r="W2884" s="82"/>
      <c r="X2884" s="82"/>
      <c r="Y2884" s="82"/>
      <c r="Z2884" s="82"/>
    </row>
    <row r="2885" spans="1:26">
      <c r="A2885" s="81"/>
      <c r="F2885" s="81"/>
      <c r="G2885" s="82"/>
      <c r="H2885" s="82"/>
      <c r="I2885" s="82"/>
      <c r="J2885" s="82"/>
      <c r="K2885" s="82"/>
      <c r="L2885" s="82"/>
      <c r="M2885" s="82"/>
      <c r="N2885" s="82"/>
      <c r="O2885" s="82"/>
      <c r="P2885" s="82"/>
      <c r="Q2885" s="82"/>
      <c r="R2885" s="82"/>
      <c r="S2885" s="82"/>
      <c r="T2885" s="82"/>
      <c r="U2885" s="82"/>
      <c r="V2885" s="82"/>
      <c r="W2885" s="82"/>
      <c r="X2885" s="82"/>
      <c r="Y2885" s="82"/>
      <c r="Z2885" s="82"/>
    </row>
    <row r="2886" spans="1:26">
      <c r="A2886" s="81"/>
      <c r="F2886" s="81"/>
      <c r="G2886" s="82"/>
      <c r="H2886" s="82"/>
      <c r="I2886" s="82"/>
      <c r="J2886" s="82"/>
      <c r="K2886" s="82"/>
      <c r="L2886" s="82"/>
      <c r="M2886" s="82"/>
      <c r="N2886" s="82"/>
      <c r="O2886" s="82"/>
      <c r="P2886" s="82"/>
      <c r="Q2886" s="82"/>
      <c r="R2886" s="82"/>
      <c r="S2886" s="82"/>
      <c r="T2886" s="82"/>
      <c r="U2886" s="82"/>
      <c r="V2886" s="82"/>
      <c r="W2886" s="82"/>
      <c r="X2886" s="82"/>
      <c r="Y2886" s="82"/>
      <c r="Z2886" s="82"/>
    </row>
    <row r="2887" spans="1:26">
      <c r="A2887" s="81"/>
      <c r="F2887" s="81"/>
      <c r="G2887" s="82"/>
      <c r="H2887" s="82"/>
      <c r="I2887" s="82"/>
      <c r="J2887" s="82"/>
      <c r="K2887" s="82"/>
      <c r="L2887" s="82"/>
      <c r="M2887" s="82"/>
      <c r="N2887" s="82"/>
      <c r="O2887" s="82"/>
      <c r="P2887" s="82"/>
      <c r="Q2887" s="82"/>
      <c r="R2887" s="82"/>
      <c r="S2887" s="82"/>
      <c r="T2887" s="82"/>
      <c r="U2887" s="82"/>
      <c r="V2887" s="82"/>
      <c r="W2887" s="82"/>
      <c r="X2887" s="82"/>
      <c r="Y2887" s="82"/>
      <c r="Z2887" s="82"/>
    </row>
    <row r="2888" spans="1:26">
      <c r="A2888" s="81"/>
      <c r="F2888" s="81"/>
      <c r="G2888" s="82"/>
      <c r="H2888" s="82"/>
      <c r="I2888" s="82"/>
      <c r="J2888" s="82"/>
      <c r="K2888" s="82"/>
      <c r="L2888" s="82"/>
      <c r="M2888" s="82"/>
      <c r="N2888" s="82"/>
      <c r="O2888" s="82"/>
      <c r="P2888" s="82"/>
      <c r="Q2888" s="82"/>
      <c r="R2888" s="82"/>
      <c r="S2888" s="82"/>
      <c r="T2888" s="82"/>
      <c r="U2888" s="82"/>
      <c r="V2888" s="82"/>
      <c r="W2888" s="82"/>
      <c r="X2888" s="82"/>
      <c r="Y2888" s="82"/>
      <c r="Z2888" s="82"/>
    </row>
    <row r="2889" spans="1:26">
      <c r="A2889" s="81"/>
      <c r="F2889" s="81"/>
      <c r="G2889" s="82"/>
      <c r="H2889" s="82"/>
      <c r="I2889" s="82"/>
      <c r="J2889" s="82"/>
      <c r="K2889" s="82"/>
      <c r="L2889" s="82"/>
      <c r="M2889" s="82"/>
      <c r="N2889" s="82"/>
      <c r="O2889" s="82"/>
      <c r="P2889" s="82"/>
      <c r="Q2889" s="82"/>
      <c r="R2889" s="82"/>
      <c r="S2889" s="82"/>
      <c r="T2889" s="82"/>
      <c r="U2889" s="82"/>
      <c r="V2889" s="82"/>
      <c r="W2889" s="82"/>
      <c r="X2889" s="82"/>
      <c r="Y2889" s="82"/>
      <c r="Z2889" s="82"/>
    </row>
    <row r="2890" spans="1:26">
      <c r="A2890" s="81"/>
      <c r="F2890" s="81"/>
      <c r="G2890" s="82"/>
      <c r="H2890" s="82"/>
      <c r="I2890" s="82"/>
      <c r="J2890" s="82"/>
      <c r="K2890" s="82"/>
      <c r="L2890" s="82"/>
      <c r="M2890" s="82"/>
      <c r="N2890" s="82"/>
      <c r="O2890" s="82"/>
      <c r="P2890" s="82"/>
      <c r="Q2890" s="82"/>
      <c r="R2890" s="82"/>
      <c r="S2890" s="82"/>
      <c r="T2890" s="82"/>
      <c r="U2890" s="82"/>
      <c r="V2890" s="82"/>
      <c r="W2890" s="82"/>
      <c r="X2890" s="82"/>
      <c r="Y2890" s="82"/>
      <c r="Z2890" s="82"/>
    </row>
    <row r="2891" spans="1:26">
      <c r="A2891" s="81"/>
      <c r="F2891" s="81"/>
      <c r="G2891" s="82"/>
      <c r="H2891" s="82"/>
      <c r="I2891" s="82"/>
      <c r="J2891" s="82"/>
      <c r="K2891" s="82"/>
      <c r="L2891" s="82"/>
      <c r="M2891" s="82"/>
      <c r="N2891" s="82"/>
      <c r="O2891" s="82"/>
      <c r="P2891" s="82"/>
      <c r="Q2891" s="82"/>
      <c r="R2891" s="82"/>
      <c r="S2891" s="82"/>
      <c r="T2891" s="82"/>
      <c r="U2891" s="82"/>
      <c r="V2891" s="82"/>
      <c r="W2891" s="82"/>
      <c r="X2891" s="82"/>
      <c r="Y2891" s="82"/>
      <c r="Z2891" s="82"/>
    </row>
    <row r="2892" spans="1:26">
      <c r="A2892" s="81"/>
      <c r="F2892" s="81"/>
      <c r="G2892" s="82"/>
      <c r="H2892" s="82"/>
      <c r="I2892" s="82"/>
      <c r="J2892" s="82"/>
      <c r="K2892" s="82"/>
      <c r="L2892" s="82"/>
      <c r="M2892" s="82"/>
      <c r="N2892" s="82"/>
      <c r="O2892" s="82"/>
      <c r="P2892" s="82"/>
      <c r="Q2892" s="82"/>
      <c r="R2892" s="82"/>
      <c r="S2892" s="82"/>
      <c r="T2892" s="82"/>
      <c r="U2892" s="82"/>
      <c r="V2892" s="82"/>
      <c r="W2892" s="82"/>
      <c r="X2892" s="82"/>
      <c r="Y2892" s="82"/>
      <c r="Z2892" s="82"/>
    </row>
    <row r="2893" spans="1:26">
      <c r="A2893" s="81"/>
      <c r="F2893" s="81"/>
      <c r="G2893" s="82"/>
      <c r="H2893" s="82"/>
      <c r="I2893" s="82"/>
      <c r="J2893" s="82"/>
      <c r="K2893" s="82"/>
      <c r="L2893" s="82"/>
      <c r="M2893" s="82"/>
      <c r="N2893" s="82"/>
      <c r="O2893" s="82"/>
      <c r="P2893" s="82"/>
      <c r="Q2893" s="82"/>
      <c r="R2893" s="82"/>
      <c r="S2893" s="82"/>
      <c r="T2893" s="82"/>
      <c r="U2893" s="82"/>
      <c r="V2893" s="82"/>
      <c r="W2893" s="82"/>
      <c r="X2893" s="82"/>
      <c r="Y2893" s="82"/>
      <c r="Z2893" s="82"/>
    </row>
    <row r="2894" spans="1:26">
      <c r="A2894" s="81"/>
      <c r="F2894" s="81"/>
      <c r="G2894" s="82"/>
      <c r="H2894" s="82"/>
      <c r="I2894" s="82"/>
      <c r="J2894" s="82"/>
      <c r="K2894" s="82"/>
      <c r="L2894" s="82"/>
      <c r="M2894" s="82"/>
      <c r="N2894" s="82"/>
      <c r="O2894" s="82"/>
      <c r="P2894" s="82"/>
      <c r="Q2894" s="82"/>
      <c r="R2894" s="82"/>
      <c r="S2894" s="82"/>
      <c r="T2894" s="82"/>
      <c r="U2894" s="82"/>
      <c r="V2894" s="82"/>
      <c r="W2894" s="82"/>
      <c r="X2894" s="82"/>
      <c r="Y2894" s="82"/>
      <c r="Z2894" s="82"/>
    </row>
    <row r="2895" spans="1:26">
      <c r="A2895" s="81"/>
      <c r="F2895" s="81"/>
      <c r="G2895" s="82"/>
      <c r="H2895" s="82"/>
      <c r="I2895" s="82"/>
      <c r="J2895" s="82"/>
      <c r="K2895" s="82"/>
      <c r="L2895" s="82"/>
      <c r="M2895" s="82"/>
      <c r="N2895" s="82"/>
      <c r="O2895" s="82"/>
      <c r="P2895" s="82"/>
      <c r="Q2895" s="82"/>
      <c r="R2895" s="82"/>
      <c r="S2895" s="82"/>
      <c r="T2895" s="82"/>
      <c r="U2895" s="82"/>
      <c r="V2895" s="82"/>
      <c r="W2895" s="82"/>
      <c r="X2895" s="82"/>
      <c r="Y2895" s="82"/>
      <c r="Z2895" s="82"/>
    </row>
    <row r="2896" spans="1:26">
      <c r="A2896" s="81"/>
      <c r="F2896" s="81"/>
      <c r="G2896" s="82"/>
      <c r="H2896" s="82"/>
      <c r="I2896" s="82"/>
      <c r="J2896" s="82"/>
      <c r="K2896" s="82"/>
      <c r="L2896" s="82"/>
      <c r="M2896" s="82"/>
      <c r="N2896" s="82"/>
      <c r="O2896" s="82"/>
      <c r="P2896" s="82"/>
      <c r="Q2896" s="82"/>
      <c r="R2896" s="82"/>
      <c r="S2896" s="82"/>
      <c r="T2896" s="82"/>
      <c r="U2896" s="82"/>
      <c r="V2896" s="82"/>
      <c r="W2896" s="82"/>
      <c r="X2896" s="82"/>
      <c r="Y2896" s="82"/>
      <c r="Z2896" s="82"/>
    </row>
    <row r="2897" spans="1:26">
      <c r="A2897" s="81"/>
      <c r="F2897" s="81"/>
      <c r="G2897" s="82"/>
      <c r="H2897" s="82"/>
      <c r="I2897" s="82"/>
      <c r="J2897" s="82"/>
      <c r="K2897" s="82"/>
      <c r="L2897" s="82"/>
      <c r="M2897" s="82"/>
      <c r="N2897" s="82"/>
      <c r="O2897" s="82"/>
      <c r="P2897" s="82"/>
      <c r="Q2897" s="82"/>
      <c r="R2897" s="82"/>
      <c r="S2897" s="82"/>
      <c r="T2897" s="82"/>
      <c r="U2897" s="82"/>
      <c r="V2897" s="82"/>
      <c r="W2897" s="82"/>
      <c r="X2897" s="82"/>
      <c r="Y2897" s="82"/>
      <c r="Z2897" s="82"/>
    </row>
    <row r="2898" spans="1:26">
      <c r="A2898" s="81"/>
      <c r="F2898" s="81"/>
      <c r="G2898" s="82"/>
      <c r="H2898" s="82"/>
      <c r="I2898" s="82"/>
      <c r="J2898" s="82"/>
      <c r="K2898" s="82"/>
      <c r="L2898" s="82"/>
      <c r="M2898" s="82"/>
      <c r="N2898" s="82"/>
      <c r="O2898" s="82"/>
      <c r="P2898" s="82"/>
      <c r="Q2898" s="82"/>
      <c r="R2898" s="82"/>
      <c r="S2898" s="82"/>
      <c r="T2898" s="82"/>
      <c r="U2898" s="82"/>
      <c r="V2898" s="82"/>
      <c r="W2898" s="82"/>
      <c r="X2898" s="82"/>
      <c r="Y2898" s="82"/>
      <c r="Z2898" s="82"/>
    </row>
    <row r="2899" spans="1:26">
      <c r="A2899" s="81"/>
      <c r="F2899" s="81"/>
      <c r="G2899" s="82"/>
      <c r="H2899" s="82"/>
      <c r="I2899" s="82"/>
      <c r="J2899" s="82"/>
      <c r="K2899" s="82"/>
      <c r="L2899" s="82"/>
      <c r="M2899" s="82"/>
      <c r="N2899" s="82"/>
      <c r="O2899" s="82"/>
      <c r="P2899" s="82"/>
      <c r="Q2899" s="82"/>
      <c r="R2899" s="82"/>
      <c r="S2899" s="82"/>
      <c r="T2899" s="82"/>
      <c r="U2899" s="82"/>
      <c r="V2899" s="82"/>
      <c r="W2899" s="82"/>
      <c r="X2899" s="82"/>
      <c r="Y2899" s="82"/>
      <c r="Z2899" s="82"/>
    </row>
    <row r="2900" spans="1:26">
      <c r="A2900" s="81"/>
      <c r="F2900" s="81"/>
      <c r="G2900" s="82"/>
      <c r="H2900" s="82"/>
      <c r="I2900" s="82"/>
      <c r="J2900" s="82"/>
      <c r="K2900" s="82"/>
      <c r="L2900" s="82"/>
      <c r="M2900" s="82"/>
      <c r="N2900" s="82"/>
      <c r="O2900" s="82"/>
      <c r="P2900" s="82"/>
      <c r="Q2900" s="82"/>
      <c r="R2900" s="82"/>
      <c r="S2900" s="82"/>
      <c r="T2900" s="82"/>
      <c r="U2900" s="82"/>
      <c r="V2900" s="82"/>
      <c r="W2900" s="82"/>
      <c r="X2900" s="82"/>
      <c r="Y2900" s="82"/>
      <c r="Z2900" s="82"/>
    </row>
    <row r="2901" spans="1:26">
      <c r="A2901" s="81"/>
      <c r="F2901" s="81"/>
      <c r="G2901" s="82"/>
      <c r="H2901" s="82"/>
      <c r="I2901" s="82"/>
      <c r="J2901" s="82"/>
      <c r="K2901" s="82"/>
      <c r="L2901" s="82"/>
      <c r="M2901" s="82"/>
      <c r="N2901" s="82"/>
      <c r="O2901" s="82"/>
      <c r="P2901" s="82"/>
      <c r="Q2901" s="82"/>
      <c r="R2901" s="82"/>
      <c r="S2901" s="82"/>
      <c r="T2901" s="82"/>
      <c r="U2901" s="82"/>
      <c r="V2901" s="82"/>
      <c r="W2901" s="82"/>
      <c r="X2901" s="82"/>
      <c r="Y2901" s="82"/>
      <c r="Z2901" s="82"/>
    </row>
    <row r="2902" spans="1:26">
      <c r="A2902" s="81"/>
      <c r="F2902" s="81"/>
      <c r="G2902" s="82"/>
      <c r="H2902" s="82"/>
      <c r="I2902" s="82"/>
      <c r="J2902" s="82"/>
      <c r="K2902" s="82"/>
      <c r="L2902" s="82"/>
      <c r="M2902" s="82"/>
      <c r="N2902" s="82"/>
      <c r="O2902" s="82"/>
      <c r="P2902" s="82"/>
      <c r="Q2902" s="82"/>
      <c r="R2902" s="82"/>
      <c r="S2902" s="82"/>
      <c r="T2902" s="82"/>
      <c r="U2902" s="82"/>
      <c r="V2902" s="82"/>
      <c r="W2902" s="82"/>
      <c r="X2902" s="82"/>
      <c r="Y2902" s="82"/>
      <c r="Z2902" s="82"/>
    </row>
    <row r="2903" spans="1:26">
      <c r="A2903" s="81"/>
      <c r="F2903" s="81"/>
      <c r="G2903" s="82"/>
      <c r="H2903" s="82"/>
      <c r="I2903" s="82"/>
      <c r="J2903" s="82"/>
      <c r="K2903" s="82"/>
      <c r="L2903" s="82"/>
      <c r="M2903" s="82"/>
      <c r="N2903" s="82"/>
      <c r="O2903" s="82"/>
      <c r="P2903" s="82"/>
      <c r="Q2903" s="82"/>
      <c r="R2903" s="82"/>
      <c r="S2903" s="82"/>
      <c r="T2903" s="82"/>
      <c r="U2903" s="82"/>
      <c r="V2903" s="82"/>
      <c r="W2903" s="82"/>
      <c r="X2903" s="82"/>
      <c r="Y2903" s="82"/>
      <c r="Z2903" s="82"/>
    </row>
    <row r="2904" spans="1:26">
      <c r="A2904" s="81"/>
      <c r="F2904" s="81"/>
      <c r="G2904" s="82"/>
      <c r="H2904" s="82"/>
      <c r="I2904" s="82"/>
      <c r="J2904" s="82"/>
      <c r="K2904" s="82"/>
      <c r="L2904" s="82"/>
      <c r="M2904" s="82"/>
      <c r="N2904" s="82"/>
      <c r="O2904" s="82"/>
      <c r="P2904" s="82"/>
      <c r="Q2904" s="82"/>
      <c r="R2904" s="82"/>
      <c r="S2904" s="82"/>
      <c r="T2904" s="82"/>
      <c r="U2904" s="82"/>
      <c r="V2904" s="82"/>
      <c r="W2904" s="82"/>
      <c r="X2904" s="82"/>
      <c r="Y2904" s="82"/>
      <c r="Z2904" s="82"/>
    </row>
    <row r="2905" spans="1:26">
      <c r="A2905" s="81"/>
      <c r="F2905" s="81"/>
      <c r="G2905" s="82"/>
      <c r="H2905" s="82"/>
      <c r="I2905" s="82"/>
      <c r="J2905" s="82"/>
      <c r="K2905" s="82"/>
      <c r="L2905" s="82"/>
      <c r="M2905" s="82"/>
      <c r="N2905" s="82"/>
      <c r="O2905" s="82"/>
      <c r="P2905" s="82"/>
      <c r="Q2905" s="82"/>
      <c r="R2905" s="82"/>
      <c r="S2905" s="82"/>
      <c r="T2905" s="82"/>
      <c r="U2905" s="82"/>
      <c r="V2905" s="82"/>
      <c r="W2905" s="82"/>
      <c r="X2905" s="82"/>
      <c r="Y2905" s="82"/>
      <c r="Z2905" s="82"/>
    </row>
    <row r="2906" spans="1:26">
      <c r="A2906" s="81"/>
      <c r="F2906" s="81"/>
      <c r="G2906" s="82"/>
      <c r="H2906" s="82"/>
      <c r="I2906" s="82"/>
      <c r="J2906" s="82"/>
      <c r="K2906" s="82"/>
      <c r="L2906" s="82"/>
      <c r="M2906" s="82"/>
      <c r="N2906" s="82"/>
      <c r="O2906" s="82"/>
      <c r="P2906" s="82"/>
      <c r="Q2906" s="82"/>
      <c r="R2906" s="82"/>
      <c r="S2906" s="82"/>
      <c r="T2906" s="82"/>
      <c r="U2906" s="82"/>
      <c r="V2906" s="82"/>
      <c r="W2906" s="82"/>
      <c r="X2906" s="82"/>
      <c r="Y2906" s="82"/>
      <c r="Z2906" s="82"/>
    </row>
    <row r="2907" spans="1:26">
      <c r="A2907" s="81"/>
      <c r="F2907" s="81"/>
      <c r="G2907" s="82"/>
      <c r="H2907" s="82"/>
      <c r="I2907" s="82"/>
      <c r="J2907" s="82"/>
      <c r="K2907" s="82"/>
      <c r="L2907" s="82"/>
      <c r="M2907" s="82"/>
      <c r="N2907" s="82"/>
      <c r="O2907" s="82"/>
      <c r="P2907" s="82"/>
      <c r="Q2907" s="82"/>
      <c r="R2907" s="82"/>
      <c r="S2907" s="82"/>
      <c r="T2907" s="82"/>
      <c r="U2907" s="82"/>
      <c r="V2907" s="82"/>
      <c r="W2907" s="82"/>
      <c r="X2907" s="82"/>
      <c r="Y2907" s="82"/>
      <c r="Z2907" s="82"/>
    </row>
    <row r="2908" spans="1:26">
      <c r="A2908" s="81"/>
      <c r="F2908" s="81"/>
      <c r="G2908" s="82"/>
      <c r="H2908" s="82"/>
      <c r="I2908" s="82"/>
      <c r="J2908" s="82"/>
      <c r="K2908" s="82"/>
      <c r="L2908" s="82"/>
      <c r="M2908" s="82"/>
      <c r="N2908" s="82"/>
      <c r="O2908" s="82"/>
      <c r="P2908" s="82"/>
      <c r="Q2908" s="82"/>
      <c r="R2908" s="82"/>
      <c r="S2908" s="82"/>
      <c r="T2908" s="82"/>
      <c r="U2908" s="82"/>
      <c r="V2908" s="82"/>
      <c r="W2908" s="82"/>
      <c r="X2908" s="82"/>
      <c r="Y2908" s="82"/>
      <c r="Z2908" s="82"/>
    </row>
    <row r="2909" spans="1:26">
      <c r="A2909" s="81"/>
      <c r="F2909" s="81"/>
      <c r="G2909" s="82"/>
      <c r="H2909" s="82"/>
      <c r="I2909" s="82"/>
      <c r="J2909" s="82"/>
      <c r="K2909" s="82"/>
      <c r="L2909" s="82"/>
      <c r="M2909" s="82"/>
      <c r="N2909" s="82"/>
      <c r="O2909" s="82"/>
      <c r="P2909" s="82"/>
      <c r="Q2909" s="82"/>
      <c r="R2909" s="82"/>
      <c r="S2909" s="82"/>
      <c r="T2909" s="82"/>
      <c r="U2909" s="82"/>
      <c r="V2909" s="82"/>
      <c r="W2909" s="82"/>
      <c r="X2909" s="82"/>
      <c r="Y2909" s="82"/>
      <c r="Z2909" s="82"/>
    </row>
    <row r="2910" spans="1:26">
      <c r="A2910" s="81"/>
      <c r="F2910" s="81"/>
      <c r="G2910" s="82"/>
      <c r="H2910" s="82"/>
      <c r="I2910" s="82"/>
      <c r="J2910" s="82"/>
      <c r="K2910" s="82"/>
      <c r="L2910" s="82"/>
      <c r="M2910" s="82"/>
      <c r="N2910" s="82"/>
      <c r="O2910" s="82"/>
      <c r="P2910" s="82"/>
      <c r="Q2910" s="82"/>
      <c r="R2910" s="82"/>
      <c r="S2910" s="82"/>
      <c r="T2910" s="82"/>
      <c r="U2910" s="82"/>
      <c r="V2910" s="82"/>
      <c r="W2910" s="82"/>
      <c r="X2910" s="82"/>
      <c r="Y2910" s="82"/>
      <c r="Z2910" s="82"/>
    </row>
    <row r="2911" spans="1:26">
      <c r="A2911" s="81"/>
      <c r="F2911" s="81"/>
      <c r="G2911" s="82"/>
      <c r="H2911" s="82"/>
      <c r="I2911" s="82"/>
      <c r="J2911" s="82"/>
      <c r="K2911" s="82"/>
      <c r="L2911" s="82"/>
      <c r="M2911" s="82"/>
      <c r="N2911" s="82"/>
      <c r="O2911" s="82"/>
      <c r="P2911" s="82"/>
      <c r="Q2911" s="82"/>
      <c r="R2911" s="82"/>
      <c r="S2911" s="82"/>
      <c r="T2911" s="82"/>
      <c r="U2911" s="82"/>
      <c r="V2911" s="82"/>
      <c r="W2911" s="82"/>
      <c r="X2911" s="82"/>
      <c r="Y2911" s="82"/>
      <c r="Z2911" s="82"/>
    </row>
    <row r="2912" spans="1:26">
      <c r="A2912" s="81"/>
      <c r="F2912" s="81"/>
      <c r="G2912" s="82"/>
      <c r="H2912" s="82"/>
      <c r="I2912" s="82"/>
      <c r="J2912" s="82"/>
      <c r="K2912" s="82"/>
      <c r="L2912" s="82"/>
      <c r="M2912" s="82"/>
      <c r="N2912" s="82"/>
      <c r="O2912" s="82"/>
      <c r="P2912" s="82"/>
      <c r="Q2912" s="82"/>
      <c r="R2912" s="82"/>
      <c r="S2912" s="82"/>
      <c r="T2912" s="82"/>
      <c r="U2912" s="82"/>
      <c r="V2912" s="82"/>
      <c r="W2912" s="82"/>
      <c r="X2912" s="82"/>
      <c r="Y2912" s="82"/>
      <c r="Z2912" s="82"/>
    </row>
    <row r="2913" spans="1:26">
      <c r="A2913" s="81"/>
      <c r="F2913" s="81"/>
      <c r="G2913" s="82"/>
      <c r="H2913" s="82"/>
      <c r="I2913" s="82"/>
      <c r="J2913" s="82"/>
      <c r="K2913" s="82"/>
      <c r="L2913" s="82"/>
      <c r="M2913" s="82"/>
      <c r="N2913" s="82"/>
      <c r="O2913" s="82"/>
      <c r="P2913" s="82"/>
      <c r="Q2913" s="82"/>
      <c r="R2913" s="82"/>
      <c r="S2913" s="82"/>
      <c r="T2913" s="82"/>
      <c r="U2913" s="82"/>
      <c r="V2913" s="82"/>
      <c r="W2913" s="82"/>
      <c r="X2913" s="82"/>
      <c r="Y2913" s="82"/>
      <c r="Z2913" s="82"/>
    </row>
    <row r="2914" spans="1:26">
      <c r="A2914" s="81"/>
      <c r="F2914" s="81"/>
      <c r="G2914" s="82"/>
      <c r="H2914" s="82"/>
      <c r="I2914" s="82"/>
      <c r="J2914" s="82"/>
      <c r="K2914" s="82"/>
      <c r="L2914" s="82"/>
      <c r="M2914" s="82"/>
      <c r="N2914" s="82"/>
      <c r="O2914" s="82"/>
      <c r="P2914" s="82"/>
      <c r="Q2914" s="82"/>
      <c r="R2914" s="82"/>
      <c r="S2914" s="82"/>
      <c r="T2914" s="82"/>
      <c r="U2914" s="82"/>
      <c r="V2914" s="82"/>
      <c r="W2914" s="82"/>
      <c r="X2914" s="82"/>
      <c r="Y2914" s="82"/>
      <c r="Z2914" s="82"/>
    </row>
    <row r="2915" spans="1:26">
      <c r="A2915" s="81"/>
      <c r="F2915" s="81"/>
      <c r="G2915" s="82"/>
      <c r="H2915" s="82"/>
      <c r="I2915" s="82"/>
      <c r="J2915" s="82"/>
      <c r="K2915" s="82"/>
      <c r="L2915" s="82"/>
      <c r="M2915" s="82"/>
      <c r="N2915" s="82"/>
      <c r="O2915" s="82"/>
      <c r="P2915" s="82"/>
      <c r="Q2915" s="82"/>
      <c r="R2915" s="82"/>
      <c r="S2915" s="82"/>
      <c r="T2915" s="82"/>
      <c r="U2915" s="82"/>
      <c r="V2915" s="82"/>
      <c r="W2915" s="82"/>
      <c r="X2915" s="82"/>
      <c r="Y2915" s="82"/>
      <c r="Z2915" s="82"/>
    </row>
    <row r="2916" spans="1:26">
      <c r="A2916" s="81"/>
      <c r="F2916" s="81"/>
      <c r="G2916" s="82"/>
      <c r="H2916" s="82"/>
      <c r="I2916" s="82"/>
      <c r="J2916" s="82"/>
      <c r="K2916" s="82"/>
      <c r="L2916" s="82"/>
      <c r="M2916" s="82"/>
      <c r="N2916" s="82"/>
      <c r="O2916" s="82"/>
      <c r="P2916" s="82"/>
      <c r="Q2916" s="82"/>
      <c r="R2916" s="82"/>
      <c r="S2916" s="82"/>
      <c r="T2916" s="82"/>
      <c r="U2916" s="82"/>
      <c r="V2916" s="82"/>
      <c r="W2916" s="82"/>
      <c r="X2916" s="82"/>
      <c r="Y2916" s="82"/>
      <c r="Z2916" s="82"/>
    </row>
    <row r="2917" spans="1:26">
      <c r="A2917" s="81"/>
      <c r="F2917" s="81"/>
      <c r="G2917" s="82"/>
      <c r="H2917" s="82"/>
      <c r="I2917" s="82"/>
      <c r="J2917" s="82"/>
      <c r="K2917" s="82"/>
      <c r="L2917" s="82"/>
      <c r="M2917" s="82"/>
      <c r="N2917" s="82"/>
      <c r="O2917" s="82"/>
      <c r="P2917" s="82"/>
      <c r="Q2917" s="82"/>
      <c r="R2917" s="82"/>
      <c r="S2917" s="82"/>
      <c r="T2917" s="82"/>
      <c r="U2917" s="82"/>
      <c r="V2917" s="82"/>
      <c r="W2917" s="82"/>
      <c r="X2917" s="82"/>
      <c r="Y2917" s="82"/>
      <c r="Z2917" s="82"/>
    </row>
    <row r="2918" spans="1:26">
      <c r="A2918" s="81"/>
      <c r="F2918" s="81"/>
      <c r="G2918" s="82"/>
      <c r="H2918" s="82"/>
      <c r="I2918" s="82"/>
      <c r="J2918" s="82"/>
      <c r="K2918" s="82"/>
      <c r="L2918" s="82"/>
      <c r="M2918" s="82"/>
      <c r="N2918" s="82"/>
      <c r="O2918" s="82"/>
      <c r="P2918" s="82"/>
      <c r="Q2918" s="82"/>
      <c r="R2918" s="82"/>
      <c r="S2918" s="82"/>
      <c r="T2918" s="82"/>
      <c r="U2918" s="82"/>
      <c r="V2918" s="82"/>
      <c r="W2918" s="82"/>
      <c r="X2918" s="82"/>
      <c r="Y2918" s="82"/>
      <c r="Z2918" s="82"/>
    </row>
    <row r="2919" spans="1:26">
      <c r="A2919" s="81"/>
      <c r="F2919" s="81"/>
      <c r="G2919" s="82"/>
      <c r="H2919" s="82"/>
      <c r="I2919" s="82"/>
      <c r="J2919" s="82"/>
      <c r="K2919" s="82"/>
      <c r="L2919" s="82"/>
      <c r="M2919" s="82"/>
      <c r="N2919" s="82"/>
      <c r="O2919" s="82"/>
      <c r="P2919" s="82"/>
      <c r="Q2919" s="82"/>
      <c r="R2919" s="82"/>
      <c r="S2919" s="82"/>
      <c r="T2919" s="82"/>
      <c r="U2919" s="82"/>
      <c r="V2919" s="82"/>
      <c r="W2919" s="82"/>
      <c r="X2919" s="82"/>
      <c r="Y2919" s="82"/>
      <c r="Z2919" s="82"/>
    </row>
    <row r="2920" spans="1:26">
      <c r="A2920" s="81"/>
      <c r="F2920" s="81"/>
      <c r="G2920" s="82"/>
      <c r="H2920" s="82"/>
      <c r="I2920" s="82"/>
      <c r="J2920" s="82"/>
      <c r="K2920" s="82"/>
      <c r="L2920" s="82"/>
      <c r="M2920" s="82"/>
      <c r="N2920" s="82"/>
      <c r="O2920" s="82"/>
      <c r="P2920" s="82"/>
      <c r="Q2920" s="82"/>
      <c r="R2920" s="82"/>
      <c r="S2920" s="82"/>
      <c r="T2920" s="82"/>
      <c r="U2920" s="82"/>
      <c r="V2920" s="82"/>
      <c r="W2920" s="82"/>
      <c r="X2920" s="82"/>
      <c r="Y2920" s="82"/>
      <c r="Z2920" s="82"/>
    </row>
    <row r="2921" spans="1:26">
      <c r="A2921" s="81"/>
      <c r="F2921" s="81"/>
      <c r="G2921" s="82"/>
      <c r="H2921" s="82"/>
      <c r="I2921" s="82"/>
      <c r="J2921" s="82"/>
      <c r="K2921" s="82"/>
      <c r="L2921" s="82"/>
      <c r="M2921" s="82"/>
      <c r="N2921" s="82"/>
      <c r="O2921" s="82"/>
      <c r="P2921" s="82"/>
      <c r="Q2921" s="82"/>
      <c r="R2921" s="82"/>
      <c r="S2921" s="82"/>
      <c r="T2921" s="82"/>
      <c r="U2921" s="82"/>
      <c r="V2921" s="82"/>
      <c r="W2921" s="82"/>
      <c r="X2921" s="82"/>
      <c r="Y2921" s="82"/>
      <c r="Z2921" s="82"/>
    </row>
    <row r="2922" spans="1:26">
      <c r="A2922" s="81"/>
      <c r="F2922" s="81"/>
      <c r="G2922" s="82"/>
      <c r="H2922" s="82"/>
      <c r="I2922" s="82"/>
      <c r="J2922" s="82"/>
      <c r="K2922" s="82"/>
      <c r="L2922" s="82"/>
      <c r="M2922" s="82"/>
      <c r="N2922" s="82"/>
      <c r="O2922" s="82"/>
      <c r="P2922" s="82"/>
      <c r="Q2922" s="82"/>
      <c r="R2922" s="82"/>
      <c r="S2922" s="82"/>
      <c r="T2922" s="82"/>
      <c r="U2922" s="82"/>
      <c r="V2922" s="82"/>
      <c r="W2922" s="82"/>
      <c r="X2922" s="82"/>
      <c r="Y2922" s="82"/>
      <c r="Z2922" s="82"/>
    </row>
    <row r="2923" spans="1:26">
      <c r="A2923" s="81"/>
      <c r="F2923" s="81"/>
      <c r="G2923" s="82"/>
      <c r="H2923" s="82"/>
      <c r="I2923" s="82"/>
      <c r="J2923" s="82"/>
      <c r="K2923" s="82"/>
      <c r="L2923" s="82"/>
      <c r="M2923" s="82"/>
      <c r="N2923" s="82"/>
      <c r="O2923" s="82"/>
      <c r="P2923" s="82"/>
      <c r="Q2923" s="82"/>
      <c r="R2923" s="82"/>
      <c r="S2923" s="82"/>
      <c r="T2923" s="82"/>
      <c r="U2923" s="82"/>
      <c r="V2923" s="82"/>
      <c r="W2923" s="82"/>
      <c r="X2923" s="82"/>
      <c r="Y2923" s="82"/>
      <c r="Z2923" s="82"/>
    </row>
    <row r="2924" spans="1:26">
      <c r="A2924" s="81"/>
      <c r="F2924" s="81"/>
      <c r="G2924" s="82"/>
      <c r="H2924" s="82"/>
      <c r="I2924" s="82"/>
      <c r="J2924" s="82"/>
      <c r="K2924" s="82"/>
      <c r="L2924" s="82"/>
      <c r="M2924" s="82"/>
      <c r="N2924" s="82"/>
      <c r="O2924" s="82"/>
      <c r="P2924" s="82"/>
      <c r="Q2924" s="82"/>
      <c r="R2924" s="82"/>
      <c r="S2924" s="82"/>
      <c r="T2924" s="82"/>
      <c r="U2924" s="82"/>
      <c r="V2924" s="82"/>
      <c r="W2924" s="82"/>
      <c r="X2924" s="82"/>
      <c r="Y2924" s="82"/>
      <c r="Z2924" s="82"/>
    </row>
    <row r="2925" spans="1:26">
      <c r="A2925" s="81"/>
      <c r="F2925" s="81"/>
      <c r="G2925" s="82"/>
      <c r="H2925" s="82"/>
      <c r="I2925" s="82"/>
      <c r="J2925" s="82"/>
      <c r="K2925" s="82"/>
      <c r="L2925" s="82"/>
      <c r="M2925" s="82"/>
      <c r="N2925" s="82"/>
      <c r="O2925" s="82"/>
      <c r="P2925" s="82"/>
      <c r="Q2925" s="82"/>
      <c r="R2925" s="82"/>
      <c r="S2925" s="82"/>
      <c r="T2925" s="82"/>
      <c r="U2925" s="82"/>
      <c r="V2925" s="82"/>
      <c r="W2925" s="82"/>
      <c r="X2925" s="82"/>
      <c r="Y2925" s="82"/>
      <c r="Z2925" s="82"/>
    </row>
    <row r="2926" spans="1:26">
      <c r="A2926" s="81"/>
      <c r="F2926" s="81"/>
      <c r="G2926" s="82"/>
      <c r="H2926" s="82"/>
      <c r="I2926" s="82"/>
      <c r="J2926" s="82"/>
      <c r="K2926" s="82"/>
      <c r="L2926" s="82"/>
      <c r="M2926" s="82"/>
      <c r="N2926" s="82"/>
      <c r="O2926" s="82"/>
      <c r="P2926" s="82"/>
      <c r="Q2926" s="82"/>
      <c r="R2926" s="82"/>
      <c r="S2926" s="82"/>
      <c r="T2926" s="82"/>
      <c r="U2926" s="82"/>
      <c r="V2926" s="82"/>
      <c r="W2926" s="82"/>
      <c r="X2926" s="82"/>
      <c r="Y2926" s="82"/>
      <c r="Z2926" s="82"/>
    </row>
    <row r="2927" spans="1:26">
      <c r="A2927" s="81"/>
      <c r="F2927" s="81"/>
      <c r="G2927" s="82"/>
      <c r="H2927" s="82"/>
      <c r="I2927" s="82"/>
      <c r="J2927" s="82"/>
      <c r="K2927" s="82"/>
      <c r="L2927" s="82"/>
      <c r="M2927" s="82"/>
      <c r="N2927" s="82"/>
      <c r="O2927" s="82"/>
      <c r="P2927" s="82"/>
      <c r="Q2927" s="82"/>
      <c r="R2927" s="82"/>
      <c r="S2927" s="82"/>
      <c r="T2927" s="82"/>
      <c r="U2927" s="82"/>
      <c r="V2927" s="82"/>
      <c r="W2927" s="82"/>
      <c r="X2927" s="82"/>
      <c r="Y2927" s="82"/>
      <c r="Z2927" s="82"/>
    </row>
    <row r="2928" spans="1:26">
      <c r="A2928" s="81"/>
      <c r="F2928" s="81"/>
      <c r="G2928" s="82"/>
      <c r="H2928" s="82"/>
      <c r="I2928" s="82"/>
      <c r="J2928" s="82"/>
      <c r="K2928" s="82"/>
      <c r="L2928" s="82"/>
      <c r="M2928" s="82"/>
      <c r="N2928" s="82"/>
      <c r="O2928" s="82"/>
      <c r="P2928" s="82"/>
      <c r="Q2928" s="82"/>
      <c r="R2928" s="82"/>
      <c r="S2928" s="82"/>
      <c r="T2928" s="82"/>
      <c r="U2928" s="82"/>
      <c r="V2928" s="82"/>
      <c r="W2928" s="82"/>
      <c r="X2928" s="82"/>
      <c r="Y2928" s="82"/>
      <c r="Z2928" s="82"/>
    </row>
    <row r="2929" spans="1:26">
      <c r="A2929" s="81"/>
      <c r="F2929" s="81"/>
      <c r="G2929" s="82"/>
      <c r="H2929" s="82"/>
      <c r="I2929" s="82"/>
      <c r="J2929" s="82"/>
      <c r="K2929" s="82"/>
      <c r="L2929" s="82"/>
      <c r="M2929" s="82"/>
      <c r="N2929" s="82"/>
      <c r="O2929" s="82"/>
      <c r="P2929" s="82"/>
      <c r="Q2929" s="82"/>
      <c r="R2929" s="82"/>
      <c r="S2929" s="82"/>
      <c r="T2929" s="82"/>
      <c r="U2929" s="82"/>
      <c r="V2929" s="82"/>
      <c r="W2929" s="82"/>
      <c r="X2929" s="82"/>
      <c r="Y2929" s="82"/>
      <c r="Z2929" s="82"/>
    </row>
    <row r="2930" spans="1:26">
      <c r="A2930" s="81"/>
      <c r="F2930" s="81"/>
      <c r="G2930" s="82"/>
      <c r="H2930" s="82"/>
      <c r="I2930" s="82"/>
      <c r="J2930" s="82"/>
      <c r="K2930" s="82"/>
      <c r="L2930" s="82"/>
      <c r="M2930" s="82"/>
      <c r="N2930" s="82"/>
      <c r="O2930" s="82"/>
      <c r="P2930" s="82"/>
      <c r="Q2930" s="82"/>
      <c r="R2930" s="82"/>
      <c r="S2930" s="82"/>
      <c r="T2930" s="82"/>
      <c r="U2930" s="82"/>
      <c r="V2930" s="82"/>
      <c r="W2930" s="82"/>
      <c r="X2930" s="82"/>
      <c r="Y2930" s="82"/>
      <c r="Z2930" s="82"/>
    </row>
    <row r="2931" spans="1:26">
      <c r="A2931" s="81"/>
      <c r="F2931" s="81"/>
      <c r="G2931" s="82"/>
      <c r="H2931" s="82"/>
      <c r="I2931" s="82"/>
      <c r="J2931" s="82"/>
      <c r="K2931" s="82"/>
      <c r="L2931" s="82"/>
      <c r="M2931" s="82"/>
      <c r="N2931" s="82"/>
      <c r="O2931" s="82"/>
      <c r="P2931" s="82"/>
      <c r="Q2931" s="82"/>
      <c r="R2931" s="82"/>
      <c r="S2931" s="82"/>
      <c r="T2931" s="82"/>
      <c r="U2931" s="82"/>
      <c r="V2931" s="82"/>
      <c r="W2931" s="82"/>
      <c r="X2931" s="82"/>
      <c r="Y2931" s="82"/>
      <c r="Z2931" s="82"/>
    </row>
    <row r="2932" spans="1:26">
      <c r="A2932" s="81"/>
      <c r="F2932" s="81"/>
      <c r="G2932" s="82"/>
      <c r="H2932" s="82"/>
      <c r="I2932" s="82"/>
      <c r="J2932" s="82"/>
      <c r="K2932" s="82"/>
      <c r="L2932" s="82"/>
      <c r="M2932" s="82"/>
      <c r="N2932" s="82"/>
      <c r="O2932" s="82"/>
      <c r="P2932" s="82"/>
      <c r="Q2932" s="82"/>
      <c r="R2932" s="82"/>
      <c r="S2932" s="82"/>
      <c r="T2932" s="82"/>
      <c r="U2932" s="82"/>
      <c r="V2932" s="82"/>
      <c r="W2932" s="82"/>
      <c r="X2932" s="82"/>
      <c r="Y2932" s="82"/>
      <c r="Z2932" s="82"/>
    </row>
    <row r="2933" spans="1:26">
      <c r="A2933" s="81"/>
      <c r="F2933" s="81"/>
      <c r="G2933" s="82"/>
      <c r="H2933" s="82"/>
      <c r="I2933" s="82"/>
      <c r="J2933" s="82"/>
      <c r="K2933" s="82"/>
      <c r="L2933" s="82"/>
      <c r="M2933" s="82"/>
      <c r="N2933" s="82"/>
      <c r="O2933" s="82"/>
      <c r="P2933" s="82"/>
      <c r="Q2933" s="82"/>
      <c r="R2933" s="82"/>
      <c r="S2933" s="82"/>
      <c r="T2933" s="82"/>
      <c r="U2933" s="82"/>
      <c r="V2933" s="82"/>
      <c r="W2933" s="82"/>
      <c r="X2933" s="82"/>
      <c r="Y2933" s="82"/>
      <c r="Z2933" s="82"/>
    </row>
    <row r="2934" spans="1:26">
      <c r="A2934" s="81"/>
      <c r="F2934" s="81"/>
      <c r="G2934" s="82"/>
      <c r="H2934" s="82"/>
      <c r="I2934" s="82"/>
      <c r="J2934" s="82"/>
      <c r="K2934" s="82"/>
      <c r="L2934" s="82"/>
      <c r="M2934" s="82"/>
      <c r="N2934" s="82"/>
      <c r="O2934" s="82"/>
      <c r="P2934" s="82"/>
      <c r="Q2934" s="82"/>
      <c r="R2934" s="82"/>
      <c r="S2934" s="82"/>
      <c r="T2934" s="82"/>
      <c r="U2934" s="82"/>
      <c r="V2934" s="82"/>
      <c r="W2934" s="82"/>
      <c r="X2934" s="82"/>
      <c r="Y2934" s="82"/>
      <c r="Z2934" s="82"/>
    </row>
    <row r="2935" spans="1:26">
      <c r="A2935" s="81"/>
      <c r="F2935" s="81"/>
      <c r="G2935" s="82"/>
      <c r="H2935" s="82"/>
      <c r="I2935" s="82"/>
      <c r="J2935" s="82"/>
      <c r="K2935" s="82"/>
      <c r="L2935" s="82"/>
      <c r="M2935" s="82"/>
      <c r="N2935" s="82"/>
      <c r="O2935" s="82"/>
      <c r="P2935" s="82"/>
      <c r="Q2935" s="82"/>
      <c r="R2935" s="82"/>
      <c r="S2935" s="82"/>
      <c r="T2935" s="82"/>
      <c r="U2935" s="82"/>
      <c r="V2935" s="82"/>
      <c r="W2935" s="82"/>
      <c r="X2935" s="82"/>
      <c r="Y2935" s="82"/>
      <c r="Z2935" s="82"/>
    </row>
    <row r="2936" spans="1:26">
      <c r="A2936" s="81"/>
      <c r="F2936" s="81"/>
      <c r="G2936" s="82"/>
      <c r="H2936" s="82"/>
      <c r="I2936" s="82"/>
      <c r="J2936" s="82"/>
      <c r="K2936" s="82"/>
      <c r="L2936" s="82"/>
      <c r="M2936" s="82"/>
      <c r="N2936" s="82"/>
      <c r="O2936" s="82"/>
      <c r="P2936" s="82"/>
      <c r="Q2936" s="82"/>
      <c r="R2936" s="82"/>
      <c r="S2936" s="82"/>
      <c r="T2936" s="82"/>
      <c r="U2936" s="82"/>
      <c r="V2936" s="82"/>
      <c r="W2936" s="82"/>
      <c r="X2936" s="82"/>
      <c r="Y2936" s="82"/>
      <c r="Z2936" s="82"/>
    </row>
    <row r="2937" spans="1:26">
      <c r="A2937" s="81"/>
      <c r="F2937" s="81"/>
      <c r="G2937" s="82"/>
      <c r="H2937" s="82"/>
      <c r="I2937" s="82"/>
      <c r="J2937" s="82"/>
      <c r="K2937" s="82"/>
      <c r="L2937" s="82"/>
      <c r="M2937" s="82"/>
      <c r="N2937" s="82"/>
      <c r="O2937" s="82"/>
      <c r="P2937" s="82"/>
      <c r="Q2937" s="82"/>
      <c r="R2937" s="82"/>
      <c r="S2937" s="82"/>
      <c r="T2937" s="82"/>
      <c r="U2937" s="82"/>
      <c r="V2937" s="82"/>
      <c r="W2937" s="82"/>
      <c r="X2937" s="82"/>
      <c r="Y2937" s="82"/>
      <c r="Z2937" s="82"/>
    </row>
    <row r="2938" spans="1:26">
      <c r="A2938" s="81"/>
      <c r="F2938" s="81"/>
      <c r="G2938" s="82"/>
      <c r="H2938" s="82"/>
      <c r="I2938" s="82"/>
      <c r="J2938" s="82"/>
      <c r="K2938" s="82"/>
      <c r="L2938" s="82"/>
      <c r="M2938" s="82"/>
      <c r="N2938" s="82"/>
      <c r="O2938" s="82"/>
      <c r="P2938" s="82"/>
      <c r="Q2938" s="82"/>
      <c r="R2938" s="82"/>
      <c r="S2938" s="82"/>
      <c r="T2938" s="82"/>
      <c r="U2938" s="82"/>
      <c r="V2938" s="82"/>
      <c r="W2938" s="82"/>
      <c r="X2938" s="82"/>
      <c r="Y2938" s="82"/>
      <c r="Z2938" s="82"/>
    </row>
    <row r="2939" spans="1:26">
      <c r="A2939" s="81"/>
      <c r="F2939" s="81"/>
      <c r="G2939" s="82"/>
      <c r="H2939" s="82"/>
      <c r="I2939" s="82"/>
      <c r="J2939" s="82"/>
      <c r="K2939" s="82"/>
      <c r="L2939" s="82"/>
      <c r="M2939" s="82"/>
      <c r="N2939" s="82"/>
      <c r="O2939" s="82"/>
      <c r="P2939" s="82"/>
      <c r="Q2939" s="82"/>
      <c r="R2939" s="82"/>
      <c r="S2939" s="82"/>
      <c r="T2939" s="82"/>
      <c r="U2939" s="82"/>
      <c r="V2939" s="82"/>
      <c r="W2939" s="82"/>
      <c r="X2939" s="82"/>
      <c r="Y2939" s="82"/>
      <c r="Z2939" s="82"/>
    </row>
    <row r="2940" spans="1:26">
      <c r="A2940" s="81"/>
      <c r="F2940" s="81"/>
      <c r="G2940" s="82"/>
      <c r="H2940" s="82"/>
      <c r="I2940" s="82"/>
      <c r="J2940" s="82"/>
      <c r="K2940" s="82"/>
      <c r="L2940" s="82"/>
      <c r="M2940" s="82"/>
      <c r="N2940" s="82"/>
      <c r="O2940" s="82"/>
      <c r="P2940" s="82"/>
      <c r="Q2940" s="82"/>
      <c r="R2940" s="82"/>
      <c r="S2940" s="82"/>
      <c r="T2940" s="82"/>
      <c r="U2940" s="82"/>
      <c r="V2940" s="82"/>
      <c r="W2940" s="82"/>
      <c r="X2940" s="82"/>
      <c r="Y2940" s="82"/>
      <c r="Z2940" s="82"/>
    </row>
    <row r="2941" spans="1:26">
      <c r="A2941" s="81"/>
      <c r="F2941" s="81"/>
      <c r="G2941" s="82"/>
      <c r="H2941" s="82"/>
      <c r="I2941" s="82"/>
      <c r="J2941" s="82"/>
      <c r="K2941" s="82"/>
      <c r="L2941" s="82"/>
      <c r="M2941" s="82"/>
      <c r="N2941" s="82"/>
      <c r="O2941" s="82"/>
      <c r="P2941" s="82"/>
      <c r="Q2941" s="82"/>
      <c r="R2941" s="82"/>
      <c r="S2941" s="82"/>
      <c r="T2941" s="82"/>
      <c r="U2941" s="82"/>
      <c r="V2941" s="82"/>
      <c r="W2941" s="82"/>
      <c r="X2941" s="82"/>
      <c r="Y2941" s="82"/>
      <c r="Z2941" s="82"/>
    </row>
    <row r="2942" spans="1:26">
      <c r="A2942" s="81"/>
      <c r="F2942" s="81"/>
      <c r="G2942" s="82"/>
      <c r="H2942" s="82"/>
      <c r="I2942" s="82"/>
      <c r="J2942" s="82"/>
      <c r="K2942" s="82"/>
      <c r="L2942" s="82"/>
      <c r="M2942" s="82"/>
      <c r="N2942" s="82"/>
      <c r="O2942" s="82"/>
      <c r="P2942" s="82"/>
      <c r="Q2942" s="82"/>
      <c r="R2942" s="82"/>
      <c r="S2942" s="82"/>
      <c r="T2942" s="82"/>
      <c r="U2942" s="82"/>
      <c r="V2942" s="82"/>
      <c r="W2942" s="82"/>
      <c r="X2942" s="82"/>
      <c r="Y2942" s="82"/>
      <c r="Z2942" s="82"/>
    </row>
    <row r="2943" spans="1:26">
      <c r="A2943" s="81"/>
      <c r="F2943" s="81"/>
      <c r="G2943" s="82"/>
      <c r="H2943" s="82"/>
      <c r="I2943" s="82"/>
      <c r="J2943" s="82"/>
      <c r="K2943" s="82"/>
      <c r="L2943" s="82"/>
      <c r="M2943" s="82"/>
      <c r="N2943" s="82"/>
      <c r="O2943" s="82"/>
      <c r="P2943" s="82"/>
      <c r="Q2943" s="82"/>
      <c r="R2943" s="82"/>
      <c r="S2943" s="82"/>
      <c r="T2943" s="82"/>
      <c r="U2943" s="82"/>
      <c r="V2943" s="82"/>
      <c r="W2943" s="82"/>
      <c r="X2943" s="82"/>
      <c r="Y2943" s="82"/>
      <c r="Z2943" s="82"/>
    </row>
    <row r="2944" spans="1:26">
      <c r="A2944" s="81"/>
      <c r="F2944" s="81"/>
      <c r="G2944" s="82"/>
      <c r="H2944" s="82"/>
      <c r="I2944" s="82"/>
      <c r="J2944" s="82"/>
      <c r="K2944" s="82"/>
      <c r="L2944" s="82"/>
      <c r="M2944" s="82"/>
      <c r="N2944" s="82"/>
      <c r="O2944" s="82"/>
      <c r="P2944" s="82"/>
      <c r="Q2944" s="82"/>
      <c r="R2944" s="82"/>
      <c r="S2944" s="82"/>
      <c r="T2944" s="82"/>
      <c r="U2944" s="82"/>
      <c r="V2944" s="82"/>
      <c r="W2944" s="82"/>
      <c r="X2944" s="82"/>
      <c r="Y2944" s="82"/>
      <c r="Z2944" s="82"/>
    </row>
    <row r="2945" spans="1:26">
      <c r="A2945" s="81"/>
      <c r="F2945" s="81"/>
      <c r="G2945" s="82"/>
      <c r="H2945" s="82"/>
      <c r="I2945" s="82"/>
      <c r="J2945" s="82"/>
      <c r="K2945" s="82"/>
      <c r="L2945" s="82"/>
      <c r="M2945" s="82"/>
      <c r="N2945" s="82"/>
      <c r="O2945" s="82"/>
      <c r="P2945" s="82"/>
      <c r="Q2945" s="82"/>
      <c r="R2945" s="82"/>
      <c r="S2945" s="82"/>
      <c r="T2945" s="82"/>
      <c r="U2945" s="82"/>
      <c r="V2945" s="82"/>
      <c r="W2945" s="82"/>
      <c r="X2945" s="82"/>
      <c r="Y2945" s="82"/>
      <c r="Z2945" s="82"/>
    </row>
    <row r="2946" spans="1:26">
      <c r="A2946" s="81"/>
      <c r="F2946" s="81"/>
      <c r="G2946" s="82"/>
      <c r="H2946" s="82"/>
      <c r="I2946" s="82"/>
      <c r="J2946" s="82"/>
      <c r="K2946" s="82"/>
      <c r="L2946" s="82"/>
      <c r="M2946" s="82"/>
      <c r="N2946" s="82"/>
      <c r="O2946" s="82"/>
      <c r="P2946" s="82"/>
      <c r="Q2946" s="82"/>
      <c r="R2946" s="82"/>
      <c r="S2946" s="82"/>
      <c r="T2946" s="82"/>
      <c r="U2946" s="82"/>
      <c r="V2946" s="82"/>
      <c r="W2946" s="82"/>
      <c r="X2946" s="82"/>
      <c r="Y2946" s="82"/>
      <c r="Z2946" s="82"/>
    </row>
    <row r="2947" spans="1:26">
      <c r="A2947" s="81"/>
      <c r="F2947" s="81"/>
      <c r="G2947" s="82"/>
      <c r="H2947" s="82"/>
      <c r="I2947" s="82"/>
      <c r="J2947" s="82"/>
      <c r="K2947" s="82"/>
      <c r="L2947" s="82"/>
      <c r="M2947" s="82"/>
      <c r="N2947" s="82"/>
      <c r="O2947" s="82"/>
      <c r="P2947" s="82"/>
      <c r="Q2947" s="82"/>
      <c r="R2947" s="82"/>
      <c r="S2947" s="82"/>
      <c r="T2947" s="82"/>
      <c r="U2947" s="82"/>
      <c r="V2947" s="82"/>
      <c r="W2947" s="82"/>
      <c r="X2947" s="82"/>
      <c r="Y2947" s="82"/>
      <c r="Z2947" s="82"/>
    </row>
    <row r="2948" spans="1:26">
      <c r="A2948" s="81"/>
      <c r="F2948" s="81"/>
      <c r="G2948" s="82"/>
      <c r="H2948" s="82"/>
      <c r="I2948" s="82"/>
      <c r="J2948" s="82"/>
      <c r="K2948" s="82"/>
      <c r="L2948" s="82"/>
      <c r="M2948" s="82"/>
      <c r="N2948" s="82"/>
      <c r="O2948" s="82"/>
      <c r="P2948" s="82"/>
      <c r="Q2948" s="82"/>
      <c r="R2948" s="82"/>
      <c r="S2948" s="82"/>
      <c r="T2948" s="82"/>
      <c r="U2948" s="82"/>
      <c r="V2948" s="82"/>
      <c r="W2948" s="82"/>
      <c r="X2948" s="82"/>
      <c r="Y2948" s="82"/>
      <c r="Z2948" s="82"/>
    </row>
    <row r="2949" spans="1:26">
      <c r="A2949" s="81"/>
      <c r="F2949" s="81"/>
      <c r="G2949" s="82"/>
      <c r="H2949" s="82"/>
      <c r="I2949" s="82"/>
      <c r="J2949" s="82"/>
      <c r="K2949" s="82"/>
      <c r="L2949" s="82"/>
      <c r="M2949" s="82"/>
      <c r="N2949" s="82"/>
      <c r="O2949" s="82"/>
      <c r="P2949" s="82"/>
      <c r="Q2949" s="82"/>
      <c r="R2949" s="82"/>
      <c r="S2949" s="82"/>
      <c r="T2949" s="82"/>
      <c r="U2949" s="82"/>
      <c r="V2949" s="82"/>
      <c r="W2949" s="82"/>
      <c r="X2949" s="82"/>
      <c r="Y2949" s="82"/>
      <c r="Z2949" s="82"/>
    </row>
    <row r="2950" spans="1:26">
      <c r="A2950" s="81"/>
      <c r="F2950" s="81"/>
      <c r="G2950" s="82"/>
      <c r="H2950" s="82"/>
      <c r="I2950" s="82"/>
      <c r="J2950" s="82"/>
      <c r="K2950" s="82"/>
      <c r="L2950" s="82"/>
      <c r="M2950" s="82"/>
      <c r="N2950" s="82"/>
      <c r="O2950" s="82"/>
      <c r="P2950" s="82"/>
      <c r="Q2950" s="82"/>
      <c r="R2950" s="82"/>
      <c r="S2950" s="82"/>
      <c r="T2950" s="82"/>
      <c r="U2950" s="82"/>
      <c r="V2950" s="82"/>
      <c r="W2950" s="82"/>
      <c r="X2950" s="82"/>
      <c r="Y2950" s="82"/>
      <c r="Z2950" s="82"/>
    </row>
    <row r="2951" spans="1:26">
      <c r="A2951" s="81"/>
      <c r="F2951" s="81"/>
      <c r="G2951" s="82"/>
      <c r="H2951" s="82"/>
      <c r="I2951" s="82"/>
      <c r="J2951" s="82"/>
      <c r="K2951" s="82"/>
      <c r="L2951" s="82"/>
      <c r="M2951" s="82"/>
      <c r="N2951" s="82"/>
      <c r="O2951" s="82"/>
      <c r="P2951" s="82"/>
      <c r="Q2951" s="82"/>
      <c r="R2951" s="82"/>
      <c r="S2951" s="82"/>
      <c r="T2951" s="82"/>
      <c r="U2951" s="82"/>
      <c r="V2951" s="82"/>
      <c r="W2951" s="82"/>
      <c r="X2951" s="82"/>
      <c r="Y2951" s="82"/>
      <c r="Z2951" s="82"/>
    </row>
    <row r="2952" spans="1:26">
      <c r="A2952" s="81"/>
      <c r="F2952" s="81"/>
      <c r="G2952" s="82"/>
      <c r="H2952" s="82"/>
      <c r="I2952" s="82"/>
      <c r="J2952" s="82"/>
      <c r="K2952" s="82"/>
      <c r="L2952" s="82"/>
      <c r="M2952" s="82"/>
      <c r="N2952" s="82"/>
      <c r="O2952" s="82"/>
      <c r="P2952" s="82"/>
      <c r="Q2952" s="82"/>
      <c r="R2952" s="82"/>
      <c r="S2952" s="82"/>
      <c r="T2952" s="82"/>
      <c r="U2952" s="82"/>
      <c r="V2952" s="82"/>
      <c r="W2952" s="82"/>
      <c r="X2952" s="82"/>
      <c r="Y2952" s="82"/>
      <c r="Z2952" s="82"/>
    </row>
    <row r="2953" spans="1:26">
      <c r="A2953" s="81"/>
      <c r="F2953" s="81"/>
      <c r="G2953" s="82"/>
      <c r="H2953" s="82"/>
      <c r="I2953" s="82"/>
      <c r="J2953" s="82"/>
      <c r="K2953" s="82"/>
      <c r="L2953" s="82"/>
      <c r="M2953" s="82"/>
      <c r="N2953" s="82"/>
      <c r="O2953" s="82"/>
      <c r="P2953" s="82"/>
      <c r="Q2953" s="82"/>
      <c r="R2953" s="82"/>
      <c r="S2953" s="82"/>
      <c r="T2953" s="82"/>
      <c r="U2953" s="82"/>
      <c r="V2953" s="82"/>
      <c r="W2953" s="82"/>
      <c r="X2953" s="82"/>
      <c r="Y2953" s="82"/>
      <c r="Z2953" s="82"/>
    </row>
    <row r="2954" spans="1:26">
      <c r="A2954" s="81"/>
      <c r="F2954" s="81"/>
      <c r="G2954" s="82"/>
      <c r="H2954" s="82"/>
      <c r="I2954" s="82"/>
      <c r="J2954" s="82"/>
      <c r="K2954" s="82"/>
      <c r="L2954" s="82"/>
      <c r="M2954" s="82"/>
      <c r="N2954" s="82"/>
      <c r="O2954" s="82"/>
      <c r="P2954" s="82"/>
      <c r="Q2954" s="82"/>
      <c r="R2954" s="82"/>
      <c r="S2954" s="82"/>
      <c r="T2954" s="82"/>
      <c r="U2954" s="82"/>
      <c r="V2954" s="82"/>
      <c r="W2954" s="82"/>
      <c r="X2954" s="82"/>
      <c r="Y2954" s="82"/>
      <c r="Z2954" s="82"/>
    </row>
    <row r="2955" spans="1:26">
      <c r="A2955" s="81"/>
      <c r="F2955" s="81"/>
      <c r="G2955" s="82"/>
      <c r="H2955" s="82"/>
      <c r="I2955" s="82"/>
      <c r="J2955" s="82"/>
      <c r="K2955" s="82"/>
      <c r="L2955" s="82"/>
      <c r="M2955" s="82"/>
      <c r="N2955" s="82"/>
      <c r="O2955" s="82"/>
      <c r="P2955" s="82"/>
      <c r="Q2955" s="82"/>
      <c r="R2955" s="82"/>
      <c r="S2955" s="82"/>
      <c r="T2955" s="82"/>
      <c r="U2955" s="82"/>
      <c r="V2955" s="82"/>
      <c r="W2955" s="82"/>
      <c r="X2955" s="82"/>
      <c r="Y2955" s="82"/>
      <c r="Z2955" s="82"/>
    </row>
    <row r="2956" spans="1:26">
      <c r="A2956" s="81"/>
      <c r="F2956" s="81"/>
      <c r="G2956" s="82"/>
      <c r="H2956" s="82"/>
      <c r="I2956" s="82"/>
      <c r="J2956" s="82"/>
      <c r="K2956" s="82"/>
      <c r="L2956" s="82"/>
      <c r="M2956" s="82"/>
      <c r="N2956" s="82"/>
      <c r="O2956" s="82"/>
      <c r="P2956" s="82"/>
      <c r="Q2956" s="82"/>
      <c r="R2956" s="82"/>
      <c r="S2956" s="82"/>
      <c r="T2956" s="82"/>
      <c r="U2956" s="82"/>
      <c r="V2956" s="82"/>
      <c r="W2956" s="82"/>
      <c r="X2956" s="82"/>
      <c r="Y2956" s="82"/>
      <c r="Z2956" s="82"/>
    </row>
    <row r="2957" spans="1:26">
      <c r="A2957" s="81"/>
      <c r="F2957" s="81"/>
      <c r="G2957" s="82"/>
      <c r="H2957" s="82"/>
      <c r="I2957" s="82"/>
      <c r="J2957" s="82"/>
      <c r="K2957" s="82"/>
      <c r="L2957" s="82"/>
      <c r="M2957" s="82"/>
      <c r="N2957" s="82"/>
      <c r="O2957" s="82"/>
      <c r="P2957" s="82"/>
      <c r="Q2957" s="82"/>
      <c r="R2957" s="82"/>
      <c r="S2957" s="82"/>
      <c r="T2957" s="82"/>
      <c r="U2957" s="82"/>
      <c r="V2957" s="82"/>
      <c r="W2957" s="82"/>
      <c r="X2957" s="82"/>
      <c r="Y2957" s="82"/>
      <c r="Z2957" s="82"/>
    </row>
    <row r="2958" spans="1:26">
      <c r="A2958" s="81"/>
      <c r="F2958" s="81"/>
      <c r="G2958" s="82"/>
      <c r="H2958" s="82"/>
      <c r="I2958" s="82"/>
      <c r="J2958" s="82"/>
      <c r="K2958" s="82"/>
      <c r="L2958" s="82"/>
      <c r="M2958" s="82"/>
      <c r="N2958" s="82"/>
      <c r="O2958" s="82"/>
      <c r="P2958" s="82"/>
      <c r="Q2958" s="82"/>
      <c r="R2958" s="82"/>
      <c r="S2958" s="82"/>
      <c r="T2958" s="82"/>
      <c r="U2958" s="82"/>
      <c r="V2958" s="82"/>
      <c r="W2958" s="82"/>
      <c r="X2958" s="82"/>
      <c r="Y2958" s="82"/>
      <c r="Z2958" s="82"/>
    </row>
    <row r="2959" spans="1:26">
      <c r="A2959" s="81"/>
      <c r="F2959" s="81"/>
      <c r="G2959" s="82"/>
      <c r="H2959" s="82"/>
      <c r="I2959" s="82"/>
      <c r="J2959" s="82"/>
      <c r="K2959" s="82"/>
      <c r="L2959" s="82"/>
      <c r="M2959" s="82"/>
      <c r="N2959" s="82"/>
      <c r="O2959" s="82"/>
      <c r="P2959" s="82"/>
      <c r="Q2959" s="82"/>
      <c r="R2959" s="82"/>
      <c r="S2959" s="82"/>
      <c r="T2959" s="82"/>
      <c r="U2959" s="82"/>
      <c r="V2959" s="82"/>
      <c r="W2959" s="82"/>
      <c r="X2959" s="82"/>
      <c r="Y2959" s="82"/>
      <c r="Z2959" s="82"/>
    </row>
    <row r="2960" spans="1:26">
      <c r="A2960" s="81"/>
      <c r="F2960" s="81"/>
      <c r="G2960" s="82"/>
      <c r="H2960" s="82"/>
      <c r="I2960" s="82"/>
      <c r="J2960" s="82"/>
      <c r="K2960" s="82"/>
      <c r="L2960" s="82"/>
      <c r="M2960" s="82"/>
      <c r="N2960" s="82"/>
      <c r="O2960" s="82"/>
      <c r="P2960" s="82"/>
      <c r="Q2960" s="82"/>
      <c r="R2960" s="82"/>
      <c r="S2960" s="82"/>
      <c r="T2960" s="82"/>
      <c r="U2960" s="82"/>
      <c r="V2960" s="82"/>
      <c r="W2960" s="82"/>
      <c r="X2960" s="82"/>
      <c r="Y2960" s="82"/>
      <c r="Z2960" s="82"/>
    </row>
    <row r="2961" spans="1:26">
      <c r="A2961" s="81"/>
      <c r="F2961" s="81"/>
      <c r="G2961" s="82"/>
      <c r="H2961" s="82"/>
      <c r="I2961" s="82"/>
      <c r="J2961" s="82"/>
      <c r="K2961" s="82"/>
      <c r="L2961" s="82"/>
      <c r="M2961" s="82"/>
      <c r="N2961" s="82"/>
      <c r="O2961" s="82"/>
      <c r="P2961" s="82"/>
      <c r="Q2961" s="82"/>
      <c r="R2961" s="82"/>
      <c r="S2961" s="82"/>
      <c r="T2961" s="82"/>
      <c r="U2961" s="82"/>
      <c r="V2961" s="82"/>
      <c r="W2961" s="82"/>
      <c r="X2961" s="82"/>
      <c r="Y2961" s="82"/>
      <c r="Z2961" s="82"/>
    </row>
    <row r="2962" spans="1:26">
      <c r="A2962" s="81"/>
      <c r="F2962" s="81"/>
      <c r="G2962" s="82"/>
      <c r="H2962" s="82"/>
      <c r="I2962" s="82"/>
      <c r="J2962" s="82"/>
      <c r="K2962" s="82"/>
      <c r="L2962" s="82"/>
      <c r="M2962" s="82"/>
      <c r="N2962" s="82"/>
      <c r="O2962" s="82"/>
      <c r="P2962" s="82"/>
      <c r="Q2962" s="82"/>
      <c r="R2962" s="82"/>
      <c r="S2962" s="82"/>
      <c r="T2962" s="82"/>
      <c r="U2962" s="82"/>
      <c r="V2962" s="82"/>
      <c r="W2962" s="82"/>
      <c r="X2962" s="82"/>
      <c r="Y2962" s="82"/>
      <c r="Z2962" s="82"/>
    </row>
    <row r="2963" spans="1:26">
      <c r="A2963" s="81"/>
      <c r="F2963" s="81"/>
      <c r="G2963" s="82"/>
      <c r="H2963" s="82"/>
      <c r="I2963" s="82"/>
      <c r="J2963" s="82"/>
      <c r="K2963" s="82"/>
      <c r="L2963" s="82"/>
      <c r="M2963" s="82"/>
      <c r="N2963" s="82"/>
      <c r="O2963" s="82"/>
      <c r="P2963" s="82"/>
      <c r="Q2963" s="82"/>
      <c r="R2963" s="82"/>
      <c r="S2963" s="82"/>
      <c r="T2963" s="82"/>
      <c r="U2963" s="82"/>
      <c r="V2963" s="82"/>
      <c r="W2963" s="82"/>
      <c r="X2963" s="82"/>
      <c r="Y2963" s="82"/>
      <c r="Z2963" s="82"/>
    </row>
    <row r="2964" spans="1:26">
      <c r="A2964" s="81"/>
      <c r="F2964" s="81"/>
      <c r="G2964" s="82"/>
      <c r="H2964" s="82"/>
      <c r="I2964" s="82"/>
      <c r="J2964" s="82"/>
      <c r="K2964" s="82"/>
      <c r="L2964" s="82"/>
      <c r="M2964" s="82"/>
      <c r="N2964" s="82"/>
      <c r="O2964" s="82"/>
      <c r="P2964" s="82"/>
      <c r="Q2964" s="82"/>
      <c r="R2964" s="82"/>
      <c r="S2964" s="82"/>
      <c r="T2964" s="82"/>
      <c r="U2964" s="82"/>
      <c r="V2964" s="82"/>
      <c r="W2964" s="82"/>
      <c r="X2964" s="82"/>
      <c r="Y2964" s="82"/>
      <c r="Z2964" s="82"/>
    </row>
    <row r="2965" spans="1:26">
      <c r="A2965" s="81"/>
      <c r="F2965" s="81"/>
      <c r="G2965" s="82"/>
      <c r="H2965" s="82"/>
      <c r="I2965" s="82"/>
      <c r="J2965" s="82"/>
      <c r="K2965" s="82"/>
      <c r="L2965" s="82"/>
      <c r="M2965" s="82"/>
      <c r="N2965" s="82"/>
      <c r="O2965" s="82"/>
      <c r="P2965" s="82"/>
      <c r="Q2965" s="82"/>
      <c r="R2965" s="82"/>
      <c r="S2965" s="82"/>
      <c r="T2965" s="82"/>
      <c r="U2965" s="82"/>
      <c r="V2965" s="82"/>
      <c r="W2965" s="82"/>
      <c r="X2965" s="82"/>
      <c r="Y2965" s="82"/>
      <c r="Z2965" s="82"/>
    </row>
    <row r="2966" spans="1:26">
      <c r="A2966" s="81"/>
      <c r="F2966" s="81"/>
      <c r="G2966" s="82"/>
      <c r="H2966" s="82"/>
      <c r="I2966" s="82"/>
      <c r="J2966" s="82"/>
      <c r="K2966" s="82"/>
      <c r="L2966" s="82"/>
      <c r="M2966" s="82"/>
      <c r="N2966" s="82"/>
      <c r="O2966" s="82"/>
      <c r="P2966" s="82"/>
      <c r="Q2966" s="82"/>
      <c r="R2966" s="82"/>
      <c r="S2966" s="82"/>
      <c r="T2966" s="82"/>
      <c r="U2966" s="82"/>
      <c r="V2966" s="82"/>
      <c r="W2966" s="82"/>
      <c r="X2966" s="82"/>
      <c r="Y2966" s="82"/>
      <c r="Z2966" s="82"/>
    </row>
    <row r="2967" spans="1:26">
      <c r="A2967" s="81"/>
      <c r="F2967" s="81"/>
      <c r="G2967" s="82"/>
      <c r="H2967" s="82"/>
      <c r="I2967" s="82"/>
      <c r="J2967" s="82"/>
      <c r="K2967" s="82"/>
      <c r="L2967" s="82"/>
      <c r="M2967" s="82"/>
      <c r="N2967" s="82"/>
      <c r="O2967" s="82"/>
      <c r="P2967" s="82"/>
      <c r="Q2967" s="82"/>
      <c r="R2967" s="82"/>
      <c r="S2967" s="82"/>
      <c r="T2967" s="82"/>
      <c r="U2967" s="82"/>
      <c r="V2967" s="82"/>
      <c r="W2967" s="82"/>
      <c r="X2967" s="82"/>
      <c r="Y2967" s="82"/>
      <c r="Z2967" s="82"/>
    </row>
    <row r="2968" spans="1:26">
      <c r="A2968" s="81"/>
      <c r="F2968" s="81"/>
      <c r="G2968" s="82"/>
      <c r="H2968" s="82"/>
      <c r="I2968" s="82"/>
      <c r="J2968" s="82"/>
      <c r="K2968" s="82"/>
      <c r="L2968" s="82"/>
      <c r="M2968" s="82"/>
      <c r="N2968" s="82"/>
      <c r="O2968" s="82"/>
      <c r="P2968" s="82"/>
      <c r="Q2968" s="82"/>
      <c r="R2968" s="82"/>
      <c r="S2968" s="82"/>
      <c r="T2968" s="82"/>
      <c r="U2968" s="82"/>
      <c r="V2968" s="82"/>
      <c r="W2968" s="82"/>
      <c r="X2968" s="82"/>
      <c r="Y2968" s="82"/>
      <c r="Z2968" s="82"/>
    </row>
    <row r="2969" spans="1:26">
      <c r="A2969" s="81"/>
      <c r="F2969" s="81"/>
      <c r="G2969" s="82"/>
      <c r="H2969" s="82"/>
      <c r="I2969" s="82"/>
      <c r="J2969" s="82"/>
      <c r="K2969" s="82"/>
      <c r="L2969" s="82"/>
      <c r="M2969" s="82"/>
      <c r="N2969" s="82"/>
      <c r="O2969" s="82"/>
      <c r="P2969" s="82"/>
      <c r="Q2969" s="82"/>
      <c r="R2969" s="82"/>
      <c r="S2969" s="82"/>
      <c r="T2969" s="82"/>
      <c r="U2969" s="82"/>
      <c r="V2969" s="82"/>
      <c r="W2969" s="82"/>
      <c r="X2969" s="82"/>
      <c r="Y2969" s="82"/>
      <c r="Z2969" s="82"/>
    </row>
    <row r="2970" spans="1:26">
      <c r="A2970" s="81"/>
      <c r="F2970" s="81"/>
      <c r="G2970" s="82"/>
      <c r="H2970" s="82"/>
      <c r="I2970" s="82"/>
      <c r="J2970" s="82"/>
      <c r="K2970" s="82"/>
      <c r="L2970" s="82"/>
      <c r="M2970" s="82"/>
      <c r="N2970" s="82"/>
      <c r="O2970" s="82"/>
      <c r="P2970" s="82"/>
      <c r="Q2970" s="82"/>
      <c r="R2970" s="82"/>
      <c r="S2970" s="82"/>
      <c r="T2970" s="82"/>
      <c r="U2970" s="82"/>
      <c r="V2970" s="82"/>
      <c r="W2970" s="82"/>
      <c r="X2970" s="82"/>
      <c r="Y2970" s="82"/>
      <c r="Z2970" s="82"/>
    </row>
    <row r="2971" spans="1:26">
      <c r="A2971" s="81"/>
      <c r="F2971" s="81"/>
      <c r="G2971" s="82"/>
      <c r="H2971" s="82"/>
      <c r="I2971" s="82"/>
      <c r="J2971" s="82"/>
      <c r="K2971" s="82"/>
      <c r="L2971" s="82"/>
      <c r="M2971" s="82"/>
      <c r="N2971" s="82"/>
      <c r="O2971" s="82"/>
      <c r="P2971" s="82"/>
      <c r="Q2971" s="82"/>
      <c r="R2971" s="82"/>
      <c r="S2971" s="82"/>
      <c r="T2971" s="82"/>
      <c r="U2971" s="82"/>
      <c r="V2971" s="82"/>
      <c r="W2971" s="82"/>
      <c r="X2971" s="82"/>
      <c r="Y2971" s="82"/>
      <c r="Z2971" s="82"/>
    </row>
    <row r="2972" spans="1:26">
      <c r="A2972" s="81"/>
      <c r="F2972" s="81"/>
      <c r="G2972" s="82"/>
      <c r="H2972" s="82"/>
      <c r="I2972" s="82"/>
      <c r="J2972" s="82"/>
      <c r="K2972" s="82"/>
      <c r="L2972" s="82"/>
      <c r="M2972" s="82"/>
      <c r="N2972" s="82"/>
      <c r="O2972" s="82"/>
      <c r="P2972" s="82"/>
      <c r="Q2972" s="82"/>
      <c r="R2972" s="82"/>
      <c r="S2972" s="82"/>
      <c r="T2972" s="82"/>
      <c r="U2972" s="82"/>
      <c r="V2972" s="82"/>
      <c r="W2972" s="82"/>
      <c r="X2972" s="82"/>
      <c r="Y2972" s="82"/>
      <c r="Z2972" s="82"/>
    </row>
    <row r="2973" spans="1:26">
      <c r="A2973" s="81"/>
      <c r="F2973" s="81"/>
      <c r="G2973" s="82"/>
      <c r="H2973" s="82"/>
      <c r="I2973" s="82"/>
      <c r="J2973" s="82"/>
      <c r="K2973" s="82"/>
      <c r="L2973" s="82"/>
      <c r="M2973" s="82"/>
      <c r="N2973" s="82"/>
      <c r="O2973" s="82"/>
      <c r="P2973" s="82"/>
      <c r="Q2973" s="82"/>
      <c r="R2973" s="82"/>
      <c r="S2973" s="82"/>
      <c r="T2973" s="82"/>
      <c r="U2973" s="82"/>
      <c r="V2973" s="82"/>
      <c r="W2973" s="82"/>
      <c r="X2973" s="82"/>
      <c r="Y2973" s="82"/>
      <c r="Z2973" s="82"/>
    </row>
    <row r="2974" spans="1:26">
      <c r="A2974" s="81"/>
      <c r="F2974" s="81"/>
      <c r="G2974" s="82"/>
      <c r="H2974" s="82"/>
      <c r="I2974" s="82"/>
      <c r="J2974" s="82"/>
      <c r="K2974" s="82"/>
      <c r="L2974" s="82"/>
      <c r="M2974" s="82"/>
      <c r="N2974" s="82"/>
      <c r="O2974" s="82"/>
      <c r="P2974" s="82"/>
      <c r="Q2974" s="82"/>
      <c r="R2974" s="82"/>
      <c r="S2974" s="82"/>
      <c r="T2974" s="82"/>
      <c r="U2974" s="82"/>
      <c r="V2974" s="82"/>
      <c r="W2974" s="82"/>
      <c r="X2974" s="82"/>
      <c r="Y2974" s="82"/>
      <c r="Z2974" s="82"/>
    </row>
    <row r="2975" spans="1:26">
      <c r="A2975" s="81"/>
      <c r="F2975" s="81"/>
      <c r="G2975" s="82"/>
      <c r="H2975" s="82"/>
      <c r="I2975" s="82"/>
      <c r="J2975" s="82"/>
      <c r="K2975" s="82"/>
      <c r="L2975" s="82"/>
      <c r="M2975" s="82"/>
      <c r="N2975" s="82"/>
      <c r="O2975" s="82"/>
      <c r="P2975" s="82"/>
      <c r="Q2975" s="82"/>
      <c r="R2975" s="82"/>
      <c r="S2975" s="82"/>
      <c r="T2975" s="82"/>
      <c r="U2975" s="82"/>
      <c r="V2975" s="82"/>
      <c r="W2975" s="82"/>
      <c r="X2975" s="82"/>
      <c r="Y2975" s="82"/>
      <c r="Z2975" s="82"/>
    </row>
    <row r="2976" spans="1:26">
      <c r="A2976" s="81"/>
      <c r="F2976" s="81"/>
      <c r="G2976" s="82"/>
      <c r="H2976" s="82"/>
      <c r="I2976" s="82"/>
      <c r="J2976" s="82"/>
      <c r="K2976" s="82"/>
      <c r="L2976" s="82"/>
      <c r="M2976" s="82"/>
      <c r="N2976" s="82"/>
      <c r="O2976" s="82"/>
      <c r="P2976" s="82"/>
      <c r="Q2976" s="82"/>
      <c r="R2976" s="82"/>
      <c r="S2976" s="82"/>
      <c r="T2976" s="82"/>
      <c r="U2976" s="82"/>
      <c r="V2976" s="82"/>
      <c r="W2976" s="82"/>
      <c r="X2976" s="82"/>
      <c r="Y2976" s="82"/>
      <c r="Z2976" s="82"/>
    </row>
    <row r="2977" spans="1:26">
      <c r="A2977" s="81"/>
      <c r="F2977" s="81"/>
      <c r="G2977" s="82"/>
      <c r="H2977" s="82"/>
      <c r="I2977" s="82"/>
      <c r="J2977" s="82"/>
      <c r="K2977" s="82"/>
      <c r="L2977" s="82"/>
      <c r="M2977" s="82"/>
      <c r="N2977" s="82"/>
      <c r="O2977" s="82"/>
      <c r="P2977" s="82"/>
      <c r="Q2977" s="82"/>
      <c r="R2977" s="82"/>
      <c r="S2977" s="82"/>
      <c r="T2977" s="82"/>
      <c r="U2977" s="82"/>
      <c r="V2977" s="82"/>
      <c r="W2977" s="82"/>
      <c r="X2977" s="82"/>
      <c r="Y2977" s="82"/>
      <c r="Z2977" s="82"/>
    </row>
    <row r="2978" spans="1:26">
      <c r="A2978" s="81"/>
      <c r="F2978" s="81"/>
      <c r="G2978" s="82"/>
      <c r="H2978" s="82"/>
      <c r="I2978" s="82"/>
      <c r="J2978" s="82"/>
      <c r="K2978" s="82"/>
      <c r="L2978" s="82"/>
      <c r="M2978" s="82"/>
      <c r="N2978" s="82"/>
      <c r="O2978" s="82"/>
      <c r="P2978" s="82"/>
      <c r="Q2978" s="82"/>
      <c r="R2978" s="82"/>
      <c r="S2978" s="82"/>
      <c r="T2978" s="82"/>
      <c r="U2978" s="82"/>
      <c r="V2978" s="82"/>
      <c r="W2978" s="82"/>
      <c r="X2978" s="82"/>
      <c r="Y2978" s="82"/>
      <c r="Z2978" s="82"/>
    </row>
    <row r="2979" spans="1:26">
      <c r="A2979" s="81"/>
      <c r="F2979" s="81"/>
      <c r="G2979" s="82"/>
      <c r="H2979" s="82"/>
      <c r="I2979" s="82"/>
      <c r="J2979" s="82"/>
      <c r="K2979" s="82"/>
      <c r="L2979" s="82"/>
      <c r="M2979" s="82"/>
      <c r="N2979" s="82"/>
      <c r="O2979" s="82"/>
      <c r="P2979" s="82"/>
      <c r="Q2979" s="82"/>
      <c r="R2979" s="82"/>
      <c r="S2979" s="82"/>
      <c r="T2979" s="82"/>
      <c r="U2979" s="82"/>
      <c r="V2979" s="82"/>
      <c r="W2979" s="82"/>
      <c r="X2979" s="82"/>
      <c r="Y2979" s="82"/>
      <c r="Z2979" s="82"/>
    </row>
    <row r="2980" spans="1:26">
      <c r="A2980" s="81"/>
      <c r="F2980" s="81"/>
      <c r="G2980" s="82"/>
      <c r="H2980" s="82"/>
      <c r="I2980" s="82"/>
      <c r="J2980" s="82"/>
      <c r="K2980" s="82"/>
      <c r="L2980" s="82"/>
      <c r="M2980" s="82"/>
      <c r="N2980" s="82"/>
      <c r="O2980" s="82"/>
      <c r="P2980" s="82"/>
      <c r="Q2980" s="82"/>
      <c r="R2980" s="82"/>
      <c r="S2980" s="82"/>
      <c r="T2980" s="82"/>
      <c r="U2980" s="82"/>
      <c r="V2980" s="82"/>
      <c r="W2980" s="82"/>
      <c r="X2980" s="82"/>
      <c r="Y2980" s="82"/>
      <c r="Z2980" s="82"/>
    </row>
    <row r="2981" spans="1:26">
      <c r="A2981" s="81"/>
      <c r="F2981" s="81"/>
      <c r="G2981" s="82"/>
      <c r="H2981" s="82"/>
      <c r="I2981" s="82"/>
      <c r="J2981" s="82"/>
      <c r="K2981" s="82"/>
      <c r="L2981" s="82"/>
      <c r="M2981" s="82"/>
      <c r="N2981" s="82"/>
      <c r="O2981" s="82"/>
      <c r="P2981" s="82"/>
      <c r="Q2981" s="82"/>
      <c r="R2981" s="82"/>
      <c r="S2981" s="82"/>
      <c r="T2981" s="82"/>
      <c r="U2981" s="82"/>
      <c r="V2981" s="82"/>
      <c r="W2981" s="82"/>
      <c r="X2981" s="82"/>
      <c r="Y2981" s="82"/>
      <c r="Z2981" s="82"/>
    </row>
    <row r="2982" spans="1:26">
      <c r="A2982" s="81"/>
      <c r="F2982" s="81"/>
      <c r="G2982" s="82"/>
      <c r="H2982" s="82"/>
      <c r="I2982" s="82"/>
      <c r="J2982" s="82"/>
      <c r="K2982" s="82"/>
      <c r="L2982" s="82"/>
      <c r="M2982" s="82"/>
      <c r="N2982" s="82"/>
      <c r="O2982" s="82"/>
      <c r="P2982" s="82"/>
      <c r="Q2982" s="82"/>
      <c r="R2982" s="82"/>
      <c r="S2982" s="82"/>
      <c r="T2982" s="82"/>
      <c r="U2982" s="82"/>
      <c r="V2982" s="82"/>
      <c r="W2982" s="82"/>
      <c r="X2982" s="82"/>
      <c r="Y2982" s="82"/>
      <c r="Z2982" s="82"/>
    </row>
    <row r="2983" spans="1:26">
      <c r="A2983" s="81"/>
      <c r="F2983" s="81"/>
      <c r="G2983" s="82"/>
      <c r="H2983" s="82"/>
      <c r="I2983" s="82"/>
      <c r="J2983" s="82"/>
      <c r="K2983" s="82"/>
      <c r="L2983" s="82"/>
      <c r="M2983" s="82"/>
      <c r="N2983" s="82"/>
      <c r="O2983" s="82"/>
      <c r="P2983" s="82"/>
      <c r="Q2983" s="82"/>
      <c r="R2983" s="82"/>
      <c r="S2983" s="82"/>
      <c r="T2983" s="82"/>
      <c r="U2983" s="82"/>
      <c r="V2983" s="82"/>
      <c r="W2983" s="82"/>
      <c r="X2983" s="82"/>
      <c r="Y2983" s="82"/>
      <c r="Z2983" s="82"/>
    </row>
    <row r="2984" spans="1:26">
      <c r="A2984" s="81"/>
      <c r="F2984" s="81"/>
      <c r="G2984" s="82"/>
      <c r="H2984" s="82"/>
      <c r="I2984" s="82"/>
      <c r="J2984" s="82"/>
      <c r="K2984" s="82"/>
      <c r="L2984" s="82"/>
      <c r="M2984" s="82"/>
      <c r="N2984" s="82"/>
      <c r="O2984" s="82"/>
      <c r="P2984" s="82"/>
      <c r="Q2984" s="82"/>
      <c r="R2984" s="82"/>
      <c r="S2984" s="82"/>
      <c r="T2984" s="82"/>
      <c r="U2984" s="82"/>
      <c r="V2984" s="82"/>
      <c r="W2984" s="82"/>
      <c r="X2984" s="82"/>
      <c r="Y2984" s="82"/>
      <c r="Z2984" s="82"/>
    </row>
    <row r="2985" spans="1:26">
      <c r="A2985" s="81"/>
      <c r="F2985" s="81"/>
      <c r="G2985" s="82"/>
      <c r="H2985" s="82"/>
      <c r="I2985" s="82"/>
      <c r="J2985" s="82"/>
      <c r="K2985" s="82"/>
      <c r="L2985" s="82"/>
      <c r="M2985" s="82"/>
      <c r="N2985" s="82"/>
      <c r="O2985" s="82"/>
      <c r="P2985" s="82"/>
      <c r="Q2985" s="82"/>
      <c r="R2985" s="82"/>
      <c r="S2985" s="82"/>
      <c r="T2985" s="82"/>
      <c r="U2985" s="82"/>
      <c r="V2985" s="82"/>
      <c r="W2985" s="82"/>
      <c r="X2985" s="82"/>
      <c r="Y2985" s="82"/>
      <c r="Z2985" s="82"/>
    </row>
    <row r="2986" spans="1:26">
      <c r="A2986" s="81"/>
      <c r="F2986" s="81"/>
      <c r="G2986" s="82"/>
      <c r="H2986" s="82"/>
      <c r="I2986" s="82"/>
      <c r="J2986" s="82"/>
      <c r="K2986" s="82"/>
      <c r="L2986" s="82"/>
      <c r="M2986" s="82"/>
      <c r="N2986" s="82"/>
      <c r="O2986" s="82"/>
      <c r="P2986" s="82"/>
      <c r="Q2986" s="82"/>
      <c r="R2986" s="82"/>
      <c r="S2986" s="82"/>
      <c r="T2986" s="82"/>
      <c r="U2986" s="82"/>
      <c r="V2986" s="82"/>
      <c r="W2986" s="82"/>
      <c r="X2986" s="82"/>
      <c r="Y2986" s="82"/>
      <c r="Z2986" s="82"/>
    </row>
    <row r="2987" spans="1:26">
      <c r="A2987" s="81"/>
      <c r="F2987" s="81"/>
      <c r="G2987" s="82"/>
      <c r="H2987" s="82"/>
      <c r="I2987" s="82"/>
      <c r="J2987" s="82"/>
      <c r="K2987" s="82"/>
      <c r="L2987" s="82"/>
      <c r="M2987" s="82"/>
      <c r="N2987" s="82"/>
      <c r="O2987" s="82"/>
      <c r="P2987" s="82"/>
      <c r="Q2987" s="82"/>
      <c r="R2987" s="82"/>
      <c r="S2987" s="82"/>
      <c r="T2987" s="82"/>
      <c r="U2987" s="82"/>
      <c r="V2987" s="82"/>
      <c r="W2987" s="82"/>
      <c r="X2987" s="82"/>
      <c r="Y2987" s="82"/>
      <c r="Z2987" s="82"/>
    </row>
    <row r="2988" spans="1:26">
      <c r="A2988" s="81"/>
      <c r="F2988" s="81"/>
      <c r="G2988" s="82"/>
      <c r="H2988" s="82"/>
      <c r="I2988" s="82"/>
      <c r="J2988" s="82"/>
      <c r="K2988" s="82"/>
      <c r="L2988" s="82"/>
      <c r="M2988" s="82"/>
      <c r="N2988" s="82"/>
      <c r="O2988" s="82"/>
      <c r="P2988" s="82"/>
      <c r="Q2988" s="82"/>
      <c r="R2988" s="82"/>
      <c r="S2988" s="82"/>
      <c r="T2988" s="82"/>
      <c r="U2988" s="82"/>
      <c r="V2988" s="82"/>
      <c r="W2988" s="82"/>
      <c r="X2988" s="82"/>
      <c r="Y2988" s="82"/>
      <c r="Z2988" s="82"/>
    </row>
    <row r="2989" spans="1:26">
      <c r="A2989" s="81"/>
      <c r="F2989" s="81"/>
      <c r="G2989" s="82"/>
      <c r="H2989" s="82"/>
      <c r="I2989" s="82"/>
      <c r="J2989" s="82"/>
      <c r="K2989" s="82"/>
      <c r="L2989" s="82"/>
      <c r="M2989" s="82"/>
      <c r="N2989" s="82"/>
      <c r="O2989" s="82"/>
      <c r="P2989" s="82"/>
      <c r="Q2989" s="82"/>
      <c r="R2989" s="82"/>
      <c r="S2989" s="82"/>
      <c r="T2989" s="82"/>
      <c r="U2989" s="82"/>
      <c r="V2989" s="82"/>
      <c r="W2989" s="82"/>
      <c r="X2989" s="82"/>
      <c r="Y2989" s="82"/>
      <c r="Z2989" s="82"/>
    </row>
    <row r="2990" spans="1:26">
      <c r="A2990" s="81"/>
      <c r="F2990" s="81"/>
      <c r="G2990" s="82"/>
      <c r="H2990" s="82"/>
      <c r="I2990" s="82"/>
      <c r="J2990" s="82"/>
      <c r="K2990" s="82"/>
      <c r="L2990" s="82"/>
      <c r="M2990" s="82"/>
      <c r="N2990" s="82"/>
      <c r="O2990" s="82"/>
      <c r="P2990" s="82"/>
      <c r="Q2990" s="82"/>
      <c r="R2990" s="82"/>
      <c r="S2990" s="82"/>
      <c r="T2990" s="82"/>
      <c r="U2990" s="82"/>
      <c r="V2990" s="82"/>
      <c r="W2990" s="82"/>
      <c r="X2990" s="82"/>
      <c r="Y2990" s="82"/>
      <c r="Z2990" s="82"/>
    </row>
    <row r="2991" spans="1:26">
      <c r="A2991" s="81"/>
      <c r="F2991" s="81"/>
      <c r="G2991" s="82"/>
      <c r="H2991" s="82"/>
      <c r="I2991" s="82"/>
      <c r="J2991" s="82"/>
      <c r="K2991" s="82"/>
      <c r="L2991" s="82"/>
      <c r="M2991" s="82"/>
      <c r="N2991" s="82"/>
      <c r="O2991" s="82"/>
      <c r="P2991" s="82"/>
      <c r="Q2991" s="82"/>
      <c r="R2991" s="82"/>
      <c r="S2991" s="82"/>
      <c r="T2991" s="82"/>
      <c r="U2991" s="82"/>
      <c r="V2991" s="82"/>
      <c r="W2991" s="82"/>
      <c r="X2991" s="82"/>
      <c r="Y2991" s="82"/>
      <c r="Z2991" s="82"/>
    </row>
    <row r="2992" spans="1:26">
      <c r="A2992" s="81"/>
      <c r="F2992" s="81"/>
      <c r="G2992" s="82"/>
      <c r="H2992" s="82"/>
      <c r="I2992" s="82"/>
      <c r="J2992" s="82"/>
      <c r="K2992" s="82"/>
      <c r="L2992" s="82"/>
      <c r="M2992" s="82"/>
      <c r="N2992" s="82"/>
      <c r="O2992" s="82"/>
      <c r="P2992" s="82"/>
      <c r="Q2992" s="82"/>
      <c r="R2992" s="82"/>
      <c r="S2992" s="82"/>
      <c r="T2992" s="82"/>
      <c r="U2992" s="82"/>
      <c r="V2992" s="82"/>
      <c r="W2992" s="82"/>
      <c r="X2992" s="82"/>
      <c r="Y2992" s="82"/>
      <c r="Z2992" s="82"/>
    </row>
    <row r="2993" spans="1:26">
      <c r="A2993" s="81"/>
      <c r="F2993" s="81"/>
      <c r="G2993" s="82"/>
      <c r="H2993" s="82"/>
      <c r="I2993" s="82"/>
      <c r="J2993" s="82"/>
      <c r="K2993" s="82"/>
      <c r="L2993" s="82"/>
      <c r="M2993" s="82"/>
      <c r="N2993" s="82"/>
      <c r="O2993" s="82"/>
      <c r="P2993" s="82"/>
      <c r="Q2993" s="82"/>
      <c r="R2993" s="82"/>
      <c r="S2993" s="82"/>
      <c r="T2993" s="82"/>
      <c r="U2993" s="82"/>
      <c r="V2993" s="82"/>
      <c r="W2993" s="82"/>
      <c r="X2993" s="82"/>
      <c r="Y2993" s="82"/>
      <c r="Z2993" s="82"/>
    </row>
    <row r="2994" spans="1:26">
      <c r="A2994" s="81"/>
      <c r="F2994" s="81"/>
      <c r="G2994" s="82"/>
      <c r="H2994" s="82"/>
      <c r="I2994" s="82"/>
      <c r="J2994" s="82"/>
      <c r="K2994" s="82"/>
      <c r="L2994" s="82"/>
      <c r="M2994" s="82"/>
      <c r="N2994" s="82"/>
      <c r="O2994" s="82"/>
      <c r="P2994" s="82"/>
      <c r="Q2994" s="82"/>
      <c r="R2994" s="82"/>
      <c r="S2994" s="82"/>
      <c r="T2994" s="82"/>
      <c r="U2994" s="82"/>
      <c r="V2994" s="82"/>
      <c r="W2994" s="82"/>
      <c r="X2994" s="82"/>
      <c r="Y2994" s="82"/>
      <c r="Z2994" s="82"/>
    </row>
    <row r="2995" spans="1:26">
      <c r="A2995" s="81"/>
      <c r="F2995" s="81"/>
      <c r="G2995" s="82"/>
      <c r="H2995" s="82"/>
      <c r="I2995" s="82"/>
      <c r="J2995" s="82"/>
      <c r="K2995" s="82"/>
      <c r="L2995" s="82"/>
      <c r="M2995" s="82"/>
      <c r="N2995" s="82"/>
      <c r="O2995" s="82"/>
      <c r="P2995" s="82"/>
      <c r="Q2995" s="82"/>
      <c r="R2995" s="82"/>
      <c r="S2995" s="82"/>
      <c r="T2995" s="82"/>
      <c r="U2995" s="82"/>
      <c r="V2995" s="82"/>
      <c r="W2995" s="82"/>
      <c r="X2995" s="82"/>
      <c r="Y2995" s="82"/>
      <c r="Z2995" s="82"/>
    </row>
    <row r="2996" spans="1:26">
      <c r="A2996" s="81"/>
      <c r="F2996" s="81"/>
      <c r="G2996" s="82"/>
      <c r="H2996" s="82"/>
      <c r="I2996" s="82"/>
      <c r="J2996" s="82"/>
      <c r="K2996" s="82"/>
      <c r="L2996" s="82"/>
      <c r="M2996" s="82"/>
      <c r="N2996" s="82"/>
      <c r="O2996" s="82"/>
      <c r="P2996" s="82"/>
      <c r="Q2996" s="82"/>
      <c r="R2996" s="82"/>
      <c r="S2996" s="82"/>
      <c r="T2996" s="82"/>
      <c r="U2996" s="82"/>
      <c r="V2996" s="82"/>
      <c r="W2996" s="82"/>
      <c r="X2996" s="82"/>
      <c r="Y2996" s="82"/>
      <c r="Z2996" s="82"/>
    </row>
    <row r="2997" spans="1:26">
      <c r="A2997" s="81"/>
      <c r="F2997" s="81"/>
      <c r="G2997" s="82"/>
      <c r="H2997" s="82"/>
      <c r="I2997" s="82"/>
      <c r="J2997" s="82"/>
      <c r="K2997" s="82"/>
      <c r="L2997" s="82"/>
      <c r="M2997" s="82"/>
      <c r="N2997" s="82"/>
      <c r="O2997" s="82"/>
      <c r="P2997" s="82"/>
      <c r="Q2997" s="82"/>
      <c r="R2997" s="82"/>
      <c r="S2997" s="82"/>
      <c r="T2997" s="82"/>
      <c r="U2997" s="82"/>
      <c r="V2997" s="82"/>
      <c r="W2997" s="82"/>
      <c r="X2997" s="82"/>
      <c r="Y2997" s="82"/>
      <c r="Z2997" s="82"/>
    </row>
    <row r="2998" spans="1:26">
      <c r="A2998" s="81"/>
      <c r="F2998" s="81"/>
      <c r="G2998" s="82"/>
      <c r="H2998" s="82"/>
      <c r="I2998" s="82"/>
      <c r="J2998" s="82"/>
      <c r="K2998" s="82"/>
      <c r="L2998" s="82"/>
      <c r="M2998" s="82"/>
      <c r="N2998" s="82"/>
      <c r="O2998" s="82"/>
      <c r="P2998" s="82"/>
      <c r="Q2998" s="82"/>
      <c r="R2998" s="82"/>
      <c r="S2998" s="82"/>
      <c r="T2998" s="82"/>
      <c r="U2998" s="82"/>
      <c r="V2998" s="82"/>
      <c r="W2998" s="82"/>
      <c r="X2998" s="82"/>
      <c r="Y2998" s="82"/>
      <c r="Z2998" s="82"/>
    </row>
    <row r="2999" spans="1:26">
      <c r="A2999" s="81"/>
      <c r="F2999" s="81"/>
      <c r="G2999" s="82"/>
      <c r="H2999" s="82"/>
      <c r="I2999" s="82"/>
      <c r="J2999" s="82"/>
      <c r="K2999" s="82"/>
      <c r="L2999" s="82"/>
      <c r="M2999" s="82"/>
      <c r="N2999" s="82"/>
      <c r="O2999" s="82"/>
      <c r="P2999" s="82"/>
      <c r="Q2999" s="82"/>
      <c r="R2999" s="82"/>
      <c r="S2999" s="82"/>
      <c r="T2999" s="82"/>
      <c r="U2999" s="82"/>
      <c r="V2999" s="82"/>
      <c r="W2999" s="82"/>
      <c r="X2999" s="82"/>
      <c r="Y2999" s="82"/>
      <c r="Z2999" s="82"/>
    </row>
    <row r="3000" spans="1:26">
      <c r="A3000" s="81"/>
      <c r="F3000" s="81"/>
      <c r="G3000" s="82"/>
      <c r="H3000" s="82"/>
      <c r="I3000" s="82"/>
      <c r="J3000" s="82"/>
      <c r="K3000" s="82"/>
      <c r="L3000" s="82"/>
      <c r="M3000" s="82"/>
      <c r="N3000" s="82"/>
      <c r="O3000" s="82"/>
      <c r="P3000" s="82"/>
      <c r="Q3000" s="82"/>
      <c r="R3000" s="82"/>
      <c r="S3000" s="82"/>
      <c r="T3000" s="82"/>
      <c r="U3000" s="82"/>
      <c r="V3000" s="82"/>
      <c r="W3000" s="82"/>
      <c r="X3000" s="82"/>
      <c r="Y3000" s="82"/>
      <c r="Z3000" s="82"/>
    </row>
    <row r="3001" spans="1:26">
      <c r="A3001" s="81"/>
      <c r="F3001" s="81"/>
    </row>
    <row r="3002" spans="1:26">
      <c r="A3002" s="81"/>
      <c r="F3002" s="81"/>
    </row>
    <row r="3003" spans="1:26">
      <c r="A3003" s="81"/>
      <c r="F3003" s="81"/>
    </row>
    <row r="3004" spans="1:26">
      <c r="A3004" s="81"/>
      <c r="F3004" s="81"/>
    </row>
    <row r="3005" spans="1:26">
      <c r="A3005" s="81"/>
      <c r="F3005" s="81"/>
    </row>
    <row r="3006" spans="1:26">
      <c r="A3006" s="81"/>
      <c r="F3006" s="81"/>
    </row>
    <row r="3007" spans="1:26">
      <c r="A3007" s="81"/>
      <c r="F3007" s="81"/>
    </row>
    <row r="3008" spans="1:26">
      <c r="A3008" s="81"/>
      <c r="F3008" s="81"/>
    </row>
    <row r="3009" spans="1:6">
      <c r="A3009" s="81"/>
      <c r="F3009" s="81"/>
    </row>
    <row r="3010" spans="1:6">
      <c r="A3010" s="81"/>
      <c r="F3010" s="81"/>
    </row>
    <row r="3011" spans="1:6">
      <c r="A3011" s="81"/>
      <c r="F3011" s="81"/>
    </row>
    <row r="3012" spans="1:6">
      <c r="A3012" s="81"/>
      <c r="F3012" s="81"/>
    </row>
    <row r="3013" spans="1:6">
      <c r="A3013" s="81"/>
      <c r="F3013" s="81"/>
    </row>
    <row r="3014" spans="1:6">
      <c r="A3014" s="81"/>
      <c r="F3014" s="81"/>
    </row>
    <row r="3015" spans="1:6">
      <c r="A3015" s="81"/>
      <c r="F3015" s="81"/>
    </row>
    <row r="3016" spans="1:6">
      <c r="A3016" s="81"/>
      <c r="F3016" s="81"/>
    </row>
    <row r="3017" spans="1:6">
      <c r="A3017" s="81"/>
      <c r="F3017" s="81"/>
    </row>
    <row r="3018" spans="1:6">
      <c r="A3018" s="81"/>
      <c r="F3018" s="81"/>
    </row>
    <row r="3019" spans="1:6">
      <c r="A3019" s="81"/>
      <c r="F3019" s="81"/>
    </row>
    <row r="3020" spans="1:6">
      <c r="A3020" s="81"/>
      <c r="F3020" s="81"/>
    </row>
    <row r="3021" spans="1:6">
      <c r="A3021" s="81"/>
      <c r="F3021" s="81"/>
    </row>
    <row r="3022" spans="1:6">
      <c r="A3022" s="81"/>
      <c r="F3022" s="81"/>
    </row>
    <row r="3023" spans="1:6">
      <c r="A3023" s="81"/>
      <c r="F3023" s="81"/>
    </row>
    <row r="3024" spans="1:6">
      <c r="A3024" s="81"/>
      <c r="F3024" s="81"/>
    </row>
    <row r="3025" spans="1:6">
      <c r="A3025" s="81"/>
      <c r="F3025" s="81"/>
    </row>
    <row r="3026" spans="1:6">
      <c r="A3026" s="81"/>
      <c r="F3026" s="81"/>
    </row>
    <row r="3027" spans="1:6">
      <c r="A3027" s="81"/>
      <c r="F3027" s="81"/>
    </row>
    <row r="3028" spans="1:6">
      <c r="A3028" s="81"/>
      <c r="F3028" s="81"/>
    </row>
    <row r="3029" spans="1:6">
      <c r="A3029" s="81"/>
      <c r="F3029" s="81"/>
    </row>
    <row r="3030" spans="1:6">
      <c r="A3030" s="81"/>
      <c r="F3030" s="81"/>
    </row>
    <row r="3031" spans="1:6">
      <c r="A3031" s="81"/>
      <c r="F3031" s="81"/>
    </row>
    <row r="3032" spans="1:6">
      <c r="A3032" s="81"/>
      <c r="F3032" s="81"/>
    </row>
    <row r="3033" spans="1:6">
      <c r="A3033" s="81"/>
      <c r="F3033" s="81"/>
    </row>
    <row r="3034" spans="1:6">
      <c r="A3034" s="81"/>
      <c r="F3034" s="81"/>
    </row>
    <row r="3035" spans="1:6">
      <c r="A3035" s="81"/>
      <c r="F3035" s="81"/>
    </row>
    <row r="3036" spans="1:6">
      <c r="A3036" s="81"/>
      <c r="F3036" s="81"/>
    </row>
    <row r="3037" spans="1:6">
      <c r="A3037" s="81"/>
      <c r="F3037" s="81"/>
    </row>
    <row r="3038" spans="1:6">
      <c r="A3038" s="81"/>
      <c r="F3038" s="81"/>
    </row>
    <row r="3039" spans="1:6">
      <c r="A3039" s="81"/>
      <c r="F3039" s="81"/>
    </row>
    <row r="3040" spans="1:6">
      <c r="A3040" s="81"/>
      <c r="F3040" s="81"/>
    </row>
    <row r="3041" spans="1:6">
      <c r="A3041" s="81"/>
      <c r="F3041" s="81"/>
    </row>
    <row r="3042" spans="1:6">
      <c r="A3042" s="81"/>
      <c r="F3042" s="81"/>
    </row>
    <row r="3043" spans="1:6">
      <c r="A3043" s="81"/>
      <c r="F3043" s="81"/>
    </row>
    <row r="3044" spans="1:6">
      <c r="A3044" s="81"/>
      <c r="F3044" s="81"/>
    </row>
    <row r="3045" spans="1:6">
      <c r="A3045" s="81"/>
      <c r="F3045" s="81"/>
    </row>
    <row r="3046" spans="1:6">
      <c r="A3046" s="81"/>
      <c r="F3046" s="81"/>
    </row>
    <row r="3047" spans="1:6">
      <c r="A3047" s="81"/>
      <c r="F3047" s="81"/>
    </row>
    <row r="3048" spans="1:6">
      <c r="A3048" s="81"/>
      <c r="F3048" s="81"/>
    </row>
    <row r="3049" spans="1:6">
      <c r="A3049" s="81"/>
      <c r="F3049" s="81"/>
    </row>
    <row r="3050" spans="1:6">
      <c r="A3050" s="81"/>
      <c r="F3050" s="81"/>
    </row>
    <row r="3051" spans="1:6">
      <c r="A3051" s="81"/>
      <c r="F3051" s="81"/>
    </row>
    <row r="3052" spans="1:6">
      <c r="A3052" s="81"/>
      <c r="F3052" s="81"/>
    </row>
    <row r="3053" spans="1:6">
      <c r="A3053" s="81"/>
      <c r="F3053" s="81"/>
    </row>
    <row r="3054" spans="1:6">
      <c r="A3054" s="81"/>
      <c r="F3054" s="81"/>
    </row>
    <row r="3055" spans="1:6">
      <c r="A3055" s="81"/>
      <c r="F3055" s="81"/>
    </row>
    <row r="3056" spans="1:6">
      <c r="A3056" s="81"/>
      <c r="F3056" s="81"/>
    </row>
    <row r="3057" spans="1:6">
      <c r="A3057" s="81"/>
      <c r="F3057" s="81"/>
    </row>
    <row r="3058" spans="1:6">
      <c r="A3058" s="81"/>
      <c r="F3058" s="81"/>
    </row>
    <row r="3059" spans="1:6">
      <c r="A3059" s="81"/>
      <c r="F3059" s="81"/>
    </row>
    <row r="3060" spans="1:6">
      <c r="A3060" s="81"/>
      <c r="F3060" s="81"/>
    </row>
    <row r="3061" spans="1:6">
      <c r="A3061" s="81"/>
      <c r="F3061" s="81"/>
    </row>
    <row r="3062" spans="1:6">
      <c r="A3062" s="81"/>
      <c r="F3062" s="81"/>
    </row>
    <row r="3063" spans="1:6">
      <c r="A3063" s="81"/>
      <c r="F3063" s="81"/>
    </row>
    <row r="3064" spans="1:6">
      <c r="A3064" s="81"/>
      <c r="F3064" s="81"/>
    </row>
    <row r="3065" spans="1:6">
      <c r="A3065" s="81"/>
      <c r="F3065" s="81"/>
    </row>
    <row r="3066" spans="1:6">
      <c r="A3066" s="81"/>
      <c r="F3066" s="81"/>
    </row>
    <row r="3067" spans="1:6">
      <c r="A3067" s="81"/>
      <c r="F3067" s="81"/>
    </row>
    <row r="3068" spans="1:6">
      <c r="A3068" s="81"/>
      <c r="F3068" s="81"/>
    </row>
    <row r="3069" spans="1:6">
      <c r="A3069" s="81"/>
      <c r="F3069" s="81"/>
    </row>
    <row r="3070" spans="1:6">
      <c r="A3070" s="81"/>
      <c r="F3070" s="81"/>
    </row>
    <row r="3071" spans="1:6">
      <c r="A3071" s="81"/>
      <c r="F3071" s="81"/>
    </row>
    <row r="3072" spans="1:6">
      <c r="A3072" s="81"/>
      <c r="F3072" s="81"/>
    </row>
    <row r="3073" spans="1:6">
      <c r="A3073" s="81"/>
      <c r="F3073" s="81"/>
    </row>
    <row r="3074" spans="1:6">
      <c r="A3074" s="81"/>
      <c r="F3074" s="81"/>
    </row>
    <row r="3075" spans="1:6">
      <c r="A3075" s="81"/>
      <c r="F3075" s="81"/>
    </row>
    <row r="3076" spans="1:6">
      <c r="A3076" s="81"/>
      <c r="F3076" s="81"/>
    </row>
    <row r="3077" spans="1:6">
      <c r="A3077" s="81"/>
      <c r="F3077" s="81"/>
    </row>
    <row r="3078" spans="1:6">
      <c r="A3078" s="81"/>
      <c r="F3078" s="81"/>
    </row>
    <row r="3079" spans="1:6">
      <c r="A3079" s="81"/>
      <c r="F3079" s="81"/>
    </row>
    <row r="3080" spans="1:6">
      <c r="A3080" s="81"/>
      <c r="F3080" s="81"/>
    </row>
    <row r="3081" spans="1:6">
      <c r="A3081" s="81"/>
      <c r="F3081" s="81"/>
    </row>
    <row r="3082" spans="1:6">
      <c r="A3082" s="81"/>
      <c r="F3082" s="81"/>
    </row>
    <row r="3083" spans="1:6">
      <c r="A3083" s="81"/>
      <c r="F3083" s="81"/>
    </row>
    <row r="3084" spans="1:6">
      <c r="A3084" s="81"/>
      <c r="F3084" s="81"/>
    </row>
    <row r="3085" spans="1:6">
      <c r="A3085" s="81"/>
      <c r="F3085" s="81"/>
    </row>
    <row r="3086" spans="1:6">
      <c r="A3086" s="81"/>
      <c r="F3086" s="81"/>
    </row>
    <row r="3087" spans="1:6">
      <c r="A3087" s="81"/>
      <c r="F3087" s="81"/>
    </row>
    <row r="3088" spans="1:6">
      <c r="A3088" s="81"/>
      <c r="F3088" s="81"/>
    </row>
    <row r="3089" spans="1:6">
      <c r="A3089" s="81"/>
      <c r="F3089" s="81"/>
    </row>
    <row r="3090" spans="1:6">
      <c r="A3090" s="81"/>
      <c r="F3090" s="81"/>
    </row>
    <row r="3091" spans="1:6">
      <c r="A3091" s="81"/>
      <c r="F3091" s="81"/>
    </row>
    <row r="3092" spans="1:6">
      <c r="A3092" s="81"/>
      <c r="F3092" s="81"/>
    </row>
    <row r="3093" spans="1:6">
      <c r="A3093" s="81"/>
      <c r="F3093" s="81"/>
    </row>
    <row r="3094" spans="1:6">
      <c r="A3094" s="81"/>
      <c r="F3094" s="81"/>
    </row>
    <row r="3095" spans="1:6">
      <c r="A3095" s="81"/>
      <c r="F3095" s="81"/>
    </row>
    <row r="3096" spans="1:6">
      <c r="A3096" s="81"/>
      <c r="F3096" s="81"/>
    </row>
    <row r="3097" spans="1:6">
      <c r="A3097" s="81"/>
      <c r="F3097" s="81"/>
    </row>
    <row r="3098" spans="1:6">
      <c r="A3098" s="81"/>
      <c r="F3098" s="81"/>
    </row>
    <row r="3099" spans="1:6">
      <c r="A3099" s="81"/>
      <c r="F3099" s="81"/>
    </row>
    <row r="3100" spans="1:6">
      <c r="A3100" s="81"/>
      <c r="F3100" s="81"/>
    </row>
    <row r="3101" spans="1:6">
      <c r="A3101" s="81"/>
      <c r="F3101" s="81"/>
    </row>
    <row r="3102" spans="1:6">
      <c r="A3102" s="81"/>
      <c r="F3102" s="81"/>
    </row>
    <row r="3103" spans="1:6">
      <c r="A3103" s="81"/>
      <c r="F3103" s="81"/>
    </row>
    <row r="3104" spans="1:6">
      <c r="A3104" s="81"/>
      <c r="F3104" s="81"/>
    </row>
    <row r="3105" spans="1:6">
      <c r="A3105" s="81"/>
      <c r="F3105" s="81"/>
    </row>
    <row r="3106" spans="1:6">
      <c r="A3106" s="81"/>
      <c r="F3106" s="81"/>
    </row>
    <row r="3107" spans="1:6">
      <c r="A3107" s="81"/>
      <c r="F3107" s="81"/>
    </row>
    <row r="3108" spans="1:6">
      <c r="A3108" s="81"/>
      <c r="F3108" s="81"/>
    </row>
    <row r="3109" spans="1:6">
      <c r="A3109" s="81"/>
      <c r="F3109" s="81"/>
    </row>
    <row r="3110" spans="1:6">
      <c r="A3110" s="81"/>
      <c r="F3110" s="81"/>
    </row>
    <row r="3111" spans="1:6">
      <c r="A3111" s="81"/>
      <c r="F3111" s="81"/>
    </row>
    <row r="3112" spans="1:6">
      <c r="A3112" s="81"/>
      <c r="F3112" s="81"/>
    </row>
    <row r="3113" spans="1:6">
      <c r="A3113" s="81"/>
      <c r="F3113" s="81"/>
    </row>
    <row r="3114" spans="1:6">
      <c r="A3114" s="81"/>
      <c r="F3114" s="81"/>
    </row>
    <row r="3115" spans="1:6">
      <c r="A3115" s="81"/>
      <c r="F3115" s="81"/>
    </row>
    <row r="3116" spans="1:6">
      <c r="A3116" s="81"/>
      <c r="F3116" s="81"/>
    </row>
    <row r="3117" spans="1:6">
      <c r="A3117" s="81"/>
      <c r="F3117" s="81"/>
    </row>
    <row r="3118" spans="1:6">
      <c r="A3118" s="81"/>
      <c r="F3118" s="81"/>
    </row>
    <row r="3119" spans="1:6">
      <c r="A3119" s="81"/>
      <c r="F3119" s="81"/>
    </row>
    <row r="3120" spans="1:6">
      <c r="A3120" s="81"/>
      <c r="F3120" s="81"/>
    </row>
    <row r="3121" spans="1:6">
      <c r="A3121" s="81"/>
      <c r="F3121" s="81"/>
    </row>
    <row r="3122" spans="1:6">
      <c r="A3122" s="81"/>
      <c r="F3122" s="81"/>
    </row>
    <row r="3123" spans="1:6">
      <c r="A3123" s="81"/>
      <c r="F3123" s="81"/>
    </row>
    <row r="3124" spans="1:6">
      <c r="A3124" s="81"/>
      <c r="F3124" s="81"/>
    </row>
    <row r="3125" spans="1:6">
      <c r="A3125" s="81"/>
      <c r="F3125" s="81"/>
    </row>
    <row r="3126" spans="1:6">
      <c r="A3126" s="81"/>
      <c r="F3126" s="81"/>
    </row>
    <row r="3127" spans="1:6">
      <c r="A3127" s="81"/>
      <c r="F3127" s="81"/>
    </row>
    <row r="3128" spans="1:6">
      <c r="A3128" s="81"/>
      <c r="F3128" s="81"/>
    </row>
    <row r="3129" spans="1:6">
      <c r="A3129" s="81"/>
      <c r="F3129" s="81"/>
    </row>
    <row r="3130" spans="1:6">
      <c r="A3130" s="81"/>
      <c r="F3130" s="81"/>
    </row>
    <row r="3131" spans="1:6">
      <c r="A3131" s="81"/>
      <c r="F3131" s="81"/>
    </row>
    <row r="3132" spans="1:6">
      <c r="A3132" s="81"/>
      <c r="F3132" s="81"/>
    </row>
    <row r="3133" spans="1:6">
      <c r="A3133" s="81"/>
      <c r="F3133" s="81"/>
    </row>
    <row r="3134" spans="1:6">
      <c r="A3134" s="81"/>
      <c r="F3134" s="81"/>
    </row>
    <row r="3135" spans="1:6">
      <c r="A3135" s="81"/>
      <c r="F3135" s="81"/>
    </row>
    <row r="3136" spans="1:6">
      <c r="A3136" s="81"/>
      <c r="F3136" s="81"/>
    </row>
    <row r="3137" spans="1:6">
      <c r="A3137" s="81"/>
      <c r="F3137" s="81"/>
    </row>
    <row r="3138" spans="1:6">
      <c r="A3138" s="81"/>
      <c r="F3138" s="81"/>
    </row>
    <row r="3139" spans="1:6">
      <c r="A3139" s="81"/>
      <c r="F3139" s="81"/>
    </row>
    <row r="3140" spans="1:6">
      <c r="A3140" s="81"/>
      <c r="F3140" s="81"/>
    </row>
    <row r="3141" spans="1:6">
      <c r="A3141" s="81"/>
      <c r="F3141" s="81"/>
    </row>
    <row r="3142" spans="1:6">
      <c r="A3142" s="81"/>
      <c r="F3142" s="81"/>
    </row>
    <row r="3143" spans="1:6">
      <c r="A3143" s="81"/>
      <c r="F3143" s="81"/>
    </row>
    <row r="3144" spans="1:6">
      <c r="A3144" s="81"/>
      <c r="F3144" s="81"/>
    </row>
    <row r="3145" spans="1:6">
      <c r="A3145" s="81"/>
      <c r="F3145" s="81"/>
    </row>
    <row r="3146" spans="1:6">
      <c r="A3146" s="81"/>
      <c r="F3146" s="81"/>
    </row>
    <row r="3147" spans="1:6">
      <c r="A3147" s="81"/>
      <c r="F3147" s="81"/>
    </row>
    <row r="3148" spans="1:6">
      <c r="A3148" s="81"/>
      <c r="F3148" s="81"/>
    </row>
    <row r="3149" spans="1:6">
      <c r="A3149" s="81"/>
      <c r="F3149" s="81"/>
    </row>
    <row r="3150" spans="1:6">
      <c r="A3150" s="81"/>
      <c r="F3150" s="81"/>
    </row>
    <row r="3151" spans="1:6">
      <c r="A3151" s="81"/>
      <c r="F3151" s="81"/>
    </row>
    <row r="3152" spans="1:6">
      <c r="A3152" s="81"/>
      <c r="F3152" s="81"/>
    </row>
    <row r="3153" spans="1:6">
      <c r="A3153" s="81"/>
      <c r="F3153" s="81"/>
    </row>
    <row r="3154" spans="1:6">
      <c r="A3154" s="81"/>
      <c r="F3154" s="81"/>
    </row>
    <row r="3155" spans="1:6">
      <c r="A3155" s="81"/>
      <c r="F3155" s="81"/>
    </row>
    <row r="3156" spans="1:6">
      <c r="A3156" s="81"/>
      <c r="F3156" s="81"/>
    </row>
    <row r="3157" spans="1:6">
      <c r="A3157" s="81"/>
      <c r="F3157" s="81"/>
    </row>
    <row r="3158" spans="1:6">
      <c r="A3158" s="81"/>
      <c r="F3158" s="81"/>
    </row>
    <row r="3159" spans="1:6">
      <c r="A3159" s="81"/>
      <c r="F3159" s="81"/>
    </row>
    <row r="3160" spans="1:6">
      <c r="A3160" s="81"/>
      <c r="F3160" s="81"/>
    </row>
    <row r="3161" spans="1:6">
      <c r="A3161" s="81"/>
      <c r="F3161" s="81"/>
    </row>
    <row r="3162" spans="1:6">
      <c r="A3162" s="81"/>
      <c r="F3162" s="81"/>
    </row>
    <row r="3163" spans="1:6">
      <c r="A3163" s="81"/>
      <c r="F3163" s="81"/>
    </row>
    <row r="3164" spans="1:6">
      <c r="A3164" s="81"/>
      <c r="F3164" s="81"/>
    </row>
    <row r="3165" spans="1:6">
      <c r="A3165" s="81"/>
      <c r="F3165" s="81"/>
    </row>
    <row r="3166" spans="1:6">
      <c r="A3166" s="81"/>
      <c r="F3166" s="81"/>
    </row>
    <row r="3167" spans="1:6">
      <c r="A3167" s="81"/>
      <c r="F3167" s="81"/>
    </row>
    <row r="3168" spans="1:6">
      <c r="A3168" s="81"/>
      <c r="F3168" s="81"/>
    </row>
    <row r="3169" spans="1:6">
      <c r="A3169" s="81"/>
      <c r="F3169" s="81"/>
    </row>
    <row r="3170" spans="1:6">
      <c r="A3170" s="81"/>
      <c r="F3170" s="81"/>
    </row>
    <row r="3171" spans="1:6">
      <c r="A3171" s="81"/>
      <c r="F3171" s="81"/>
    </row>
    <row r="3172" spans="1:6">
      <c r="A3172" s="81"/>
      <c r="F3172" s="81"/>
    </row>
    <row r="3173" spans="1:6">
      <c r="A3173" s="81"/>
      <c r="F3173" s="81"/>
    </row>
    <row r="3174" spans="1:6">
      <c r="A3174" s="81"/>
      <c r="F3174" s="81"/>
    </row>
    <row r="3175" spans="1:6">
      <c r="A3175" s="81"/>
      <c r="F3175" s="81"/>
    </row>
    <row r="3176" spans="1:6">
      <c r="A3176" s="81"/>
      <c r="F3176" s="81"/>
    </row>
    <row r="3177" spans="1:6">
      <c r="A3177" s="81"/>
      <c r="F3177" s="81"/>
    </row>
    <row r="3178" spans="1:6">
      <c r="A3178" s="81"/>
      <c r="F3178" s="81"/>
    </row>
    <row r="3179" spans="1:6">
      <c r="A3179" s="81"/>
      <c r="F3179" s="81"/>
    </row>
    <row r="3180" spans="1:6">
      <c r="A3180" s="81"/>
      <c r="F3180" s="81"/>
    </row>
    <row r="3181" spans="1:6">
      <c r="A3181" s="81"/>
      <c r="F3181" s="81"/>
    </row>
    <row r="3182" spans="1:6">
      <c r="A3182" s="81"/>
      <c r="F3182" s="81"/>
    </row>
    <row r="3183" spans="1:6">
      <c r="A3183" s="81"/>
      <c r="F3183" s="81"/>
    </row>
    <row r="3184" spans="1:6">
      <c r="A3184" s="81"/>
      <c r="F3184" s="81"/>
    </row>
    <row r="3185" spans="1:6">
      <c r="A3185" s="81"/>
      <c r="F3185" s="81"/>
    </row>
    <row r="3186" spans="1:6">
      <c r="A3186" s="81"/>
      <c r="F3186" s="81"/>
    </row>
    <row r="3187" spans="1:6">
      <c r="A3187" s="81"/>
      <c r="F3187" s="81"/>
    </row>
    <row r="3188" spans="1:6">
      <c r="A3188" s="81"/>
      <c r="F3188" s="81"/>
    </row>
    <row r="3189" spans="1:6">
      <c r="A3189" s="81"/>
      <c r="F3189" s="81"/>
    </row>
    <row r="3190" spans="1:6">
      <c r="A3190" s="81"/>
      <c r="F3190" s="81"/>
    </row>
    <row r="3191" spans="1:6">
      <c r="A3191" s="81"/>
      <c r="F3191" s="81"/>
    </row>
    <row r="3192" spans="1:6">
      <c r="A3192" s="81"/>
      <c r="F3192" s="81"/>
    </row>
    <row r="3193" spans="1:6">
      <c r="A3193" s="81"/>
      <c r="F3193" s="81"/>
    </row>
    <row r="3194" spans="1:6">
      <c r="A3194" s="81"/>
      <c r="F3194" s="81"/>
    </row>
    <row r="3195" spans="1:6">
      <c r="A3195" s="81"/>
      <c r="F3195" s="81"/>
    </row>
    <row r="3196" spans="1:6">
      <c r="A3196" s="81"/>
      <c r="F3196" s="81"/>
    </row>
    <row r="3197" spans="1:6">
      <c r="A3197" s="81"/>
      <c r="F3197" s="81"/>
    </row>
    <row r="3198" spans="1:6">
      <c r="A3198" s="81"/>
      <c r="F3198" s="81"/>
    </row>
    <row r="3199" spans="1:6">
      <c r="A3199" s="81"/>
      <c r="F3199" s="81"/>
    </row>
    <row r="3200" spans="1:6">
      <c r="A3200" s="81"/>
      <c r="F3200" s="81"/>
    </row>
    <row r="3201" spans="1:6">
      <c r="A3201" s="81"/>
      <c r="F3201" s="81"/>
    </row>
    <row r="3202" spans="1:6">
      <c r="A3202" s="81"/>
      <c r="F3202" s="81"/>
    </row>
    <row r="3203" spans="1:6">
      <c r="A3203" s="81"/>
      <c r="F3203" s="81"/>
    </row>
    <row r="3204" spans="1:6">
      <c r="A3204" s="81"/>
      <c r="F3204" s="81"/>
    </row>
    <row r="3205" spans="1:6">
      <c r="A3205" s="81"/>
      <c r="F3205" s="81"/>
    </row>
    <row r="3206" spans="1:6">
      <c r="A3206" s="81"/>
      <c r="F3206" s="81"/>
    </row>
    <row r="3207" spans="1:6">
      <c r="A3207" s="81"/>
      <c r="F3207" s="81"/>
    </row>
    <row r="3208" spans="1:6">
      <c r="A3208" s="81"/>
      <c r="F3208" s="81"/>
    </row>
    <row r="3209" spans="1:6">
      <c r="A3209" s="81"/>
      <c r="F3209" s="81"/>
    </row>
    <row r="3210" spans="1:6">
      <c r="A3210" s="81"/>
      <c r="F3210" s="81"/>
    </row>
    <row r="3211" spans="1:6">
      <c r="A3211" s="81"/>
      <c r="F3211" s="81"/>
    </row>
    <row r="3212" spans="1:6">
      <c r="A3212" s="81"/>
      <c r="F3212" s="81"/>
    </row>
    <row r="3213" spans="1:6">
      <c r="A3213" s="81"/>
      <c r="F3213" s="81"/>
    </row>
    <row r="3214" spans="1:6">
      <c r="A3214" s="81"/>
      <c r="F3214" s="81"/>
    </row>
    <row r="3215" spans="1:6">
      <c r="A3215" s="81"/>
      <c r="F3215" s="81"/>
    </row>
    <row r="3216" spans="1:6">
      <c r="A3216" s="81"/>
      <c r="F3216" s="81"/>
    </row>
    <row r="3217" spans="1:6">
      <c r="A3217" s="81"/>
      <c r="F3217" s="81"/>
    </row>
    <row r="3218" spans="1:6">
      <c r="A3218" s="81"/>
      <c r="F3218" s="81"/>
    </row>
    <row r="3219" spans="1:6">
      <c r="A3219" s="81"/>
      <c r="F3219" s="81"/>
    </row>
    <row r="3220" spans="1:6">
      <c r="A3220" s="81"/>
      <c r="F3220" s="81"/>
    </row>
    <row r="3221" spans="1:6">
      <c r="A3221" s="81"/>
      <c r="F3221" s="81"/>
    </row>
    <row r="3222" spans="1:6">
      <c r="A3222" s="81"/>
      <c r="F3222" s="81"/>
    </row>
    <row r="3223" spans="1:6">
      <c r="A3223" s="81"/>
      <c r="F3223" s="81"/>
    </row>
    <row r="3224" spans="1:6">
      <c r="A3224" s="81"/>
      <c r="F3224" s="81"/>
    </row>
    <row r="3225" spans="1:6">
      <c r="A3225" s="81"/>
      <c r="F3225" s="81"/>
    </row>
    <row r="3226" spans="1:6">
      <c r="A3226" s="81"/>
      <c r="F3226" s="81"/>
    </row>
    <row r="3227" spans="1:6">
      <c r="A3227" s="81"/>
      <c r="F3227" s="81"/>
    </row>
    <row r="3228" spans="1:6">
      <c r="A3228" s="81"/>
      <c r="F3228" s="81"/>
    </row>
    <row r="3229" spans="1:6">
      <c r="A3229" s="81"/>
      <c r="F3229" s="81"/>
    </row>
    <row r="3230" spans="1:6">
      <c r="A3230" s="81"/>
      <c r="F3230" s="81"/>
    </row>
    <row r="3231" spans="1:6">
      <c r="A3231" s="81"/>
      <c r="F3231" s="81"/>
    </row>
    <row r="3232" spans="1:6">
      <c r="A3232" s="81"/>
      <c r="F3232" s="81"/>
    </row>
    <row r="3233" spans="1:6">
      <c r="A3233" s="81"/>
      <c r="F3233" s="81"/>
    </row>
    <row r="3234" spans="1:6">
      <c r="A3234" s="81"/>
      <c r="F3234" s="81"/>
    </row>
    <row r="3235" spans="1:6">
      <c r="A3235" s="81"/>
      <c r="F3235" s="81"/>
    </row>
    <row r="3236" spans="1:6">
      <c r="A3236" s="81"/>
      <c r="F3236" s="81"/>
    </row>
    <row r="3237" spans="1:6">
      <c r="A3237" s="81"/>
      <c r="F3237" s="81"/>
    </row>
    <row r="3238" spans="1:6">
      <c r="A3238" s="81"/>
      <c r="F3238" s="81"/>
    </row>
    <row r="3239" spans="1:6">
      <c r="A3239" s="81"/>
      <c r="F3239" s="81"/>
    </row>
    <row r="3240" spans="1:6">
      <c r="A3240" s="81"/>
      <c r="F3240" s="81"/>
    </row>
    <row r="3241" spans="1:6">
      <c r="A3241" s="81"/>
      <c r="F3241" s="81"/>
    </row>
    <row r="3242" spans="1:6">
      <c r="A3242" s="81"/>
      <c r="F3242" s="81"/>
    </row>
    <row r="3243" spans="1:6">
      <c r="A3243" s="81"/>
      <c r="F3243" s="81"/>
    </row>
    <row r="3244" spans="1:6">
      <c r="A3244" s="81"/>
      <c r="F3244" s="81"/>
    </row>
    <row r="3245" spans="1:6">
      <c r="A3245" s="81"/>
      <c r="F3245" s="81"/>
    </row>
    <row r="3246" spans="1:6">
      <c r="A3246" s="81"/>
      <c r="F3246" s="81"/>
    </row>
    <row r="3247" spans="1:6">
      <c r="A3247" s="81"/>
      <c r="F3247" s="81"/>
    </row>
    <row r="3248" spans="1:6">
      <c r="A3248" s="81"/>
      <c r="F3248" s="81"/>
    </row>
    <row r="3249" spans="1:6">
      <c r="A3249" s="81"/>
      <c r="F3249" s="81"/>
    </row>
    <row r="3250" spans="1:6">
      <c r="A3250" s="81"/>
      <c r="F3250" s="81"/>
    </row>
    <row r="3251" spans="1:6">
      <c r="A3251" s="81"/>
      <c r="F3251" s="81"/>
    </row>
    <row r="3252" spans="1:6">
      <c r="A3252" s="81"/>
      <c r="F3252" s="81"/>
    </row>
    <row r="3253" spans="1:6">
      <c r="A3253" s="81"/>
      <c r="F3253" s="81"/>
    </row>
    <row r="3254" spans="1:6">
      <c r="A3254" s="81"/>
      <c r="F3254" s="81"/>
    </row>
    <row r="3255" spans="1:6">
      <c r="A3255" s="81"/>
      <c r="F3255" s="81"/>
    </row>
    <row r="3256" spans="1:6">
      <c r="A3256" s="81"/>
      <c r="F3256" s="81"/>
    </row>
    <row r="3257" spans="1:6">
      <c r="A3257" s="81"/>
      <c r="F3257" s="81"/>
    </row>
    <row r="3258" spans="1:6">
      <c r="A3258" s="81"/>
      <c r="F3258" s="81"/>
    </row>
    <row r="3259" spans="1:6">
      <c r="A3259" s="81"/>
      <c r="F3259" s="81"/>
    </row>
    <row r="3260" spans="1:6">
      <c r="A3260" s="81"/>
      <c r="F3260" s="81"/>
    </row>
    <row r="3261" spans="1:6">
      <c r="A3261" s="81"/>
      <c r="F3261" s="81"/>
    </row>
    <row r="3262" spans="1:6">
      <c r="A3262" s="81"/>
      <c r="F3262" s="81"/>
    </row>
    <row r="3263" spans="1:6">
      <c r="A3263" s="81"/>
      <c r="F3263" s="81"/>
    </row>
    <row r="3264" spans="1:6">
      <c r="A3264" s="81"/>
      <c r="F3264" s="81"/>
    </row>
    <row r="3265" spans="1:6">
      <c r="A3265" s="81"/>
      <c r="F3265" s="81"/>
    </row>
    <row r="3266" spans="1:6">
      <c r="A3266" s="81"/>
      <c r="F3266" s="81"/>
    </row>
    <row r="3267" spans="1:6">
      <c r="A3267" s="81"/>
      <c r="F3267" s="81"/>
    </row>
    <row r="3268" spans="1:6">
      <c r="A3268" s="81"/>
      <c r="F3268" s="81"/>
    </row>
    <row r="3269" spans="1:6">
      <c r="A3269" s="81"/>
      <c r="F3269" s="81"/>
    </row>
    <row r="3270" spans="1:6">
      <c r="A3270" s="81"/>
      <c r="F3270" s="81"/>
    </row>
    <row r="3271" spans="1:6">
      <c r="A3271" s="81"/>
      <c r="F3271" s="81"/>
    </row>
    <row r="3272" spans="1:6">
      <c r="A3272" s="81"/>
      <c r="F3272" s="81"/>
    </row>
    <row r="3273" spans="1:6">
      <c r="A3273" s="81"/>
      <c r="F3273" s="81"/>
    </row>
    <row r="3274" spans="1:6">
      <c r="A3274" s="81"/>
      <c r="F3274" s="81"/>
    </row>
    <row r="3275" spans="1:6">
      <c r="A3275" s="81"/>
      <c r="F3275" s="81"/>
    </row>
    <row r="3276" spans="1:6">
      <c r="A3276" s="81"/>
      <c r="F3276" s="81"/>
    </row>
    <row r="3277" spans="1:6">
      <c r="A3277" s="81"/>
      <c r="F3277" s="81"/>
    </row>
    <row r="3278" spans="1:6">
      <c r="A3278" s="81"/>
      <c r="F3278" s="81"/>
    </row>
    <row r="3279" spans="1:6">
      <c r="A3279" s="81"/>
      <c r="F3279" s="81"/>
    </row>
    <row r="3280" spans="1:6">
      <c r="A3280" s="81"/>
      <c r="F3280" s="81"/>
    </row>
    <row r="3281" spans="1:6">
      <c r="A3281" s="81"/>
      <c r="F3281" s="81"/>
    </row>
    <row r="3282" spans="1:6">
      <c r="A3282" s="81"/>
      <c r="F3282" s="81"/>
    </row>
    <row r="3283" spans="1:6">
      <c r="A3283" s="81"/>
      <c r="F3283" s="81"/>
    </row>
    <row r="3284" spans="1:6">
      <c r="A3284" s="81"/>
      <c r="F3284" s="81"/>
    </row>
    <row r="3285" spans="1:6">
      <c r="A3285" s="81"/>
      <c r="F3285" s="81"/>
    </row>
    <row r="3286" spans="1:6">
      <c r="A3286" s="81"/>
      <c r="F3286" s="81"/>
    </row>
    <row r="3287" spans="1:6">
      <c r="A3287" s="81"/>
      <c r="F3287" s="81"/>
    </row>
    <row r="3288" spans="1:6">
      <c r="A3288" s="81"/>
      <c r="F3288" s="81"/>
    </row>
    <row r="3289" spans="1:6">
      <c r="A3289" s="81"/>
      <c r="F3289" s="81"/>
    </row>
    <row r="3290" spans="1:6">
      <c r="A3290" s="81"/>
      <c r="F3290" s="81"/>
    </row>
    <row r="3291" spans="1:6">
      <c r="A3291" s="81"/>
      <c r="F3291" s="81"/>
    </row>
    <row r="3292" spans="1:6">
      <c r="A3292" s="81"/>
      <c r="F3292" s="81"/>
    </row>
    <row r="3293" spans="1:6">
      <c r="A3293" s="81"/>
      <c r="F3293" s="81"/>
    </row>
    <row r="3294" spans="1:6">
      <c r="A3294" s="81"/>
      <c r="F3294" s="81"/>
    </row>
    <row r="3295" spans="1:6">
      <c r="A3295" s="81"/>
      <c r="F3295" s="81"/>
    </row>
    <row r="3296" spans="1:6">
      <c r="A3296" s="81"/>
      <c r="F3296" s="81"/>
    </row>
    <row r="3297" spans="1:6">
      <c r="A3297" s="81"/>
      <c r="F3297" s="81"/>
    </row>
    <row r="3298" spans="1:6">
      <c r="A3298" s="81"/>
      <c r="F3298" s="81"/>
    </row>
    <row r="3299" spans="1:6">
      <c r="A3299" s="81"/>
      <c r="F3299" s="81"/>
    </row>
    <row r="3300" spans="1:6">
      <c r="A3300" s="81"/>
      <c r="F3300" s="81"/>
    </row>
    <row r="3301" spans="1:6">
      <c r="A3301" s="81"/>
      <c r="F3301" s="81"/>
    </row>
    <row r="3302" spans="1:6">
      <c r="A3302" s="81"/>
      <c r="F3302" s="81"/>
    </row>
    <row r="3303" spans="1:6">
      <c r="A3303" s="81"/>
      <c r="F3303" s="81"/>
    </row>
    <row r="3304" spans="1:6">
      <c r="A3304" s="81"/>
      <c r="F3304" s="81"/>
    </row>
    <row r="3305" spans="1:6">
      <c r="A3305" s="81"/>
      <c r="F3305" s="81"/>
    </row>
    <row r="3306" spans="1:6">
      <c r="A3306" s="81"/>
      <c r="F3306" s="81"/>
    </row>
    <row r="3307" spans="1:6">
      <c r="A3307" s="81"/>
      <c r="F3307" s="81"/>
    </row>
    <row r="3308" spans="1:6">
      <c r="A3308" s="81"/>
      <c r="F3308" s="81"/>
    </row>
    <row r="3309" spans="1:6">
      <c r="A3309" s="81"/>
      <c r="F3309" s="81"/>
    </row>
    <row r="3310" spans="1:6">
      <c r="A3310" s="81"/>
      <c r="F3310" s="81"/>
    </row>
    <row r="3311" spans="1:6">
      <c r="A3311" s="81"/>
      <c r="F3311" s="81"/>
    </row>
    <row r="3312" spans="1:6">
      <c r="A3312" s="81"/>
      <c r="F3312" s="81"/>
    </row>
    <row r="3313" spans="1:6">
      <c r="A3313" s="81"/>
      <c r="F3313" s="81"/>
    </row>
    <row r="3314" spans="1:6">
      <c r="A3314" s="81"/>
      <c r="F3314" s="81"/>
    </row>
    <row r="3315" spans="1:6">
      <c r="A3315" s="81"/>
      <c r="F3315" s="81"/>
    </row>
    <row r="3316" spans="1:6">
      <c r="A3316" s="81"/>
      <c r="F3316" s="81"/>
    </row>
    <row r="3317" spans="1:6">
      <c r="A3317" s="81"/>
      <c r="F3317" s="81"/>
    </row>
    <row r="3318" spans="1:6">
      <c r="A3318" s="81"/>
      <c r="F3318" s="81"/>
    </row>
    <row r="3319" spans="1:6">
      <c r="A3319" s="81"/>
      <c r="F3319" s="81"/>
    </row>
    <row r="3320" spans="1:6">
      <c r="A3320" s="81"/>
      <c r="F3320" s="81"/>
    </row>
    <row r="3321" spans="1:6">
      <c r="A3321" s="81"/>
      <c r="F3321" s="81"/>
    </row>
    <row r="3322" spans="1:6">
      <c r="A3322" s="81"/>
      <c r="F3322" s="81"/>
    </row>
    <row r="3323" spans="1:6">
      <c r="A3323" s="81"/>
      <c r="F3323" s="81"/>
    </row>
    <row r="3324" spans="1:6">
      <c r="A3324" s="81"/>
      <c r="F3324" s="81"/>
    </row>
    <row r="3325" spans="1:6">
      <c r="A3325" s="81"/>
      <c r="F3325" s="81"/>
    </row>
    <row r="3326" spans="1:6">
      <c r="A3326" s="81"/>
      <c r="F3326" s="81"/>
    </row>
    <row r="3327" spans="1:6">
      <c r="A3327" s="81"/>
      <c r="F3327" s="81"/>
    </row>
    <row r="3328" spans="1:6">
      <c r="A3328" s="81"/>
      <c r="F3328" s="81"/>
    </row>
    <row r="3329" spans="1:6">
      <c r="A3329" s="81"/>
      <c r="F3329" s="81"/>
    </row>
    <row r="3330" spans="1:6">
      <c r="A3330" s="81"/>
      <c r="F3330" s="81"/>
    </row>
    <row r="3331" spans="1:6">
      <c r="A3331" s="81"/>
      <c r="F3331" s="81"/>
    </row>
    <row r="3332" spans="1:6">
      <c r="A3332" s="81"/>
      <c r="F3332" s="81"/>
    </row>
    <row r="3333" spans="1:6">
      <c r="A3333" s="81"/>
      <c r="F3333" s="81"/>
    </row>
    <row r="3334" spans="1:6">
      <c r="A3334" s="81"/>
      <c r="F3334" s="81"/>
    </row>
    <row r="3335" spans="1:6">
      <c r="A3335" s="81"/>
      <c r="F3335" s="81"/>
    </row>
    <row r="3336" spans="1:6">
      <c r="A3336" s="81"/>
      <c r="F3336" s="81"/>
    </row>
    <row r="3337" spans="1:6">
      <c r="A3337" s="81"/>
      <c r="F3337" s="81"/>
    </row>
    <row r="3338" spans="1:6">
      <c r="A3338" s="81"/>
      <c r="F3338" s="81"/>
    </row>
    <row r="3339" spans="1:6">
      <c r="A3339" s="81"/>
      <c r="F3339" s="81"/>
    </row>
    <row r="3340" spans="1:6">
      <c r="A3340" s="81"/>
      <c r="F3340" s="81"/>
    </row>
    <row r="3341" spans="1:6">
      <c r="A3341" s="81"/>
      <c r="F3341" s="81"/>
    </row>
    <row r="3342" spans="1:6">
      <c r="A3342" s="81"/>
      <c r="F3342" s="81"/>
    </row>
    <row r="3343" spans="1:6">
      <c r="A3343" s="81"/>
      <c r="F3343" s="81"/>
    </row>
    <row r="3344" spans="1:6">
      <c r="A3344" s="81"/>
      <c r="F3344" s="81"/>
    </row>
    <row r="3345" spans="1:6">
      <c r="A3345" s="81"/>
      <c r="F3345" s="81"/>
    </row>
    <row r="3346" spans="1:6">
      <c r="A3346" s="81"/>
      <c r="F3346" s="81"/>
    </row>
    <row r="3347" spans="1:6">
      <c r="A3347" s="81"/>
      <c r="F3347" s="81"/>
    </row>
    <row r="3348" spans="1:6">
      <c r="A3348" s="81"/>
      <c r="F3348" s="81"/>
    </row>
    <row r="3349" spans="1:6">
      <c r="A3349" s="81"/>
      <c r="F3349" s="81"/>
    </row>
    <row r="3350" spans="1:6">
      <c r="A3350" s="81"/>
      <c r="F3350" s="81"/>
    </row>
    <row r="3351" spans="1:6">
      <c r="A3351" s="81"/>
      <c r="F3351" s="81"/>
    </row>
    <row r="3352" spans="1:6">
      <c r="A3352" s="81"/>
      <c r="F3352" s="81"/>
    </row>
    <row r="3353" spans="1:6">
      <c r="A3353" s="81"/>
      <c r="F3353" s="81"/>
    </row>
    <row r="3354" spans="1:6">
      <c r="A3354" s="81"/>
      <c r="F3354" s="81"/>
    </row>
    <row r="3355" spans="1:6">
      <c r="A3355" s="81"/>
      <c r="F3355" s="81"/>
    </row>
    <row r="3356" spans="1:6">
      <c r="A3356" s="81"/>
      <c r="F3356" s="81"/>
    </row>
    <row r="3357" spans="1:6">
      <c r="A3357" s="81"/>
      <c r="F3357" s="81"/>
    </row>
    <row r="3358" spans="1:6">
      <c r="A3358" s="81"/>
      <c r="F3358" s="81"/>
    </row>
    <row r="3359" spans="1:6">
      <c r="A3359" s="81"/>
      <c r="F3359" s="81"/>
    </row>
    <row r="3360" spans="1:6">
      <c r="A3360" s="81"/>
      <c r="F3360" s="81"/>
    </row>
    <row r="3361" spans="1:6">
      <c r="A3361" s="81"/>
      <c r="F3361" s="81"/>
    </row>
    <row r="3362" spans="1:6">
      <c r="A3362" s="81"/>
      <c r="F3362" s="81"/>
    </row>
    <row r="3363" spans="1:6">
      <c r="A3363" s="81"/>
      <c r="F3363" s="81"/>
    </row>
    <row r="3364" spans="1:6">
      <c r="A3364" s="81"/>
      <c r="F3364" s="81"/>
    </row>
    <row r="3365" spans="1:6">
      <c r="A3365" s="81"/>
      <c r="F3365" s="81"/>
    </row>
    <row r="3366" spans="1:6">
      <c r="A3366" s="81"/>
      <c r="F3366" s="81"/>
    </row>
    <row r="3367" spans="1:6">
      <c r="A3367" s="81"/>
      <c r="F3367" s="81"/>
    </row>
    <row r="3368" spans="1:6">
      <c r="A3368" s="81"/>
      <c r="F3368" s="81"/>
    </row>
    <row r="3369" spans="1:6">
      <c r="A3369" s="81"/>
      <c r="F3369" s="81"/>
    </row>
    <row r="3370" spans="1:6">
      <c r="A3370" s="81"/>
      <c r="F3370" s="81"/>
    </row>
    <row r="3371" spans="1:6">
      <c r="A3371" s="81"/>
      <c r="F3371" s="81"/>
    </row>
    <row r="3372" spans="1:6">
      <c r="A3372" s="81"/>
      <c r="F3372" s="81"/>
    </row>
    <row r="3373" spans="1:6">
      <c r="A3373" s="81"/>
      <c r="F3373" s="81"/>
    </row>
    <row r="3374" spans="1:6">
      <c r="A3374" s="81"/>
      <c r="F3374" s="81"/>
    </row>
    <row r="3375" spans="1:6">
      <c r="A3375" s="81"/>
      <c r="F3375" s="81"/>
    </row>
    <row r="3376" spans="1:6">
      <c r="A3376" s="81"/>
      <c r="F3376" s="81"/>
    </row>
    <row r="3377" spans="1:6">
      <c r="A3377" s="81"/>
      <c r="F3377" s="81"/>
    </row>
    <row r="3378" spans="1:6">
      <c r="A3378" s="81"/>
      <c r="F3378" s="81"/>
    </row>
    <row r="3379" spans="1:6">
      <c r="A3379" s="81"/>
      <c r="F3379" s="81"/>
    </row>
    <row r="3380" spans="1:6">
      <c r="A3380" s="81"/>
      <c r="F3380" s="81"/>
    </row>
    <row r="3381" spans="1:6">
      <c r="A3381" s="81"/>
      <c r="F3381" s="81"/>
    </row>
    <row r="3382" spans="1:6">
      <c r="A3382" s="81"/>
      <c r="F3382" s="81"/>
    </row>
    <row r="3383" spans="1:6">
      <c r="A3383" s="81"/>
      <c r="F3383" s="81"/>
    </row>
    <row r="3384" spans="1:6">
      <c r="A3384" s="81"/>
      <c r="F3384" s="81"/>
    </row>
    <row r="3385" spans="1:6">
      <c r="A3385" s="81"/>
      <c r="F3385" s="81"/>
    </row>
    <row r="3386" spans="1:6">
      <c r="A3386" s="81"/>
      <c r="F3386" s="81"/>
    </row>
    <row r="3387" spans="1:6">
      <c r="A3387" s="81"/>
      <c r="F3387" s="81"/>
    </row>
    <row r="3388" spans="1:6">
      <c r="A3388" s="81"/>
      <c r="F3388" s="81"/>
    </row>
    <row r="3389" spans="1:6">
      <c r="A3389" s="81"/>
      <c r="F3389" s="81"/>
    </row>
    <row r="3390" spans="1:6">
      <c r="A3390" s="81"/>
      <c r="F3390" s="81"/>
    </row>
    <row r="3391" spans="1:6">
      <c r="A3391" s="81"/>
      <c r="F3391" s="81"/>
    </row>
    <row r="3392" spans="1:6">
      <c r="A3392" s="81"/>
      <c r="F3392" s="81"/>
    </row>
    <row r="3393" spans="1:6">
      <c r="A3393" s="81"/>
      <c r="F3393" s="81"/>
    </row>
    <row r="3394" spans="1:6">
      <c r="A3394" s="81"/>
      <c r="F3394" s="81"/>
    </row>
    <row r="3395" spans="1:6">
      <c r="A3395" s="81"/>
      <c r="F3395" s="81"/>
    </row>
    <row r="3396" spans="1:6">
      <c r="A3396" s="81"/>
      <c r="F3396" s="81"/>
    </row>
    <row r="3397" spans="1:6">
      <c r="A3397" s="81"/>
      <c r="F3397" s="81"/>
    </row>
    <row r="3398" spans="1:6">
      <c r="A3398" s="81"/>
      <c r="F3398" s="81"/>
    </row>
    <row r="3399" spans="1:6">
      <c r="A3399" s="81"/>
      <c r="F3399" s="81"/>
    </row>
    <row r="3400" spans="1:6">
      <c r="A3400" s="81"/>
      <c r="F3400" s="81"/>
    </row>
    <row r="3401" spans="1:6">
      <c r="A3401" s="81"/>
      <c r="F3401" s="81"/>
    </row>
    <row r="3402" spans="1:6">
      <c r="A3402" s="81"/>
      <c r="F3402" s="81"/>
    </row>
    <row r="3403" spans="1:6">
      <c r="A3403" s="81"/>
      <c r="F3403" s="81"/>
    </row>
    <row r="3404" spans="1:6">
      <c r="A3404" s="81"/>
      <c r="F3404" s="81"/>
    </row>
    <row r="3405" spans="1:6">
      <c r="A3405" s="81"/>
      <c r="F3405" s="81"/>
    </row>
    <row r="3406" spans="1:6">
      <c r="A3406" s="81"/>
      <c r="F3406" s="81"/>
    </row>
    <row r="3407" spans="1:6">
      <c r="A3407" s="81"/>
      <c r="F3407" s="81"/>
    </row>
    <row r="3408" spans="1:6">
      <c r="A3408" s="81"/>
      <c r="F3408" s="81"/>
    </row>
    <row r="3409" spans="1:6">
      <c r="A3409" s="81"/>
      <c r="F3409" s="81"/>
    </row>
    <row r="3410" spans="1:6">
      <c r="A3410" s="81"/>
      <c r="F3410" s="81"/>
    </row>
    <row r="3411" spans="1:6">
      <c r="A3411" s="81"/>
      <c r="F3411" s="81"/>
    </row>
    <row r="3412" spans="1:6">
      <c r="A3412" s="81"/>
      <c r="F3412" s="81"/>
    </row>
    <row r="3413" spans="1:6">
      <c r="A3413" s="81"/>
      <c r="F3413" s="81"/>
    </row>
    <row r="3414" spans="1:6">
      <c r="A3414" s="81"/>
      <c r="F3414" s="81"/>
    </row>
    <row r="3415" spans="1:6">
      <c r="A3415" s="81"/>
      <c r="F3415" s="81"/>
    </row>
    <row r="3416" spans="1:6">
      <c r="A3416" s="81"/>
      <c r="F3416" s="81"/>
    </row>
    <row r="3417" spans="1:6">
      <c r="A3417" s="81"/>
      <c r="F3417" s="81"/>
    </row>
    <row r="3418" spans="1:6">
      <c r="A3418" s="81"/>
      <c r="F3418" s="81"/>
    </row>
    <row r="3419" spans="1:6">
      <c r="A3419" s="81"/>
      <c r="F3419" s="81"/>
    </row>
    <row r="3420" spans="1:6">
      <c r="A3420" s="81"/>
      <c r="F3420" s="81"/>
    </row>
    <row r="3421" spans="1:6">
      <c r="A3421" s="81"/>
      <c r="F3421" s="81"/>
    </row>
    <row r="3422" spans="1:6">
      <c r="A3422" s="81"/>
      <c r="F3422" s="81"/>
    </row>
    <row r="3423" spans="1:6">
      <c r="A3423" s="81"/>
      <c r="F3423" s="81"/>
    </row>
    <row r="3424" spans="1:6">
      <c r="A3424" s="81"/>
      <c r="F3424" s="81"/>
    </row>
    <row r="3425" spans="1:6">
      <c r="A3425" s="81"/>
      <c r="F3425" s="81"/>
    </row>
    <row r="3426" spans="1:6">
      <c r="A3426" s="81"/>
      <c r="F3426" s="81"/>
    </row>
    <row r="3427" spans="1:6">
      <c r="A3427" s="81"/>
      <c r="F3427" s="81"/>
    </row>
    <row r="3428" spans="1:6">
      <c r="A3428" s="81"/>
      <c r="F3428" s="81"/>
    </row>
    <row r="3429" spans="1:6">
      <c r="A3429" s="81"/>
      <c r="F3429" s="81"/>
    </row>
    <row r="3430" spans="1:6">
      <c r="A3430" s="81"/>
      <c r="F3430" s="81"/>
    </row>
    <row r="3431" spans="1:6">
      <c r="A3431" s="81"/>
      <c r="F3431" s="81"/>
    </row>
    <row r="3432" spans="1:6">
      <c r="A3432" s="81"/>
      <c r="F3432" s="81"/>
    </row>
    <row r="3433" spans="1:6">
      <c r="A3433" s="81"/>
      <c r="F3433" s="81"/>
    </row>
    <row r="3434" spans="1:6">
      <c r="A3434" s="81"/>
      <c r="F3434" s="81"/>
    </row>
    <row r="3435" spans="1:6">
      <c r="A3435" s="81"/>
      <c r="F3435" s="81"/>
    </row>
    <row r="3436" spans="1:6">
      <c r="A3436" s="81"/>
      <c r="F3436" s="81"/>
    </row>
    <row r="3437" spans="1:6">
      <c r="A3437" s="81"/>
      <c r="F3437" s="81"/>
    </row>
    <row r="3438" spans="1:6">
      <c r="A3438" s="81"/>
      <c r="F3438" s="81"/>
    </row>
    <row r="3439" spans="1:6">
      <c r="A3439" s="81"/>
      <c r="F3439" s="81"/>
    </row>
    <row r="3440" spans="1:6">
      <c r="A3440" s="81"/>
      <c r="F3440" s="81"/>
    </row>
    <row r="3441" spans="1:6">
      <c r="A3441" s="81"/>
      <c r="F3441" s="81"/>
    </row>
    <row r="3442" spans="1:6">
      <c r="A3442" s="81"/>
      <c r="F3442" s="81"/>
    </row>
    <row r="3443" spans="1:6">
      <c r="A3443" s="81"/>
      <c r="F3443" s="81"/>
    </row>
    <row r="3444" spans="1:6">
      <c r="A3444" s="81"/>
      <c r="F3444" s="81"/>
    </row>
    <row r="3445" spans="1:6">
      <c r="A3445" s="81"/>
      <c r="F3445" s="81"/>
    </row>
    <row r="3446" spans="1:6">
      <c r="A3446" s="81"/>
      <c r="F3446" s="81"/>
    </row>
    <row r="3447" spans="1:6">
      <c r="A3447" s="81"/>
      <c r="F3447" s="81"/>
    </row>
    <row r="3448" spans="1:6">
      <c r="A3448" s="81"/>
      <c r="F3448" s="81"/>
    </row>
    <row r="3449" spans="1:6">
      <c r="A3449" s="81"/>
      <c r="F3449" s="81"/>
    </row>
    <row r="3450" spans="1:6">
      <c r="A3450" s="81"/>
      <c r="F3450" s="81"/>
    </row>
    <row r="3451" spans="1:6">
      <c r="A3451" s="81"/>
      <c r="F3451" s="81"/>
    </row>
    <row r="3452" spans="1:6">
      <c r="A3452" s="81"/>
      <c r="F3452" s="81"/>
    </row>
    <row r="3453" spans="1:6">
      <c r="A3453" s="81"/>
      <c r="F3453" s="81"/>
    </row>
    <row r="3454" spans="1:6">
      <c r="A3454" s="81"/>
      <c r="F3454" s="81"/>
    </row>
    <row r="3455" spans="1:6">
      <c r="A3455" s="81"/>
      <c r="F3455" s="81"/>
    </row>
    <row r="3456" spans="1:6">
      <c r="A3456" s="81"/>
      <c r="F3456" s="81"/>
    </row>
    <row r="3457" spans="1:6">
      <c r="A3457" s="81"/>
      <c r="F3457" s="81"/>
    </row>
    <row r="3458" spans="1:6">
      <c r="A3458" s="81"/>
      <c r="F3458" s="81"/>
    </row>
    <row r="3459" spans="1:6">
      <c r="A3459" s="81"/>
      <c r="F3459" s="81"/>
    </row>
    <row r="3460" spans="1:6">
      <c r="A3460" s="81"/>
      <c r="F3460" s="81"/>
    </row>
    <row r="3461" spans="1:6">
      <c r="A3461" s="81"/>
      <c r="F3461" s="81"/>
    </row>
    <row r="3462" spans="1:6">
      <c r="A3462" s="81"/>
      <c r="F3462" s="81"/>
    </row>
    <row r="3463" spans="1:6">
      <c r="A3463" s="81"/>
      <c r="F3463" s="81"/>
    </row>
    <row r="3464" spans="1:6">
      <c r="A3464" s="81"/>
      <c r="F3464" s="81"/>
    </row>
    <row r="3465" spans="1:6">
      <c r="A3465" s="81"/>
      <c r="F3465" s="81"/>
    </row>
    <row r="3466" spans="1:6">
      <c r="A3466" s="81"/>
      <c r="F3466" s="81"/>
    </row>
    <row r="3467" spans="1:6">
      <c r="A3467" s="81"/>
      <c r="F3467" s="81"/>
    </row>
    <row r="3468" spans="1:6">
      <c r="A3468" s="81"/>
      <c r="F3468" s="81"/>
    </row>
    <row r="3469" spans="1:6">
      <c r="A3469" s="81"/>
      <c r="F3469" s="81"/>
    </row>
    <row r="3470" spans="1:6">
      <c r="A3470" s="81"/>
      <c r="F3470" s="81"/>
    </row>
    <row r="3471" spans="1:6">
      <c r="A3471" s="81"/>
      <c r="F3471" s="81"/>
    </row>
    <row r="3472" spans="1:6">
      <c r="A3472" s="81"/>
      <c r="F3472" s="81"/>
    </row>
    <row r="3473" spans="1:6">
      <c r="A3473" s="81"/>
      <c r="F3473" s="81"/>
    </row>
    <row r="3474" spans="1:6">
      <c r="A3474" s="81"/>
      <c r="F3474" s="81"/>
    </row>
    <row r="3475" spans="1:6">
      <c r="A3475" s="81"/>
      <c r="F3475" s="81"/>
    </row>
    <row r="3476" spans="1:6">
      <c r="A3476" s="81"/>
      <c r="F3476" s="81"/>
    </row>
    <row r="3477" spans="1:6">
      <c r="A3477" s="81"/>
      <c r="F3477" s="81"/>
    </row>
    <row r="3478" spans="1:6">
      <c r="A3478" s="81"/>
      <c r="F3478" s="81"/>
    </row>
    <row r="3479" spans="1:6">
      <c r="A3479" s="81"/>
      <c r="F3479" s="81"/>
    </row>
    <row r="3480" spans="1:6">
      <c r="A3480" s="81"/>
      <c r="F3480" s="81"/>
    </row>
    <row r="3481" spans="1:6">
      <c r="A3481" s="81"/>
      <c r="F3481" s="81"/>
    </row>
    <row r="3482" spans="1:6">
      <c r="A3482" s="81"/>
      <c r="F3482" s="81"/>
    </row>
    <row r="3483" spans="1:6">
      <c r="A3483" s="81"/>
      <c r="F3483" s="81"/>
    </row>
    <row r="3484" spans="1:6">
      <c r="A3484" s="81"/>
      <c r="F3484" s="81"/>
    </row>
    <row r="3485" spans="1:6">
      <c r="A3485" s="81"/>
      <c r="F3485" s="81"/>
    </row>
    <row r="3486" spans="1:6">
      <c r="A3486" s="81"/>
      <c r="F3486" s="81"/>
    </row>
    <row r="3487" spans="1:6">
      <c r="A3487" s="81"/>
      <c r="F3487" s="81"/>
    </row>
    <row r="3488" spans="1:6">
      <c r="A3488" s="81"/>
      <c r="F3488" s="81"/>
    </row>
    <row r="3489" spans="1:6">
      <c r="A3489" s="81"/>
      <c r="F3489" s="81"/>
    </row>
    <row r="3490" spans="1:6">
      <c r="A3490" s="81"/>
      <c r="F3490" s="81"/>
    </row>
    <row r="3491" spans="1:6">
      <c r="A3491" s="81"/>
      <c r="F3491" s="81"/>
    </row>
    <row r="3492" spans="1:6">
      <c r="A3492" s="81"/>
      <c r="F3492" s="81"/>
    </row>
    <row r="3493" spans="1:6">
      <c r="A3493" s="81"/>
      <c r="F3493" s="81"/>
    </row>
    <row r="3494" spans="1:6">
      <c r="A3494" s="81"/>
      <c r="F3494" s="81"/>
    </row>
    <row r="3495" spans="1:6">
      <c r="A3495" s="81"/>
      <c r="F3495" s="81"/>
    </row>
    <row r="3496" spans="1:6">
      <c r="A3496" s="81"/>
      <c r="F3496" s="81"/>
    </row>
    <row r="3497" spans="1:6">
      <c r="A3497" s="81"/>
      <c r="F3497" s="81"/>
    </row>
    <row r="3498" spans="1:6">
      <c r="A3498" s="81"/>
      <c r="F3498" s="81"/>
    </row>
    <row r="3499" spans="1:6">
      <c r="A3499" s="81"/>
      <c r="F3499" s="81"/>
    </row>
    <row r="3500" spans="1:6">
      <c r="A3500" s="81"/>
      <c r="F3500" s="81"/>
    </row>
    <row r="3501" spans="1:6">
      <c r="A3501" s="81"/>
      <c r="F3501" s="81"/>
    </row>
    <row r="3502" spans="1:6">
      <c r="A3502" s="81"/>
      <c r="F3502" s="81"/>
    </row>
    <row r="3503" spans="1:6">
      <c r="A3503" s="81"/>
      <c r="F3503" s="81"/>
    </row>
    <row r="3504" spans="1:6">
      <c r="A3504" s="81"/>
      <c r="F3504" s="81"/>
    </row>
    <row r="3505" spans="1:6">
      <c r="A3505" s="81"/>
      <c r="F3505" s="81"/>
    </row>
    <row r="3506" spans="1:6">
      <c r="A3506" s="81"/>
      <c r="F3506" s="81"/>
    </row>
    <row r="3507" spans="1:6">
      <c r="A3507" s="81"/>
      <c r="F3507" s="81"/>
    </row>
    <row r="3508" spans="1:6">
      <c r="A3508" s="81"/>
      <c r="F3508" s="81"/>
    </row>
    <row r="3509" spans="1:6">
      <c r="A3509" s="81"/>
      <c r="F3509" s="81"/>
    </row>
    <row r="3510" spans="1:6">
      <c r="A3510" s="81"/>
      <c r="F3510" s="81"/>
    </row>
    <row r="3511" spans="1:6">
      <c r="A3511" s="81"/>
      <c r="F3511" s="81"/>
    </row>
    <row r="3512" spans="1:6">
      <c r="A3512" s="81"/>
      <c r="F3512" s="81"/>
    </row>
    <row r="3513" spans="1:6">
      <c r="A3513" s="81"/>
      <c r="F3513" s="81"/>
    </row>
    <row r="3514" spans="1:6">
      <c r="A3514" s="81"/>
      <c r="F3514" s="81"/>
    </row>
    <row r="3515" spans="1:6">
      <c r="A3515" s="81"/>
      <c r="F3515" s="81"/>
    </row>
    <row r="3516" spans="1:6">
      <c r="A3516" s="81"/>
      <c r="F3516" s="81"/>
    </row>
    <row r="3517" spans="1:6">
      <c r="A3517" s="81"/>
      <c r="F3517" s="81"/>
    </row>
    <row r="3518" spans="1:6">
      <c r="A3518" s="81"/>
      <c r="F3518" s="81"/>
    </row>
    <row r="3519" spans="1:6">
      <c r="A3519" s="81"/>
      <c r="F3519" s="81"/>
    </row>
    <row r="3520" spans="1:6">
      <c r="A3520" s="81"/>
      <c r="F3520" s="81"/>
    </row>
    <row r="3521" spans="1:6">
      <c r="A3521" s="81"/>
      <c r="F3521" s="81"/>
    </row>
    <row r="3522" spans="1:6">
      <c r="A3522" s="81"/>
      <c r="F3522" s="81"/>
    </row>
    <row r="3523" spans="1:6">
      <c r="A3523" s="81"/>
      <c r="F3523" s="81"/>
    </row>
    <row r="3524" spans="1:6">
      <c r="A3524" s="81"/>
      <c r="F3524" s="81"/>
    </row>
    <row r="3525" spans="1:6">
      <c r="A3525" s="81"/>
      <c r="F3525" s="81"/>
    </row>
    <row r="3526" spans="1:6">
      <c r="A3526" s="81"/>
      <c r="F3526" s="81"/>
    </row>
    <row r="3527" spans="1:6">
      <c r="A3527" s="81"/>
      <c r="F3527" s="81"/>
    </row>
    <row r="3528" spans="1:6">
      <c r="A3528" s="81"/>
      <c r="F3528" s="81"/>
    </row>
    <row r="3529" spans="1:6">
      <c r="A3529" s="81"/>
      <c r="F3529" s="81"/>
    </row>
    <row r="3530" spans="1:6">
      <c r="A3530" s="81"/>
      <c r="F3530" s="81"/>
    </row>
    <row r="3531" spans="1:6">
      <c r="A3531" s="81"/>
      <c r="F3531" s="81"/>
    </row>
    <row r="3532" spans="1:6">
      <c r="A3532" s="81"/>
      <c r="F3532" s="81"/>
    </row>
    <row r="3533" spans="1:6">
      <c r="A3533" s="81"/>
      <c r="F3533" s="81"/>
    </row>
    <row r="3534" spans="1:6">
      <c r="A3534" s="81"/>
      <c r="F3534" s="81"/>
    </row>
    <row r="3535" spans="1:6">
      <c r="A3535" s="81"/>
      <c r="F3535" s="81"/>
    </row>
    <row r="3536" spans="1:6">
      <c r="A3536" s="81"/>
      <c r="F3536" s="81"/>
    </row>
    <row r="3537" spans="1:6">
      <c r="A3537" s="81"/>
      <c r="F3537" s="81"/>
    </row>
    <row r="3538" spans="1:6">
      <c r="A3538" s="81"/>
      <c r="F3538" s="81"/>
    </row>
    <row r="3539" spans="1:6">
      <c r="A3539" s="81"/>
      <c r="F3539" s="81"/>
    </row>
    <row r="3540" spans="1:6">
      <c r="A3540" s="81"/>
      <c r="F3540" s="81"/>
    </row>
    <row r="3541" spans="1:6">
      <c r="A3541" s="81"/>
      <c r="F3541" s="81"/>
    </row>
    <row r="3542" spans="1:6">
      <c r="A3542" s="81"/>
      <c r="F3542" s="81"/>
    </row>
    <row r="3543" spans="1:6">
      <c r="A3543" s="81"/>
      <c r="F3543" s="81"/>
    </row>
    <row r="3544" spans="1:6">
      <c r="A3544" s="81"/>
      <c r="F3544" s="81"/>
    </row>
    <row r="3545" spans="1:6">
      <c r="A3545" s="81"/>
      <c r="F3545" s="81"/>
    </row>
    <row r="3546" spans="1:6">
      <c r="A3546" s="81"/>
      <c r="F3546" s="81"/>
    </row>
    <row r="3547" spans="1:6">
      <c r="A3547" s="81"/>
      <c r="F3547" s="81"/>
    </row>
    <row r="3548" spans="1:6">
      <c r="A3548" s="81"/>
      <c r="F3548" s="81"/>
    </row>
    <row r="3549" spans="1:6">
      <c r="A3549" s="81"/>
      <c r="F3549" s="81"/>
    </row>
    <row r="3550" spans="1:6">
      <c r="A3550" s="81"/>
      <c r="F3550" s="81"/>
    </row>
    <row r="3551" spans="1:6">
      <c r="A3551" s="81"/>
      <c r="F3551" s="81"/>
    </row>
    <row r="3552" spans="1:6">
      <c r="A3552" s="81"/>
      <c r="F3552" s="81"/>
    </row>
    <row r="3553" spans="1:6">
      <c r="A3553" s="81"/>
      <c r="F3553" s="81"/>
    </row>
    <row r="3554" spans="1:6">
      <c r="A3554" s="81"/>
      <c r="F3554" s="81"/>
    </row>
    <row r="3555" spans="1:6">
      <c r="A3555" s="81"/>
      <c r="F3555" s="81"/>
    </row>
    <row r="3556" spans="1:6">
      <c r="A3556" s="81"/>
      <c r="F3556" s="81"/>
    </row>
    <row r="3557" spans="1:6">
      <c r="A3557" s="81"/>
    </row>
    <row r="3558" spans="1:6">
      <c r="A3558" s="81"/>
    </row>
    <row r="3559" spans="1:6">
      <c r="A3559" s="81"/>
    </row>
    <row r="3560" spans="1:6">
      <c r="A3560" s="81"/>
    </row>
    <row r="3561" spans="1:6">
      <c r="A3561" s="81"/>
    </row>
    <row r="3562" spans="1:6">
      <c r="A3562" s="81"/>
    </row>
    <row r="3563" spans="1:6">
      <c r="A3563" s="81"/>
    </row>
    <row r="3564" spans="1:6">
      <c r="A3564" s="81"/>
    </row>
    <row r="3565" spans="1:6">
      <c r="A3565" s="81"/>
    </row>
    <row r="3566" spans="1:6">
      <c r="A3566" s="81"/>
    </row>
    <row r="3567" spans="1:6">
      <c r="A3567" s="81"/>
    </row>
    <row r="3568" spans="1:6">
      <c r="A3568" s="81"/>
    </row>
    <row r="3569" spans="1:1">
      <c r="A3569" s="81"/>
    </row>
    <row r="3570" spans="1:1">
      <c r="A3570" s="81"/>
    </row>
    <row r="3571" spans="1:1">
      <c r="A3571" s="81"/>
    </row>
    <row r="3572" spans="1:1">
      <c r="A3572" s="81"/>
    </row>
    <row r="3573" spans="1:1">
      <c r="A3573" s="81"/>
    </row>
    <row r="3574" spans="1:1">
      <c r="A3574" s="81"/>
    </row>
    <row r="3575" spans="1:1">
      <c r="A3575" s="81"/>
    </row>
    <row r="3576" spans="1:1">
      <c r="A3576" s="81"/>
    </row>
    <row r="3577" spans="1:1">
      <c r="A3577" s="81"/>
    </row>
    <row r="3578" spans="1:1">
      <c r="A3578" s="81"/>
    </row>
    <row r="3579" spans="1:1">
      <c r="A3579" s="81"/>
    </row>
    <row r="3580" spans="1:1">
      <c r="A3580" s="81"/>
    </row>
    <row r="3581" spans="1:1">
      <c r="A3581" s="81"/>
    </row>
    <row r="3582" spans="1:1">
      <c r="A3582" s="81"/>
    </row>
    <row r="3583" spans="1:1">
      <c r="A3583" s="81"/>
    </row>
    <row r="3584" spans="1:1">
      <c r="A3584" s="81"/>
    </row>
    <row r="3585" spans="1:1">
      <c r="A3585" s="81"/>
    </row>
    <row r="3586" spans="1:1">
      <c r="A3586" s="81"/>
    </row>
    <row r="3587" spans="1:1">
      <c r="A3587" s="81"/>
    </row>
    <row r="3588" spans="1:1">
      <c r="A3588" s="81"/>
    </row>
    <row r="3589" spans="1:1">
      <c r="A3589" s="81"/>
    </row>
    <row r="3590" spans="1:1">
      <c r="A3590" s="81"/>
    </row>
    <row r="3591" spans="1:1">
      <c r="A3591" s="81"/>
    </row>
    <row r="3592" spans="1:1">
      <c r="A3592" s="81"/>
    </row>
    <row r="3593" spans="1:1">
      <c r="A3593" s="81"/>
    </row>
    <row r="3594" spans="1:1">
      <c r="A3594" s="81"/>
    </row>
    <row r="3595" spans="1:1">
      <c r="A3595" s="81"/>
    </row>
    <row r="3596" spans="1:1">
      <c r="A3596" s="81"/>
    </row>
    <row r="3597" spans="1:1">
      <c r="A3597" s="81"/>
    </row>
    <row r="3598" spans="1:1">
      <c r="A3598" s="81"/>
    </row>
    <row r="3599" spans="1:1">
      <c r="A3599" s="81"/>
    </row>
    <row r="3600" spans="1:1">
      <c r="A3600" s="81"/>
    </row>
    <row r="3601" spans="1:1">
      <c r="A3601" s="81"/>
    </row>
    <row r="3602" spans="1:1">
      <c r="A3602" s="81"/>
    </row>
    <row r="3603" spans="1:1">
      <c r="A3603" s="81"/>
    </row>
    <row r="3604" spans="1:1">
      <c r="A3604" s="81"/>
    </row>
    <row r="3605" spans="1:1">
      <c r="A3605" s="81"/>
    </row>
    <row r="3606" spans="1:1">
      <c r="A3606" s="81"/>
    </row>
    <row r="3607" spans="1:1">
      <c r="A3607" s="81"/>
    </row>
    <row r="3608" spans="1:1">
      <c r="A3608" s="81"/>
    </row>
    <row r="3609" spans="1:1">
      <c r="A3609" s="81"/>
    </row>
    <row r="3610" spans="1:1">
      <c r="A3610" s="81"/>
    </row>
    <row r="3611" spans="1:1">
      <c r="A3611" s="81"/>
    </row>
    <row r="3612" spans="1:1">
      <c r="A3612" s="81"/>
    </row>
    <row r="3613" spans="1:1">
      <c r="A3613" s="81"/>
    </row>
    <row r="3614" spans="1:1">
      <c r="A3614" s="81"/>
    </row>
    <row r="3615" spans="1:1">
      <c r="A3615" s="81"/>
    </row>
    <row r="3616" spans="1:1">
      <c r="A3616" s="81"/>
    </row>
    <row r="3617" spans="1:1">
      <c r="A3617" s="81"/>
    </row>
    <row r="3618" spans="1:1">
      <c r="A3618" s="81"/>
    </row>
    <row r="3619" spans="1:1">
      <c r="A3619" s="81"/>
    </row>
    <row r="3620" spans="1:1">
      <c r="A3620" s="81"/>
    </row>
    <row r="3621" spans="1:1">
      <c r="A3621" s="81"/>
    </row>
    <row r="3622" spans="1:1">
      <c r="A3622" s="81"/>
    </row>
    <row r="3623" spans="1:1">
      <c r="A3623" s="81"/>
    </row>
    <row r="3624" spans="1:1">
      <c r="A3624" s="81"/>
    </row>
    <row r="3625" spans="1:1">
      <c r="A3625" s="81"/>
    </row>
    <row r="3626" spans="1:1">
      <c r="A3626" s="81"/>
    </row>
    <row r="3627" spans="1:1">
      <c r="A3627" s="81"/>
    </row>
    <row r="3628" spans="1:1">
      <c r="A3628" s="81"/>
    </row>
    <row r="3629" spans="1:1">
      <c r="A3629" s="81"/>
    </row>
    <row r="3630" spans="1:1">
      <c r="A3630" s="81"/>
    </row>
    <row r="3631" spans="1:1">
      <c r="A3631" s="81"/>
    </row>
    <row r="3632" spans="1:1">
      <c r="A3632" s="81"/>
    </row>
    <row r="3633" spans="1:1">
      <c r="A3633" s="81"/>
    </row>
    <row r="3634" spans="1:1">
      <c r="A3634" s="81"/>
    </row>
    <row r="3635" spans="1:1">
      <c r="A3635" s="81"/>
    </row>
    <row r="3636" spans="1:1">
      <c r="A3636" s="81"/>
    </row>
    <row r="3637" spans="1:1">
      <c r="A3637" s="81"/>
    </row>
    <row r="3638" spans="1:1">
      <c r="A3638" s="81"/>
    </row>
    <row r="3639" spans="1:1">
      <c r="A3639" s="81"/>
    </row>
    <row r="3640" spans="1:1">
      <c r="A3640" s="81"/>
    </row>
    <row r="3641" spans="1:1">
      <c r="A3641" s="81"/>
    </row>
    <row r="3642" spans="1:1">
      <c r="A3642" s="81"/>
    </row>
    <row r="3643" spans="1:1">
      <c r="A3643" s="81"/>
    </row>
    <row r="3644" spans="1:1">
      <c r="A3644" s="81"/>
    </row>
    <row r="3645" spans="1:1">
      <c r="A3645" s="81"/>
    </row>
    <row r="3646" spans="1:1">
      <c r="A3646" s="81"/>
    </row>
    <row r="3647" spans="1:1">
      <c r="A3647" s="81"/>
    </row>
    <row r="3648" spans="1:1">
      <c r="A3648" s="81"/>
    </row>
    <row r="3649" spans="1:1">
      <c r="A3649" s="81"/>
    </row>
    <row r="3650" spans="1:1">
      <c r="A3650" s="81"/>
    </row>
    <row r="3651" spans="1:1">
      <c r="A3651" s="81"/>
    </row>
    <row r="3652" spans="1:1">
      <c r="A3652" s="81"/>
    </row>
    <row r="3653" spans="1:1">
      <c r="A3653" s="81"/>
    </row>
    <row r="3654" spans="1:1">
      <c r="A3654" s="81"/>
    </row>
    <row r="3655" spans="1:1">
      <c r="A3655" s="81"/>
    </row>
    <row r="3656" spans="1:1">
      <c r="A3656" s="81"/>
    </row>
    <row r="3657" spans="1:1">
      <c r="A3657" s="81"/>
    </row>
    <row r="3658" spans="1:1">
      <c r="A3658" s="81"/>
    </row>
    <row r="3659" spans="1:1">
      <c r="A3659" s="81"/>
    </row>
    <row r="3660" spans="1:1">
      <c r="A3660" s="81"/>
    </row>
    <row r="3661" spans="1:1">
      <c r="A3661" s="81"/>
    </row>
    <row r="3662" spans="1:1">
      <c r="A3662" s="81"/>
    </row>
    <row r="3663" spans="1:1">
      <c r="A3663" s="81"/>
    </row>
    <row r="3664" spans="1:1">
      <c r="A3664" s="81"/>
    </row>
    <row r="3665" spans="1:1">
      <c r="A3665" s="81"/>
    </row>
    <row r="3666" spans="1:1">
      <c r="A3666" s="81"/>
    </row>
    <row r="3667" spans="1:1">
      <c r="A3667" s="81"/>
    </row>
    <row r="3668" spans="1:1">
      <c r="A3668" s="81"/>
    </row>
    <row r="3669" spans="1:1">
      <c r="A3669" s="81"/>
    </row>
    <row r="3670" spans="1:1">
      <c r="A3670" s="81"/>
    </row>
    <row r="3671" spans="1:1">
      <c r="A3671" s="81"/>
    </row>
    <row r="3672" spans="1:1">
      <c r="A3672" s="81"/>
    </row>
    <row r="3673" spans="1:1">
      <c r="A3673" s="81"/>
    </row>
    <row r="3674" spans="1:1">
      <c r="A3674" s="81"/>
    </row>
    <row r="3675" spans="1:1">
      <c r="A3675" s="81"/>
    </row>
    <row r="3676" spans="1:1">
      <c r="A3676" s="81"/>
    </row>
    <row r="3677" spans="1:1">
      <c r="A3677" s="81"/>
    </row>
    <row r="3678" spans="1:1">
      <c r="A3678" s="81"/>
    </row>
    <row r="3679" spans="1:1">
      <c r="A3679" s="81"/>
    </row>
    <row r="3680" spans="1:1">
      <c r="A3680" s="81"/>
    </row>
    <row r="3681" spans="1:1">
      <c r="A3681" s="81"/>
    </row>
    <row r="3682" spans="1:1">
      <c r="A3682" s="81"/>
    </row>
    <row r="3683" spans="1:1">
      <c r="A3683" s="81"/>
    </row>
    <row r="3684" spans="1:1">
      <c r="A3684" s="81"/>
    </row>
    <row r="3685" spans="1:1">
      <c r="A3685" s="81"/>
    </row>
    <row r="3686" spans="1:1">
      <c r="A3686" s="81"/>
    </row>
    <row r="3687" spans="1:1">
      <c r="A3687" s="81"/>
    </row>
    <row r="3688" spans="1:1">
      <c r="A3688" s="81"/>
    </row>
    <row r="3689" spans="1:1">
      <c r="A3689" s="81"/>
    </row>
    <row r="3690" spans="1:1">
      <c r="A3690" s="81"/>
    </row>
    <row r="3691" spans="1:1">
      <c r="A3691" s="81"/>
    </row>
    <row r="3692" spans="1:1">
      <c r="A3692" s="81"/>
    </row>
    <row r="3693" spans="1:1">
      <c r="A3693" s="81"/>
    </row>
    <row r="3694" spans="1:1">
      <c r="A3694" s="81"/>
    </row>
    <row r="3695" spans="1:1">
      <c r="A3695" s="81"/>
    </row>
    <row r="3696" spans="1:1">
      <c r="A3696" s="81"/>
    </row>
    <row r="3697" spans="1:1">
      <c r="A3697" s="81"/>
    </row>
    <row r="3698" spans="1:1">
      <c r="A3698" s="81"/>
    </row>
    <row r="3699" spans="1:1">
      <c r="A3699" s="81"/>
    </row>
    <row r="3700" spans="1:1">
      <c r="A3700" s="81"/>
    </row>
    <row r="3701" spans="1:1">
      <c r="A3701" s="81"/>
    </row>
    <row r="3702" spans="1:1">
      <c r="A3702" s="81"/>
    </row>
    <row r="3703" spans="1:1">
      <c r="A3703" s="81"/>
    </row>
    <row r="3704" spans="1:1">
      <c r="A3704" s="81"/>
    </row>
    <row r="3705" spans="1:1">
      <c r="A3705" s="81"/>
    </row>
    <row r="3706" spans="1:1">
      <c r="A3706" s="81"/>
    </row>
    <row r="3707" spans="1:1">
      <c r="A3707" s="81"/>
    </row>
    <row r="3708" spans="1:1">
      <c r="A3708" s="81"/>
    </row>
    <row r="3709" spans="1:1">
      <c r="A3709" s="81"/>
    </row>
    <row r="3710" spans="1:1">
      <c r="A3710" s="81"/>
    </row>
    <row r="3711" spans="1:1">
      <c r="A3711" s="81"/>
    </row>
    <row r="3712" spans="1:1">
      <c r="A3712" s="81"/>
    </row>
    <row r="3713" spans="1:1">
      <c r="A3713" s="81"/>
    </row>
    <row r="3714" spans="1:1">
      <c r="A3714" s="81"/>
    </row>
    <row r="3715" spans="1:1">
      <c r="A3715" s="81"/>
    </row>
    <row r="3716" spans="1:1">
      <c r="A3716" s="81"/>
    </row>
    <row r="3717" spans="1:1">
      <c r="A3717" s="81"/>
    </row>
    <row r="3718" spans="1:1">
      <c r="A3718" s="81"/>
    </row>
    <row r="3719" spans="1:1">
      <c r="A3719" s="81"/>
    </row>
    <row r="3720" spans="1:1">
      <c r="A3720" s="81"/>
    </row>
    <row r="3721" spans="1:1">
      <c r="A3721" s="81"/>
    </row>
    <row r="3722" spans="1:1">
      <c r="A3722" s="81"/>
    </row>
    <row r="3723" spans="1:1">
      <c r="A3723" s="81"/>
    </row>
    <row r="3724" spans="1:1">
      <c r="A3724" s="81"/>
    </row>
    <row r="3725" spans="1:1">
      <c r="A3725" s="81"/>
    </row>
    <row r="3726" spans="1:1">
      <c r="A3726" s="81"/>
    </row>
    <row r="3727" spans="1:1">
      <c r="A3727" s="81"/>
    </row>
    <row r="3728" spans="1:1">
      <c r="A3728" s="81"/>
    </row>
    <row r="3729" spans="1:1">
      <c r="A3729" s="81"/>
    </row>
    <row r="3730" spans="1:1">
      <c r="A3730" s="81"/>
    </row>
    <row r="3731" spans="1:1">
      <c r="A3731" s="81"/>
    </row>
    <row r="3732" spans="1:1">
      <c r="A3732" s="81"/>
    </row>
    <row r="3733" spans="1:1">
      <c r="A3733" s="81"/>
    </row>
    <row r="3734" spans="1:1">
      <c r="A3734" s="81"/>
    </row>
    <row r="3735" spans="1:1">
      <c r="A3735" s="81"/>
    </row>
    <row r="3736" spans="1:1">
      <c r="A3736" s="81"/>
    </row>
    <row r="3737" spans="1:1">
      <c r="A3737" s="81"/>
    </row>
    <row r="3738" spans="1:1">
      <c r="A3738" s="81"/>
    </row>
    <row r="3739" spans="1:1">
      <c r="A3739" s="81"/>
    </row>
    <row r="3740" spans="1:1">
      <c r="A3740" s="81"/>
    </row>
    <row r="3741" spans="1:1">
      <c r="A3741" s="81"/>
    </row>
    <row r="3742" spans="1:1">
      <c r="A3742" s="81"/>
    </row>
    <row r="3743" spans="1:1">
      <c r="A3743" s="81"/>
    </row>
    <row r="3744" spans="1:1">
      <c r="A3744" s="81"/>
    </row>
    <row r="3745" spans="1:1">
      <c r="A3745" s="81"/>
    </row>
    <row r="3746" spans="1:1">
      <c r="A3746" s="81"/>
    </row>
    <row r="3747" spans="1:1">
      <c r="A3747" s="81"/>
    </row>
    <row r="3748" spans="1:1">
      <c r="A3748" s="81"/>
    </row>
    <row r="3749" spans="1:1">
      <c r="A3749" s="81"/>
    </row>
    <row r="3750" spans="1:1">
      <c r="A3750" s="81"/>
    </row>
    <row r="3751" spans="1:1">
      <c r="A3751" s="81"/>
    </row>
    <row r="3752" spans="1:1">
      <c r="A3752" s="81"/>
    </row>
    <row r="3753" spans="1:1">
      <c r="A3753" s="81"/>
    </row>
    <row r="3754" spans="1:1">
      <c r="A3754" s="81"/>
    </row>
    <row r="3755" spans="1:1">
      <c r="A3755" s="81"/>
    </row>
    <row r="3756" spans="1:1">
      <c r="A3756" s="81"/>
    </row>
    <row r="3757" spans="1:1">
      <c r="A3757" s="81"/>
    </row>
    <row r="3758" spans="1:1">
      <c r="A3758" s="81"/>
    </row>
    <row r="3759" spans="1:1">
      <c r="A3759" s="81"/>
    </row>
    <row r="3760" spans="1:1">
      <c r="A3760" s="81"/>
    </row>
    <row r="3761" spans="1:1">
      <c r="A3761" s="81"/>
    </row>
    <row r="3762" spans="1:1">
      <c r="A3762" s="81"/>
    </row>
    <row r="3763" spans="1:1">
      <c r="A3763" s="81"/>
    </row>
    <row r="3764" spans="1:1">
      <c r="A3764" s="81"/>
    </row>
    <row r="3765" spans="1:1">
      <c r="A3765" s="81"/>
    </row>
    <row r="3766" spans="1:1">
      <c r="A3766" s="81"/>
    </row>
    <row r="3767" spans="1:1">
      <c r="A3767" s="81"/>
    </row>
    <row r="3768" spans="1:1">
      <c r="A3768" s="81"/>
    </row>
    <row r="3769" spans="1:1">
      <c r="A3769" s="81"/>
    </row>
    <row r="3770" spans="1:1">
      <c r="A3770" s="81"/>
    </row>
    <row r="3771" spans="1:1">
      <c r="A3771" s="81"/>
    </row>
    <row r="3772" spans="1:1">
      <c r="A3772" s="81"/>
    </row>
    <row r="3773" spans="1:1">
      <c r="A3773" s="81"/>
    </row>
    <row r="3774" spans="1:1">
      <c r="A3774" s="81"/>
    </row>
    <row r="3775" spans="1:1">
      <c r="A3775" s="81"/>
    </row>
    <row r="3776" spans="1:1">
      <c r="A3776" s="81"/>
    </row>
    <row r="3777" spans="1:1">
      <c r="A3777" s="81"/>
    </row>
    <row r="3778" spans="1:1">
      <c r="A3778" s="81"/>
    </row>
    <row r="3779" spans="1:1">
      <c r="A3779" s="81"/>
    </row>
    <row r="3780" spans="1:1">
      <c r="A3780" s="81"/>
    </row>
    <row r="3781" spans="1:1">
      <c r="A3781" s="81"/>
    </row>
    <row r="3782" spans="1:1">
      <c r="A3782" s="81"/>
    </row>
    <row r="3783" spans="1:1">
      <c r="A3783" s="81"/>
    </row>
    <row r="3784" spans="1:1">
      <c r="A3784" s="81"/>
    </row>
    <row r="3785" spans="1:1">
      <c r="A3785" s="81"/>
    </row>
    <row r="3786" spans="1:1">
      <c r="A3786" s="81"/>
    </row>
    <row r="3787" spans="1:1">
      <c r="A3787" s="81"/>
    </row>
    <row r="3788" spans="1:1">
      <c r="A3788" s="81"/>
    </row>
    <row r="3789" spans="1:1">
      <c r="A3789" s="81"/>
    </row>
    <row r="3790" spans="1:1">
      <c r="A3790" s="81"/>
    </row>
    <row r="3791" spans="1:1">
      <c r="A3791" s="81"/>
    </row>
    <row r="3792" spans="1:1">
      <c r="A3792" s="81"/>
    </row>
    <row r="3793" spans="1:1">
      <c r="A3793" s="81"/>
    </row>
    <row r="3794" spans="1:1">
      <c r="A3794" s="81"/>
    </row>
    <row r="3795" spans="1:1">
      <c r="A3795" s="81"/>
    </row>
    <row r="3796" spans="1:1">
      <c r="A3796" s="81"/>
    </row>
    <row r="3797" spans="1:1">
      <c r="A3797" s="81"/>
    </row>
    <row r="3798" spans="1:1">
      <c r="A3798" s="81"/>
    </row>
    <row r="3799" spans="1:1">
      <c r="A3799" s="81"/>
    </row>
    <row r="3800" spans="1:1">
      <c r="A3800" s="81"/>
    </row>
    <row r="3801" spans="1:1">
      <c r="A3801" s="81"/>
    </row>
    <row r="3802" spans="1:1">
      <c r="A3802" s="81"/>
    </row>
    <row r="3803" spans="1:1">
      <c r="A3803" s="81"/>
    </row>
    <row r="3804" spans="1:1">
      <c r="A3804" s="81"/>
    </row>
    <row r="3805" spans="1:1">
      <c r="A3805" s="81"/>
    </row>
    <row r="3806" spans="1:1">
      <c r="A3806" s="81"/>
    </row>
    <row r="3807" spans="1:1">
      <c r="A3807" s="81"/>
    </row>
    <row r="3808" spans="1:1">
      <c r="A3808" s="81"/>
    </row>
    <row r="3809" spans="1:1">
      <c r="A3809" s="81"/>
    </row>
    <row r="3810" spans="1:1">
      <c r="A3810" s="81"/>
    </row>
    <row r="3811" spans="1:1">
      <c r="A3811" s="81"/>
    </row>
    <row r="3812" spans="1:1">
      <c r="A3812" s="81"/>
    </row>
    <row r="3813" spans="1:1">
      <c r="A3813" s="81"/>
    </row>
    <row r="3814" spans="1:1">
      <c r="A3814" s="81"/>
    </row>
    <row r="3815" spans="1:1">
      <c r="A3815" s="81"/>
    </row>
    <row r="3816" spans="1:1">
      <c r="A3816" s="81"/>
    </row>
    <row r="3817" spans="1:1">
      <c r="A3817" s="81"/>
    </row>
    <row r="3818" spans="1:1">
      <c r="A3818" s="81"/>
    </row>
    <row r="3819" spans="1:1">
      <c r="A3819" s="81"/>
    </row>
    <row r="3820" spans="1:1">
      <c r="A3820" s="81"/>
    </row>
    <row r="3821" spans="1:1">
      <c r="A3821" s="81"/>
    </row>
    <row r="3822" spans="1:1">
      <c r="A3822" s="81"/>
    </row>
    <row r="3823" spans="1:1">
      <c r="A3823" s="81"/>
    </row>
    <row r="3824" spans="1:1">
      <c r="A3824" s="81"/>
    </row>
    <row r="3825" spans="1:1">
      <c r="A3825" s="81"/>
    </row>
    <row r="3826" spans="1:1">
      <c r="A3826" s="81"/>
    </row>
    <row r="3827" spans="1:1">
      <c r="A3827" s="81"/>
    </row>
    <row r="3828" spans="1:1">
      <c r="A3828" s="81"/>
    </row>
    <row r="3829" spans="1:1">
      <c r="A3829" s="81"/>
    </row>
    <row r="3830" spans="1:1">
      <c r="A3830" s="81"/>
    </row>
    <row r="3831" spans="1:1">
      <c r="A3831" s="81"/>
    </row>
    <row r="3832" spans="1:1">
      <c r="A3832" s="81"/>
    </row>
    <row r="3833" spans="1:1">
      <c r="A3833" s="81"/>
    </row>
    <row r="3834" spans="1:1">
      <c r="A3834" s="81"/>
    </row>
    <row r="3835" spans="1:1">
      <c r="A3835" s="81"/>
    </row>
    <row r="3836" spans="1:1">
      <c r="A3836" s="81"/>
    </row>
    <row r="3837" spans="1:1">
      <c r="A3837" s="81"/>
    </row>
    <row r="3838" spans="1:1">
      <c r="A3838" s="81"/>
    </row>
    <row r="3839" spans="1:1">
      <c r="A3839" s="81"/>
    </row>
    <row r="3840" spans="1:1">
      <c r="A3840" s="81"/>
    </row>
    <row r="3841" spans="1:1">
      <c r="A3841" s="81"/>
    </row>
    <row r="3842" spans="1:1">
      <c r="A3842" s="81"/>
    </row>
    <row r="3843" spans="1:1">
      <c r="A3843" s="81"/>
    </row>
    <row r="3844" spans="1:1">
      <c r="A3844" s="81"/>
    </row>
    <row r="3845" spans="1:1">
      <c r="A3845" s="81"/>
    </row>
    <row r="3846" spans="1:1">
      <c r="A3846" s="81"/>
    </row>
    <row r="3847" spans="1:1">
      <c r="A3847" s="81"/>
    </row>
    <row r="3848" spans="1:1">
      <c r="A3848" s="81"/>
    </row>
    <row r="3849" spans="1:1">
      <c r="A3849" s="81"/>
    </row>
    <row r="3850" spans="1:1">
      <c r="A3850" s="81"/>
    </row>
    <row r="3851" spans="1:1">
      <c r="A3851" s="81"/>
    </row>
    <row r="3852" spans="1:1">
      <c r="A3852" s="81"/>
    </row>
    <row r="3853" spans="1:1">
      <c r="A3853" s="81"/>
    </row>
    <row r="3854" spans="1:1">
      <c r="A3854" s="81"/>
    </row>
    <row r="3855" spans="1:1">
      <c r="A3855" s="81"/>
    </row>
    <row r="3856" spans="1:1">
      <c r="A3856" s="81"/>
    </row>
    <row r="3857" spans="1:1">
      <c r="A3857" s="81"/>
    </row>
    <row r="3858" spans="1:1">
      <c r="A3858" s="81"/>
    </row>
    <row r="3859" spans="1:1">
      <c r="A3859" s="81"/>
    </row>
    <row r="3860" spans="1:1">
      <c r="A3860" s="81"/>
    </row>
    <row r="3861" spans="1:1">
      <c r="A3861" s="81"/>
    </row>
    <row r="3862" spans="1:1">
      <c r="A3862" s="81"/>
    </row>
    <row r="3863" spans="1:1">
      <c r="A3863" s="81"/>
    </row>
    <row r="3864" spans="1:1">
      <c r="A3864" s="81"/>
    </row>
    <row r="3865" spans="1:1">
      <c r="A3865" s="81"/>
    </row>
    <row r="3866" spans="1:1">
      <c r="A3866" s="81"/>
    </row>
    <row r="3867" spans="1:1">
      <c r="A3867" s="81"/>
    </row>
    <row r="3868" spans="1:1">
      <c r="A3868" s="81"/>
    </row>
    <row r="3869" spans="1:1">
      <c r="A3869" s="81"/>
    </row>
    <row r="3870" spans="1:1">
      <c r="A3870" s="81"/>
    </row>
    <row r="3871" spans="1:1">
      <c r="A3871" s="81"/>
    </row>
    <row r="3872" spans="1:1">
      <c r="A3872" s="81"/>
    </row>
    <row r="3873" spans="1:1">
      <c r="A3873" s="81"/>
    </row>
    <row r="3874" spans="1:1">
      <c r="A3874" s="81"/>
    </row>
    <row r="3875" spans="1:1">
      <c r="A3875" s="81"/>
    </row>
    <row r="3876" spans="1:1">
      <c r="A3876" s="81"/>
    </row>
    <row r="3877" spans="1:1">
      <c r="A3877" s="81"/>
    </row>
    <row r="3878" spans="1:1">
      <c r="A3878" s="81"/>
    </row>
    <row r="3879" spans="1:1">
      <c r="A3879" s="81"/>
    </row>
    <row r="3880" spans="1:1">
      <c r="A3880" s="81"/>
    </row>
    <row r="3881" spans="1:1">
      <c r="A3881" s="81"/>
    </row>
    <row r="3882" spans="1:1">
      <c r="A3882" s="81"/>
    </row>
    <row r="3883" spans="1:1">
      <c r="A3883" s="81"/>
    </row>
    <row r="3884" spans="1:1">
      <c r="A3884" s="81"/>
    </row>
    <row r="3885" spans="1:1">
      <c r="A3885" s="81"/>
    </row>
    <row r="3886" spans="1:1">
      <c r="A3886" s="81"/>
    </row>
    <row r="3887" spans="1:1">
      <c r="A3887" s="81"/>
    </row>
    <row r="3888" spans="1:1">
      <c r="A3888" s="81"/>
    </row>
    <row r="3889" spans="1:1">
      <c r="A3889" s="81"/>
    </row>
    <row r="3890" spans="1:1">
      <c r="A3890" s="81"/>
    </row>
    <row r="3891" spans="1:1">
      <c r="A3891" s="81"/>
    </row>
    <row r="3892" spans="1:1">
      <c r="A3892" s="81"/>
    </row>
    <row r="3893" spans="1:1">
      <c r="A3893" s="81"/>
    </row>
    <row r="3894" spans="1:1">
      <c r="A3894" s="81"/>
    </row>
    <row r="3895" spans="1:1">
      <c r="A3895" s="81"/>
    </row>
    <row r="3896" spans="1:1">
      <c r="A3896" s="81"/>
    </row>
    <row r="3897" spans="1:1">
      <c r="A3897" s="81"/>
    </row>
    <row r="3898" spans="1:1">
      <c r="A3898" s="81"/>
    </row>
    <row r="3899" spans="1:1">
      <c r="A3899" s="81"/>
    </row>
    <row r="3900" spans="1:1">
      <c r="A3900" s="81"/>
    </row>
    <row r="3901" spans="1:1">
      <c r="A3901" s="81"/>
    </row>
    <row r="3902" spans="1:1">
      <c r="A3902" s="81"/>
    </row>
    <row r="3903" spans="1:1">
      <c r="A3903" s="81"/>
    </row>
    <row r="3904" spans="1:1">
      <c r="A3904" s="81"/>
    </row>
    <row r="3905" spans="1:1">
      <c r="A3905" s="81"/>
    </row>
    <row r="3906" spans="1:1">
      <c r="A3906" s="81"/>
    </row>
    <row r="3907" spans="1:1">
      <c r="A3907" s="81"/>
    </row>
    <row r="3908" spans="1:1">
      <c r="A3908" s="81"/>
    </row>
    <row r="3909" spans="1:1">
      <c r="A3909" s="81"/>
    </row>
    <row r="3910" spans="1:1">
      <c r="A3910" s="81"/>
    </row>
    <row r="3911" spans="1:1">
      <c r="A3911" s="81"/>
    </row>
    <row r="3912" spans="1:1">
      <c r="A3912" s="81"/>
    </row>
    <row r="3913" spans="1:1">
      <c r="A3913" s="81"/>
    </row>
    <row r="3914" spans="1:1">
      <c r="A3914" s="81"/>
    </row>
    <row r="3915" spans="1:1">
      <c r="A3915" s="81"/>
    </row>
    <row r="3916" spans="1:1">
      <c r="A3916" s="81"/>
    </row>
    <row r="3917" spans="1:1">
      <c r="A3917" s="81"/>
    </row>
    <row r="3918" spans="1:1">
      <c r="A3918" s="81"/>
    </row>
    <row r="3919" spans="1:1">
      <c r="A3919" s="81"/>
    </row>
    <row r="3920" spans="1:1">
      <c r="A3920" s="81"/>
    </row>
    <row r="3921" spans="1:1">
      <c r="A3921" s="81"/>
    </row>
    <row r="3922" spans="1:1">
      <c r="A3922" s="81"/>
    </row>
    <row r="3923" spans="1:1">
      <c r="A3923" s="81"/>
    </row>
    <row r="3924" spans="1:1">
      <c r="A3924" s="81"/>
    </row>
    <row r="3925" spans="1:1">
      <c r="A3925" s="81"/>
    </row>
    <row r="3926" spans="1:1">
      <c r="A3926" s="81"/>
    </row>
    <row r="3927" spans="1:1">
      <c r="A3927" s="81"/>
    </row>
    <row r="3928" spans="1:1">
      <c r="A3928" s="81"/>
    </row>
    <row r="3929" spans="1:1">
      <c r="A3929" s="81"/>
    </row>
    <row r="3930" spans="1:1">
      <c r="A3930" s="81"/>
    </row>
    <row r="3931" spans="1:1">
      <c r="A3931" s="81"/>
    </row>
    <row r="3932" spans="1:1">
      <c r="A3932" s="81"/>
    </row>
    <row r="3933" spans="1:1">
      <c r="A3933" s="81"/>
    </row>
    <row r="3934" spans="1:1">
      <c r="A3934" s="81"/>
    </row>
    <row r="3935" spans="1:1">
      <c r="A3935" s="81"/>
    </row>
    <row r="3936" spans="1:1">
      <c r="A3936" s="81"/>
    </row>
    <row r="3937" spans="1:1">
      <c r="A3937" s="81"/>
    </row>
    <row r="3938" spans="1:1">
      <c r="A3938" s="81"/>
    </row>
    <row r="3939" spans="1:1">
      <c r="A3939" s="81"/>
    </row>
    <row r="3940" spans="1:1">
      <c r="A3940" s="81"/>
    </row>
    <row r="3941" spans="1:1">
      <c r="A3941" s="81"/>
    </row>
    <row r="3942" spans="1:1">
      <c r="A3942" s="81"/>
    </row>
    <row r="3943" spans="1:1">
      <c r="A3943" s="81"/>
    </row>
    <row r="3944" spans="1:1">
      <c r="A3944" s="81"/>
    </row>
    <row r="3945" spans="1:1">
      <c r="A3945" s="81"/>
    </row>
    <row r="3946" spans="1:1">
      <c r="A3946" s="81"/>
    </row>
    <row r="3947" spans="1:1">
      <c r="A3947" s="81"/>
    </row>
    <row r="3948" spans="1:1">
      <c r="A3948" s="81"/>
    </row>
    <row r="3949" spans="1:1">
      <c r="A3949" s="81"/>
    </row>
    <row r="3950" spans="1:1">
      <c r="A3950" s="81"/>
    </row>
    <row r="3951" spans="1:1">
      <c r="A3951" s="81"/>
    </row>
    <row r="3952" spans="1:1">
      <c r="A3952" s="81"/>
    </row>
    <row r="3953" spans="1:1">
      <c r="A3953" s="81"/>
    </row>
    <row r="3954" spans="1:1">
      <c r="A3954" s="81"/>
    </row>
    <row r="3955" spans="1:1">
      <c r="A3955" s="81"/>
    </row>
    <row r="3956" spans="1:1">
      <c r="A3956" s="81"/>
    </row>
    <row r="3957" spans="1:1">
      <c r="A3957" s="81"/>
    </row>
    <row r="3958" spans="1:1">
      <c r="A3958" s="81"/>
    </row>
    <row r="3959" spans="1:1">
      <c r="A3959" s="81"/>
    </row>
    <row r="3960" spans="1:1">
      <c r="A3960" s="81"/>
    </row>
    <row r="3961" spans="1:1">
      <c r="A3961" s="81"/>
    </row>
    <row r="3962" spans="1:1">
      <c r="A3962" s="81"/>
    </row>
    <row r="3963" spans="1:1">
      <c r="A3963" s="81"/>
    </row>
    <row r="3964" spans="1:1">
      <c r="A3964" s="81"/>
    </row>
    <row r="3965" spans="1:1">
      <c r="A3965" s="81"/>
    </row>
    <row r="3966" spans="1:1">
      <c r="A3966" s="81"/>
    </row>
    <row r="3967" spans="1:1">
      <c r="A3967" s="81"/>
    </row>
    <row r="3968" spans="1:1">
      <c r="A3968" s="81"/>
    </row>
    <row r="3969" spans="1:1">
      <c r="A3969" s="81"/>
    </row>
    <row r="3970" spans="1:1">
      <c r="A3970" s="81"/>
    </row>
    <row r="3971" spans="1:1">
      <c r="A3971" s="81"/>
    </row>
    <row r="3972" spans="1:1">
      <c r="A3972" s="81"/>
    </row>
    <row r="3973" spans="1:1">
      <c r="A3973" s="81"/>
    </row>
    <row r="3974" spans="1:1">
      <c r="A3974" s="81"/>
    </row>
    <row r="3975" spans="1:1">
      <c r="A3975" s="81"/>
    </row>
    <row r="3976" spans="1:1">
      <c r="A3976" s="81"/>
    </row>
    <row r="3977" spans="1:1">
      <c r="A3977" s="81"/>
    </row>
    <row r="3978" spans="1:1">
      <c r="A3978" s="81"/>
    </row>
    <row r="3979" spans="1:1">
      <c r="A3979" s="81"/>
    </row>
    <row r="3980" spans="1:1">
      <c r="A3980" s="81"/>
    </row>
    <row r="3981" spans="1:1">
      <c r="A3981" s="81"/>
    </row>
    <row r="3982" spans="1:1">
      <c r="A3982" s="81"/>
    </row>
    <row r="3983" spans="1:1">
      <c r="A3983" s="81"/>
    </row>
    <row r="3984" spans="1:1">
      <c r="A3984" s="81"/>
    </row>
    <row r="3985" spans="1:1">
      <c r="A3985" s="81"/>
    </row>
    <row r="3986" spans="1:1">
      <c r="A3986" s="81"/>
    </row>
    <row r="3987" spans="1:1">
      <c r="A3987" s="81"/>
    </row>
    <row r="3988" spans="1:1">
      <c r="A3988" s="81"/>
    </row>
    <row r="3989" spans="1:1">
      <c r="A3989" s="81"/>
    </row>
    <row r="3990" spans="1:1">
      <c r="A3990" s="81"/>
    </row>
    <row r="3991" spans="1:1">
      <c r="A3991" s="81"/>
    </row>
    <row r="3992" spans="1:1">
      <c r="A3992" s="81"/>
    </row>
    <row r="3993" spans="1:1">
      <c r="A3993" s="81"/>
    </row>
    <row r="3994" spans="1:1">
      <c r="A3994" s="81"/>
    </row>
    <row r="3995" spans="1:1">
      <c r="A3995" s="81"/>
    </row>
    <row r="3996" spans="1:1">
      <c r="A3996" s="81"/>
    </row>
    <row r="3997" spans="1:1">
      <c r="A3997" s="81"/>
    </row>
    <row r="3998" spans="1:1">
      <c r="A3998" s="81"/>
    </row>
    <row r="3999" spans="1:1">
      <c r="A3999" s="81"/>
    </row>
    <row r="4000" spans="1:1">
      <c r="A4000" s="81"/>
    </row>
    <row r="4001" spans="1:1">
      <c r="A4001" s="81"/>
    </row>
    <row r="4002" spans="1:1">
      <c r="A4002" s="81"/>
    </row>
    <row r="4003" spans="1:1">
      <c r="A4003" s="81"/>
    </row>
    <row r="4004" spans="1:1">
      <c r="A4004" s="81"/>
    </row>
    <row r="4005" spans="1:1">
      <c r="A4005" s="81"/>
    </row>
    <row r="4006" spans="1:1">
      <c r="A4006" s="81"/>
    </row>
    <row r="4007" spans="1:1">
      <c r="A4007" s="81"/>
    </row>
    <row r="4008" spans="1:1">
      <c r="A4008" s="81"/>
    </row>
    <row r="4009" spans="1:1">
      <c r="A4009" s="81"/>
    </row>
    <row r="4010" spans="1:1">
      <c r="A4010" s="81"/>
    </row>
    <row r="4011" spans="1:1">
      <c r="A4011" s="81"/>
    </row>
    <row r="4012" spans="1:1">
      <c r="A4012" s="81"/>
    </row>
    <row r="4013" spans="1:1">
      <c r="A4013" s="81"/>
    </row>
    <row r="4014" spans="1:1">
      <c r="A4014" s="81"/>
    </row>
    <row r="4015" spans="1:1">
      <c r="A4015" s="81"/>
    </row>
    <row r="4016" spans="1:1">
      <c r="A4016" s="81"/>
    </row>
    <row r="4017" spans="1:1">
      <c r="A4017" s="81"/>
    </row>
    <row r="4018" spans="1:1">
      <c r="A4018" s="81"/>
    </row>
    <row r="4019" spans="1:1">
      <c r="A4019" s="81"/>
    </row>
    <row r="4020" spans="1:1">
      <c r="A4020" s="81"/>
    </row>
    <row r="4021" spans="1:1">
      <c r="A4021" s="81"/>
    </row>
    <row r="4022" spans="1:1">
      <c r="A4022" s="81"/>
    </row>
    <row r="4023" spans="1:1">
      <c r="A4023" s="81"/>
    </row>
    <row r="4024" spans="1:1">
      <c r="A4024" s="81"/>
    </row>
    <row r="4025" spans="1:1">
      <c r="A4025" s="81"/>
    </row>
    <row r="4026" spans="1:1">
      <c r="A4026" s="81"/>
    </row>
    <row r="4027" spans="1:1">
      <c r="A4027" s="81"/>
    </row>
    <row r="4028" spans="1:1">
      <c r="A4028" s="81"/>
    </row>
    <row r="4029" spans="1:1">
      <c r="A4029" s="81"/>
    </row>
    <row r="4030" spans="1:1">
      <c r="A4030" s="81"/>
    </row>
    <row r="4031" spans="1:1">
      <c r="A4031" s="81"/>
    </row>
    <row r="4032" spans="1:1">
      <c r="A4032" s="81"/>
    </row>
    <row r="4033" spans="1:1">
      <c r="A4033" s="81"/>
    </row>
    <row r="4034" spans="1:1">
      <c r="A4034" s="81"/>
    </row>
    <row r="4035" spans="1:1">
      <c r="A4035" s="81"/>
    </row>
    <row r="4036" spans="1:1">
      <c r="A4036" s="81"/>
    </row>
    <row r="4037" spans="1:1">
      <c r="A4037" s="81"/>
    </row>
    <row r="4038" spans="1:1">
      <c r="A4038" s="81"/>
    </row>
    <row r="4039" spans="1:1">
      <c r="A4039" s="81"/>
    </row>
    <row r="4040" spans="1:1">
      <c r="A4040" s="81"/>
    </row>
    <row r="4041" spans="1:1">
      <c r="A4041" s="81"/>
    </row>
    <row r="4042" spans="1:1">
      <c r="A4042" s="81"/>
    </row>
    <row r="4043" spans="1:1">
      <c r="A4043" s="81"/>
    </row>
    <row r="4044" spans="1:1">
      <c r="A4044" s="81"/>
    </row>
    <row r="4045" spans="1:1">
      <c r="A4045" s="81"/>
    </row>
    <row r="4046" spans="1:1">
      <c r="A4046" s="81"/>
    </row>
    <row r="4047" spans="1:1">
      <c r="A4047" s="81"/>
    </row>
    <row r="4048" spans="1:1">
      <c r="A4048" s="81"/>
    </row>
    <row r="4049" spans="1:1">
      <c r="A4049" s="81"/>
    </row>
    <row r="4050" spans="1:1">
      <c r="A4050" s="81"/>
    </row>
    <row r="4051" spans="1:1">
      <c r="A4051" s="81"/>
    </row>
    <row r="4052" spans="1:1">
      <c r="A4052" s="81"/>
    </row>
    <row r="4053" spans="1:1">
      <c r="A4053" s="81"/>
    </row>
    <row r="4054" spans="1:1">
      <c r="A4054" s="81"/>
    </row>
    <row r="4055" spans="1:1">
      <c r="A4055" s="81"/>
    </row>
    <row r="4056" spans="1:1">
      <c r="A4056" s="81"/>
    </row>
    <row r="4057" spans="1:1">
      <c r="A4057" s="81"/>
    </row>
    <row r="4058" spans="1:1">
      <c r="A4058" s="81"/>
    </row>
    <row r="4059" spans="1:1">
      <c r="A4059" s="81"/>
    </row>
    <row r="4060" spans="1:1">
      <c r="A4060" s="81"/>
    </row>
    <row r="4061" spans="1:1">
      <c r="A4061" s="81"/>
    </row>
    <row r="4062" spans="1:1">
      <c r="A4062" s="81"/>
    </row>
    <row r="4063" spans="1:1">
      <c r="A4063" s="81"/>
    </row>
    <row r="4064" spans="1:1">
      <c r="A4064" s="81"/>
    </row>
    <row r="4065" spans="1:1">
      <c r="A4065" s="81"/>
    </row>
    <row r="4066" spans="1:1">
      <c r="A4066" s="81"/>
    </row>
    <row r="4067" spans="1:1">
      <c r="A4067" s="81"/>
    </row>
    <row r="4068" spans="1:1">
      <c r="A4068" s="81"/>
    </row>
    <row r="4069" spans="1:1">
      <c r="A4069" s="81"/>
    </row>
    <row r="4070" spans="1:1">
      <c r="A4070" s="81"/>
    </row>
    <row r="4071" spans="1:1">
      <c r="A4071" s="81"/>
    </row>
    <row r="4072" spans="1:1">
      <c r="A4072" s="81"/>
    </row>
    <row r="4073" spans="1:1">
      <c r="A4073" s="81"/>
    </row>
    <row r="4074" spans="1:1">
      <c r="A4074" s="81"/>
    </row>
    <row r="4075" spans="1:1">
      <c r="A4075" s="81"/>
    </row>
    <row r="4076" spans="1:1">
      <c r="A4076" s="81"/>
    </row>
    <row r="4077" spans="1:1">
      <c r="A4077" s="81"/>
    </row>
    <row r="4078" spans="1:1">
      <c r="A4078" s="81"/>
    </row>
    <row r="4079" spans="1:1">
      <c r="A4079" s="81"/>
    </row>
    <row r="4080" spans="1:1">
      <c r="A4080" s="81"/>
    </row>
    <row r="4081" spans="1:1">
      <c r="A4081" s="81"/>
    </row>
    <row r="4082" spans="1:1">
      <c r="A4082" s="81"/>
    </row>
    <row r="4083" spans="1:1">
      <c r="A4083" s="81"/>
    </row>
    <row r="4084" spans="1:1">
      <c r="A4084" s="81"/>
    </row>
    <row r="4085" spans="1:1">
      <c r="A4085" s="81"/>
    </row>
    <row r="4086" spans="1:1">
      <c r="A4086" s="81"/>
    </row>
    <row r="4087" spans="1:1">
      <c r="A4087" s="81"/>
    </row>
    <row r="4088" spans="1:1">
      <c r="A4088" s="81"/>
    </row>
    <row r="4089" spans="1:1">
      <c r="A4089" s="81"/>
    </row>
    <row r="4090" spans="1:1">
      <c r="A4090" s="81"/>
    </row>
    <row r="4091" spans="1:1">
      <c r="A4091" s="81"/>
    </row>
    <row r="4092" spans="1:1">
      <c r="A4092" s="81"/>
    </row>
    <row r="4093" spans="1:1">
      <c r="A4093" s="81"/>
    </row>
    <row r="4094" spans="1:1">
      <c r="A4094" s="81"/>
    </row>
    <row r="4095" spans="1:1">
      <c r="A4095" s="81"/>
    </row>
    <row r="4096" spans="1:1">
      <c r="A4096" s="81"/>
    </row>
    <row r="4097" spans="1:1">
      <c r="A4097" s="81"/>
    </row>
    <row r="4098" spans="1:1">
      <c r="A4098" s="81"/>
    </row>
    <row r="4099" spans="1:1">
      <c r="A4099" s="81"/>
    </row>
    <row r="4100" spans="1:1">
      <c r="A4100" s="81"/>
    </row>
    <row r="4101" spans="1:1">
      <c r="A4101" s="81"/>
    </row>
    <row r="4102" spans="1:1">
      <c r="A4102" s="81"/>
    </row>
    <row r="4103" spans="1:1">
      <c r="A4103" s="81"/>
    </row>
    <row r="4104" spans="1:1">
      <c r="A4104" s="81"/>
    </row>
    <row r="4105" spans="1:1">
      <c r="A4105" s="81"/>
    </row>
    <row r="4106" spans="1:1">
      <c r="A4106" s="81"/>
    </row>
    <row r="4107" spans="1:1">
      <c r="A4107" s="81"/>
    </row>
    <row r="4108" spans="1:1">
      <c r="A4108" s="81"/>
    </row>
    <row r="4109" spans="1:1">
      <c r="A4109" s="81"/>
    </row>
    <row r="4110" spans="1:1">
      <c r="A4110" s="81"/>
    </row>
    <row r="4111" spans="1:1">
      <c r="A4111" s="81"/>
    </row>
    <row r="4112" spans="1:1">
      <c r="A4112" s="81"/>
    </row>
    <row r="4113" spans="1:1">
      <c r="A4113" s="81"/>
    </row>
    <row r="4114" spans="1:1">
      <c r="A4114" s="81"/>
    </row>
    <row r="4115" spans="1:1">
      <c r="A4115" s="81"/>
    </row>
    <row r="4116" spans="1:1">
      <c r="A4116" s="81"/>
    </row>
    <row r="4117" spans="1:1">
      <c r="A4117" s="81"/>
    </row>
    <row r="4118" spans="1:1">
      <c r="A4118" s="81"/>
    </row>
    <row r="4119" spans="1:1">
      <c r="A4119" s="81"/>
    </row>
    <row r="4120" spans="1:1">
      <c r="A4120" s="81"/>
    </row>
    <row r="4121" spans="1:1">
      <c r="A4121" s="81"/>
    </row>
    <row r="4122" spans="1:1">
      <c r="A4122" s="81"/>
    </row>
    <row r="4123" spans="1:1">
      <c r="A4123" s="81"/>
    </row>
    <row r="4124" spans="1:1">
      <c r="A4124" s="81"/>
    </row>
    <row r="4125" spans="1:1">
      <c r="A4125" s="81"/>
    </row>
    <row r="4126" spans="1:1">
      <c r="A4126" s="81"/>
    </row>
    <row r="4127" spans="1:1">
      <c r="A4127" s="81"/>
    </row>
    <row r="4128" spans="1:1">
      <c r="A4128" s="81"/>
    </row>
    <row r="4129" spans="1:1">
      <c r="A4129" s="81"/>
    </row>
    <row r="4130" spans="1:1">
      <c r="A4130" s="81"/>
    </row>
    <row r="4131" spans="1:1">
      <c r="A4131" s="81"/>
    </row>
    <row r="4132" spans="1:1">
      <c r="A4132" s="81"/>
    </row>
    <row r="4133" spans="1:1">
      <c r="A4133" s="81"/>
    </row>
    <row r="4134" spans="1:1">
      <c r="A4134" s="81"/>
    </row>
    <row r="4135" spans="1:1">
      <c r="A4135" s="81"/>
    </row>
    <row r="4136" spans="1:1">
      <c r="A4136" s="81"/>
    </row>
    <row r="4137" spans="1:1">
      <c r="A4137" s="81"/>
    </row>
    <row r="4138" spans="1:1">
      <c r="A4138" s="81"/>
    </row>
    <row r="4139" spans="1:1">
      <c r="A4139" s="81"/>
    </row>
    <row r="4140" spans="1:1">
      <c r="A4140" s="81"/>
    </row>
    <row r="4141" spans="1:1">
      <c r="A4141" s="81"/>
    </row>
    <row r="4142" spans="1:1">
      <c r="A4142" s="81"/>
    </row>
    <row r="4143" spans="1:1">
      <c r="A4143" s="81"/>
    </row>
    <row r="4144" spans="1:1">
      <c r="A4144" s="81"/>
    </row>
    <row r="4145" spans="1:1">
      <c r="A4145" s="81"/>
    </row>
    <row r="4146" spans="1:1">
      <c r="A4146" s="81"/>
    </row>
    <row r="4147" spans="1:1">
      <c r="A4147" s="81"/>
    </row>
    <row r="4148" spans="1:1">
      <c r="A4148" s="81"/>
    </row>
    <row r="4149" spans="1:1">
      <c r="A4149" s="81"/>
    </row>
    <row r="4150" spans="1:1">
      <c r="A4150" s="81"/>
    </row>
    <row r="4151" spans="1:1">
      <c r="A4151" s="81"/>
    </row>
    <row r="4152" spans="1:1">
      <c r="A4152" s="81"/>
    </row>
    <row r="4153" spans="1:1">
      <c r="A4153" s="81"/>
    </row>
    <row r="4154" spans="1:1">
      <c r="A4154" s="81"/>
    </row>
    <row r="4155" spans="1:1">
      <c r="A4155" s="81"/>
    </row>
    <row r="4156" spans="1:1">
      <c r="A4156" s="81"/>
    </row>
    <row r="4157" spans="1:1">
      <c r="A4157" s="81"/>
    </row>
    <row r="4158" spans="1:1">
      <c r="A4158" s="81"/>
    </row>
    <row r="4159" spans="1:1">
      <c r="A4159" s="81"/>
    </row>
    <row r="4160" spans="1:1">
      <c r="A4160" s="81"/>
    </row>
    <row r="4161" spans="1:1">
      <c r="A4161" s="81"/>
    </row>
    <row r="4162" spans="1:1">
      <c r="A4162" s="81"/>
    </row>
    <row r="4163" spans="1:1">
      <c r="A4163" s="81"/>
    </row>
    <row r="4164" spans="1:1">
      <c r="A4164" s="81"/>
    </row>
    <row r="4165" spans="1:1">
      <c r="A4165" s="81"/>
    </row>
    <row r="4166" spans="1:1">
      <c r="A4166" s="81"/>
    </row>
    <row r="4167" spans="1:1">
      <c r="A4167" s="81"/>
    </row>
    <row r="4168" spans="1:1">
      <c r="A4168" s="81"/>
    </row>
    <row r="4169" spans="1:1">
      <c r="A4169" s="81"/>
    </row>
    <row r="4170" spans="1:1">
      <c r="A4170" s="81"/>
    </row>
    <row r="4171" spans="1:1">
      <c r="A4171" s="81"/>
    </row>
    <row r="4172" spans="1:1">
      <c r="A4172" s="81"/>
    </row>
    <row r="4173" spans="1:1">
      <c r="A4173" s="81"/>
    </row>
    <row r="4174" spans="1:1">
      <c r="A4174" s="81"/>
    </row>
    <row r="4175" spans="1:1">
      <c r="A4175" s="81"/>
    </row>
    <row r="4176" spans="1:1">
      <c r="A4176" s="81"/>
    </row>
    <row r="4177" spans="1:1">
      <c r="A4177" s="81"/>
    </row>
    <row r="4178" spans="1:1">
      <c r="A4178" s="81"/>
    </row>
    <row r="4179" spans="1:1">
      <c r="A4179" s="81"/>
    </row>
    <row r="4180" spans="1:1">
      <c r="A4180" s="81"/>
    </row>
    <row r="4181" spans="1:1">
      <c r="A4181" s="81"/>
    </row>
    <row r="4182" spans="1:1">
      <c r="A4182" s="81"/>
    </row>
    <row r="4183" spans="1:1">
      <c r="A4183" s="81"/>
    </row>
    <row r="4184" spans="1:1">
      <c r="A4184" s="81"/>
    </row>
    <row r="4185" spans="1:1">
      <c r="A4185" s="81"/>
    </row>
    <row r="4186" spans="1:1">
      <c r="A4186" s="81"/>
    </row>
    <row r="4187" spans="1:1">
      <c r="A4187" s="81"/>
    </row>
    <row r="4188" spans="1:1">
      <c r="A4188" s="81"/>
    </row>
    <row r="4189" spans="1:1">
      <c r="A4189" s="81"/>
    </row>
    <row r="4190" spans="1:1">
      <c r="A4190" s="81"/>
    </row>
    <row r="4191" spans="1:1">
      <c r="A4191" s="81"/>
    </row>
    <row r="4192" spans="1:1">
      <c r="A4192" s="81"/>
    </row>
    <row r="4193" spans="1:1">
      <c r="A4193" s="81"/>
    </row>
    <row r="4194" spans="1:1">
      <c r="A4194" s="81"/>
    </row>
    <row r="4195" spans="1:1">
      <c r="A4195" s="81"/>
    </row>
    <row r="4196" spans="1:1">
      <c r="A4196" s="81"/>
    </row>
    <row r="4197" spans="1:1">
      <c r="A4197" s="81"/>
    </row>
    <row r="4198" spans="1:1">
      <c r="A4198" s="81"/>
    </row>
    <row r="4199" spans="1:1">
      <c r="A4199" s="81"/>
    </row>
    <row r="4200" spans="1:1">
      <c r="A4200" s="81"/>
    </row>
    <row r="4201" spans="1:1">
      <c r="A4201" s="81"/>
    </row>
    <row r="4202" spans="1:1">
      <c r="A4202" s="81"/>
    </row>
    <row r="4203" spans="1:1">
      <c r="A4203" s="81"/>
    </row>
    <row r="4204" spans="1:1">
      <c r="A4204" s="81"/>
    </row>
    <row r="4205" spans="1:1">
      <c r="A4205" s="81"/>
    </row>
    <row r="4206" spans="1:1">
      <c r="A4206" s="81"/>
    </row>
    <row r="4207" spans="1:1">
      <c r="A4207" s="81"/>
    </row>
    <row r="4208" spans="1:1">
      <c r="A4208" s="81"/>
    </row>
    <row r="4209" spans="1:1">
      <c r="A4209" s="81"/>
    </row>
    <row r="4210" spans="1:1">
      <c r="A4210" s="81"/>
    </row>
    <row r="4211" spans="1:1">
      <c r="A4211" s="81"/>
    </row>
    <row r="4212" spans="1:1">
      <c r="A4212" s="81"/>
    </row>
    <row r="4213" spans="1:1">
      <c r="A4213" s="81"/>
    </row>
    <row r="4214" spans="1:1">
      <c r="A4214" s="81"/>
    </row>
    <row r="4215" spans="1:1">
      <c r="A4215" s="81"/>
    </row>
    <row r="4216" spans="1:1">
      <c r="A4216" s="81"/>
    </row>
    <row r="4217" spans="1:1">
      <c r="A4217" s="81"/>
    </row>
    <row r="4218" spans="1:1">
      <c r="A4218" s="81"/>
    </row>
    <row r="4219" spans="1:1">
      <c r="A4219" s="81"/>
    </row>
    <row r="4220" spans="1:1">
      <c r="A4220" s="81"/>
    </row>
    <row r="4221" spans="1:1">
      <c r="A4221" s="81"/>
    </row>
    <row r="4222" spans="1:1">
      <c r="A4222" s="81"/>
    </row>
    <row r="4223" spans="1:1">
      <c r="A4223" s="81"/>
    </row>
    <row r="4224" spans="1:1">
      <c r="A4224" s="81"/>
    </row>
    <row r="4225" spans="1:1">
      <c r="A4225" s="81"/>
    </row>
    <row r="4226" spans="1:1">
      <c r="A4226" s="81"/>
    </row>
    <row r="4227" spans="1:1">
      <c r="A4227" s="81"/>
    </row>
    <row r="4228" spans="1:1">
      <c r="A4228" s="81"/>
    </row>
    <row r="4229" spans="1:1">
      <c r="A4229" s="81"/>
    </row>
    <row r="4230" spans="1:1">
      <c r="A4230" s="81"/>
    </row>
    <row r="4231" spans="1:1">
      <c r="A4231" s="81"/>
    </row>
    <row r="4232" spans="1:1">
      <c r="A4232" s="81"/>
    </row>
    <row r="4233" spans="1:1">
      <c r="A4233" s="81"/>
    </row>
    <row r="4234" spans="1:1">
      <c r="A4234" s="81"/>
    </row>
    <row r="4235" spans="1:1">
      <c r="A4235" s="81"/>
    </row>
    <row r="4236" spans="1:1">
      <c r="A4236" s="81"/>
    </row>
    <row r="4237" spans="1:1">
      <c r="A4237" s="81"/>
    </row>
    <row r="4238" spans="1:1">
      <c r="A4238" s="81"/>
    </row>
    <row r="4239" spans="1:1">
      <c r="A4239" s="81"/>
    </row>
    <row r="4240" spans="1:1">
      <c r="A4240" s="81"/>
    </row>
    <row r="4241" spans="1:1">
      <c r="A4241" s="81"/>
    </row>
    <row r="4242" spans="1:1">
      <c r="A4242" s="81"/>
    </row>
    <row r="4243" spans="1:1">
      <c r="A4243" s="81"/>
    </row>
    <row r="4244" spans="1:1">
      <c r="A4244" s="81"/>
    </row>
    <row r="4245" spans="1:1">
      <c r="A4245" s="81"/>
    </row>
    <row r="4246" spans="1:1">
      <c r="A4246" s="81"/>
    </row>
    <row r="4247" spans="1:1">
      <c r="A4247" s="81"/>
    </row>
    <row r="4248" spans="1:1">
      <c r="A4248" s="81"/>
    </row>
    <row r="4249" spans="1:1">
      <c r="A4249" s="81"/>
    </row>
    <row r="4250" spans="1:1">
      <c r="A4250" s="81"/>
    </row>
    <row r="4251" spans="1:1">
      <c r="A4251" s="81"/>
    </row>
    <row r="4252" spans="1:1">
      <c r="A4252" s="81"/>
    </row>
    <row r="4253" spans="1:1">
      <c r="A4253" s="81"/>
    </row>
    <row r="4254" spans="1:1">
      <c r="A4254" s="81"/>
    </row>
    <row r="4255" spans="1:1">
      <c r="A4255" s="81"/>
    </row>
    <row r="4256" spans="1:1">
      <c r="A4256" s="81"/>
    </row>
    <row r="4257" spans="1:1">
      <c r="A4257" s="81"/>
    </row>
    <row r="4258" spans="1:1">
      <c r="A4258" s="81"/>
    </row>
    <row r="4259" spans="1:1">
      <c r="A4259" s="81"/>
    </row>
    <row r="4260" spans="1:1">
      <c r="A4260" s="81"/>
    </row>
    <row r="4261" spans="1:1">
      <c r="A4261" s="81"/>
    </row>
    <row r="4262" spans="1:1">
      <c r="A4262" s="81"/>
    </row>
    <row r="4263" spans="1:1">
      <c r="A4263" s="81"/>
    </row>
    <row r="4264" spans="1:1">
      <c r="A4264" s="81"/>
    </row>
    <row r="4265" spans="1:1">
      <c r="A4265" s="81"/>
    </row>
    <row r="4266" spans="1:1">
      <c r="A4266" s="81"/>
    </row>
    <row r="4267" spans="1:1">
      <c r="A4267" s="81"/>
    </row>
    <row r="4268" spans="1:1">
      <c r="A4268" s="81"/>
    </row>
    <row r="4269" spans="1:1">
      <c r="A4269" s="81"/>
    </row>
    <row r="4270" spans="1:1">
      <c r="A4270" s="81"/>
    </row>
    <row r="4271" spans="1:1">
      <c r="A4271" s="81"/>
    </row>
    <row r="4272" spans="1:1">
      <c r="A4272" s="81"/>
    </row>
    <row r="4273" spans="1:1">
      <c r="A4273" s="81"/>
    </row>
    <row r="4274" spans="1:1">
      <c r="A4274" s="81"/>
    </row>
    <row r="4275" spans="1:1">
      <c r="A4275" s="81"/>
    </row>
    <row r="4276" spans="1:1">
      <c r="A4276" s="81"/>
    </row>
    <row r="4277" spans="1:1">
      <c r="A4277" s="81"/>
    </row>
    <row r="4278" spans="1:1">
      <c r="A4278" s="81"/>
    </row>
    <row r="4279" spans="1:1">
      <c r="A4279" s="81"/>
    </row>
    <row r="4280" spans="1:1">
      <c r="A4280" s="81"/>
    </row>
    <row r="4281" spans="1:1">
      <c r="A4281" s="81"/>
    </row>
    <row r="4282" spans="1:1">
      <c r="A4282" s="81"/>
    </row>
    <row r="4283" spans="1:1">
      <c r="A4283" s="81"/>
    </row>
    <row r="4284" spans="1:1">
      <c r="A4284" s="81"/>
    </row>
    <row r="4285" spans="1:1">
      <c r="A4285" s="81"/>
    </row>
    <row r="4286" spans="1:1">
      <c r="A4286" s="81"/>
    </row>
    <row r="4287" spans="1:1">
      <c r="A4287" s="81"/>
    </row>
    <row r="4288" spans="1:1">
      <c r="A4288" s="81"/>
    </row>
    <row r="4289" spans="1:1">
      <c r="A4289" s="81"/>
    </row>
    <row r="4290" spans="1:1">
      <c r="A4290" s="81"/>
    </row>
    <row r="4291" spans="1:1">
      <c r="A4291" s="81"/>
    </row>
    <row r="4292" spans="1:1">
      <c r="A4292" s="81"/>
    </row>
    <row r="4293" spans="1:1">
      <c r="A4293" s="81"/>
    </row>
    <row r="4294" spans="1:1">
      <c r="A4294" s="81"/>
    </row>
    <row r="4295" spans="1:1">
      <c r="A4295" s="81"/>
    </row>
    <row r="4296" spans="1:1">
      <c r="A4296" s="81"/>
    </row>
    <row r="4297" spans="1:1">
      <c r="A4297" s="81"/>
    </row>
    <row r="4298" spans="1:1">
      <c r="A4298" s="81"/>
    </row>
    <row r="4299" spans="1:1">
      <c r="A4299" s="81"/>
    </row>
    <row r="4300" spans="1:1">
      <c r="A4300" s="81"/>
    </row>
    <row r="4301" spans="1:1">
      <c r="A4301" s="81"/>
    </row>
    <row r="4302" spans="1:1">
      <c r="A4302" s="81"/>
    </row>
    <row r="4303" spans="1:1">
      <c r="A4303" s="81"/>
    </row>
    <row r="4304" spans="1:1">
      <c r="A4304" s="81"/>
    </row>
    <row r="4305" spans="1:1">
      <c r="A4305" s="81"/>
    </row>
    <row r="4306" spans="1:1">
      <c r="A4306" s="81"/>
    </row>
    <row r="4307" spans="1:1">
      <c r="A4307" s="81"/>
    </row>
    <row r="4308" spans="1:1">
      <c r="A4308" s="81"/>
    </row>
    <row r="4309" spans="1:1">
      <c r="A4309" s="81"/>
    </row>
    <row r="4310" spans="1:1">
      <c r="A4310" s="81"/>
    </row>
    <row r="4311" spans="1:1">
      <c r="A4311" s="81"/>
    </row>
    <row r="4312" spans="1:1">
      <c r="A4312" s="81"/>
    </row>
    <row r="4313" spans="1:1">
      <c r="A4313" s="81"/>
    </row>
    <row r="4314" spans="1:1">
      <c r="A4314" s="81"/>
    </row>
    <row r="4315" spans="1:1">
      <c r="A4315" s="81"/>
    </row>
    <row r="4316" spans="1:1">
      <c r="A4316" s="81"/>
    </row>
    <row r="4317" spans="1:1">
      <c r="A4317" s="81"/>
    </row>
    <row r="4318" spans="1:1">
      <c r="A4318" s="81"/>
    </row>
    <row r="4319" spans="1:1">
      <c r="A4319" s="81"/>
    </row>
    <row r="4320" spans="1:1">
      <c r="A4320" s="81"/>
    </row>
    <row r="4321" spans="1:1">
      <c r="A4321" s="81"/>
    </row>
    <row r="4322" spans="1:1">
      <c r="A4322" s="81"/>
    </row>
    <row r="4323" spans="1:1">
      <c r="A4323" s="81"/>
    </row>
    <row r="4324" spans="1:1">
      <c r="A4324" s="81"/>
    </row>
    <row r="4325" spans="1:1">
      <c r="A4325" s="81"/>
    </row>
    <row r="4326" spans="1:1">
      <c r="A4326" s="81"/>
    </row>
    <row r="4327" spans="1:1">
      <c r="A4327" s="81"/>
    </row>
    <row r="4328" spans="1:1">
      <c r="A4328" s="81"/>
    </row>
    <row r="4329" spans="1:1">
      <c r="A4329" s="81"/>
    </row>
    <row r="4330" spans="1:1">
      <c r="A4330" s="81"/>
    </row>
    <row r="4331" spans="1:1">
      <c r="A4331" s="81"/>
    </row>
    <row r="4332" spans="1:1">
      <c r="A4332" s="81"/>
    </row>
    <row r="4333" spans="1:1">
      <c r="A4333" s="81"/>
    </row>
    <row r="4334" spans="1:1">
      <c r="A4334" s="81"/>
    </row>
    <row r="4335" spans="1:1">
      <c r="A4335" s="81"/>
    </row>
    <row r="4336" spans="1:1">
      <c r="A4336" s="81"/>
    </row>
    <row r="4337" spans="1:1">
      <c r="A4337" s="81"/>
    </row>
    <row r="4338" spans="1:1">
      <c r="A4338" s="81"/>
    </row>
    <row r="4339" spans="1:1">
      <c r="A4339" s="81"/>
    </row>
    <row r="4340" spans="1:1">
      <c r="A4340" s="81"/>
    </row>
    <row r="4341" spans="1:1">
      <c r="A4341" s="81"/>
    </row>
    <row r="4342" spans="1:1">
      <c r="A4342" s="81"/>
    </row>
    <row r="4343" spans="1:1">
      <c r="A4343" s="81"/>
    </row>
    <row r="4344" spans="1:1">
      <c r="A4344" s="81"/>
    </row>
    <row r="4345" spans="1:1">
      <c r="A4345" s="81"/>
    </row>
    <row r="4346" spans="1:1">
      <c r="A4346" s="81"/>
    </row>
    <row r="4347" spans="1:1">
      <c r="A4347" s="81"/>
    </row>
    <row r="4348" spans="1:1">
      <c r="A4348" s="81"/>
    </row>
    <row r="4349" spans="1:1">
      <c r="A4349" s="81"/>
    </row>
    <row r="4350" spans="1:1">
      <c r="A4350" s="81"/>
    </row>
    <row r="4351" spans="1:1">
      <c r="A4351" s="81"/>
    </row>
    <row r="4352" spans="1:1">
      <c r="A4352" s="81"/>
    </row>
    <row r="4353" spans="1:1">
      <c r="A4353" s="81"/>
    </row>
    <row r="4354" spans="1:1">
      <c r="A4354" s="81"/>
    </row>
    <row r="4355" spans="1:1">
      <c r="A4355" s="81"/>
    </row>
    <row r="4356" spans="1:1">
      <c r="A4356" s="81"/>
    </row>
    <row r="4357" spans="1:1">
      <c r="A4357" s="81"/>
    </row>
    <row r="4358" spans="1:1">
      <c r="A4358" s="81"/>
    </row>
    <row r="4359" spans="1:1">
      <c r="A4359" s="81"/>
    </row>
    <row r="4360" spans="1:1">
      <c r="A4360" s="81"/>
    </row>
    <row r="4361" spans="1:1">
      <c r="A4361" s="81"/>
    </row>
    <row r="4362" spans="1:1">
      <c r="A4362" s="81"/>
    </row>
    <row r="4363" spans="1:1">
      <c r="A4363" s="81"/>
    </row>
    <row r="4364" spans="1:1">
      <c r="A4364" s="81"/>
    </row>
    <row r="4365" spans="1:1">
      <c r="A4365" s="81"/>
    </row>
    <row r="4366" spans="1:1">
      <c r="A4366" s="81"/>
    </row>
    <row r="4367" spans="1:1">
      <c r="A4367" s="81"/>
    </row>
    <row r="4368" spans="1:1">
      <c r="A4368" s="81"/>
    </row>
    <row r="4369" spans="1:1">
      <c r="A4369" s="81"/>
    </row>
    <row r="4370" spans="1:1">
      <c r="A4370" s="81"/>
    </row>
    <row r="4371" spans="1:1">
      <c r="A4371" s="81"/>
    </row>
    <row r="4372" spans="1:1">
      <c r="A4372" s="81"/>
    </row>
    <row r="4373" spans="1:1">
      <c r="A4373" s="81"/>
    </row>
    <row r="4374" spans="1:1">
      <c r="A4374" s="81"/>
    </row>
    <row r="4375" spans="1:1">
      <c r="A4375" s="81"/>
    </row>
    <row r="4376" spans="1:1">
      <c r="A4376" s="81"/>
    </row>
    <row r="4377" spans="1:1">
      <c r="A4377" s="81"/>
    </row>
    <row r="4378" spans="1:1">
      <c r="A4378" s="81"/>
    </row>
    <row r="4379" spans="1:1">
      <c r="A4379" s="81"/>
    </row>
    <row r="4380" spans="1:1">
      <c r="A4380" s="81"/>
    </row>
    <row r="4381" spans="1:1">
      <c r="A4381" s="81"/>
    </row>
    <row r="4382" spans="1:1">
      <c r="A4382" s="81"/>
    </row>
    <row r="4383" spans="1:1">
      <c r="A4383" s="81"/>
    </row>
    <row r="4384" spans="1:1">
      <c r="A4384" s="81"/>
    </row>
    <row r="4385" spans="1:1">
      <c r="A4385" s="81"/>
    </row>
    <row r="4386" spans="1:1">
      <c r="A4386" s="81"/>
    </row>
    <row r="4387" spans="1:1">
      <c r="A4387" s="81"/>
    </row>
    <row r="4388" spans="1:1">
      <c r="A4388" s="81"/>
    </row>
    <row r="4389" spans="1:1">
      <c r="A4389" s="81"/>
    </row>
    <row r="4390" spans="1:1">
      <c r="A4390" s="81"/>
    </row>
    <row r="4391" spans="1:1">
      <c r="A4391" s="81"/>
    </row>
    <row r="4392" spans="1:1">
      <c r="A4392" s="81"/>
    </row>
    <row r="4393" spans="1:1">
      <c r="A4393" s="81"/>
    </row>
    <row r="4394" spans="1:1">
      <c r="A4394" s="81"/>
    </row>
    <row r="4395" spans="1:1">
      <c r="A4395" s="81"/>
    </row>
    <row r="4396" spans="1:1">
      <c r="A4396" s="81"/>
    </row>
    <row r="4397" spans="1:1">
      <c r="A4397" s="81"/>
    </row>
    <row r="4398" spans="1:1">
      <c r="A4398" s="81"/>
    </row>
    <row r="4399" spans="1:1">
      <c r="A4399" s="81"/>
    </row>
    <row r="4400" spans="1:1">
      <c r="A4400" s="81"/>
    </row>
    <row r="4401" spans="1:1">
      <c r="A4401" s="81"/>
    </row>
    <row r="4402" spans="1:1">
      <c r="A4402" s="81"/>
    </row>
    <row r="4403" spans="1:1">
      <c r="A4403" s="81"/>
    </row>
    <row r="4404" spans="1:1">
      <c r="A4404" s="81"/>
    </row>
    <row r="4405" spans="1:1">
      <c r="A4405" s="81"/>
    </row>
    <row r="4406" spans="1:1">
      <c r="A4406" s="81"/>
    </row>
    <row r="4407" spans="1:1">
      <c r="A4407" s="81"/>
    </row>
    <row r="4408" spans="1:1">
      <c r="A4408" s="81"/>
    </row>
    <row r="4409" spans="1:1">
      <c r="A4409" s="81"/>
    </row>
    <row r="4410" spans="1:1">
      <c r="A4410" s="81"/>
    </row>
    <row r="4411" spans="1:1">
      <c r="A4411" s="81"/>
    </row>
    <row r="4412" spans="1:1">
      <c r="A4412" s="81"/>
    </row>
    <row r="4413" spans="1:1">
      <c r="A4413" s="81"/>
    </row>
    <row r="4414" spans="1:1">
      <c r="A4414" s="81"/>
    </row>
    <row r="4415" spans="1:1">
      <c r="A4415" s="81"/>
    </row>
    <row r="4416" spans="1:1">
      <c r="A4416" s="81"/>
    </row>
    <row r="4417" spans="1:1">
      <c r="A4417" s="81"/>
    </row>
    <row r="4418" spans="1:1">
      <c r="A4418" s="81"/>
    </row>
    <row r="4419" spans="1:1">
      <c r="A4419" s="81"/>
    </row>
    <row r="4420" spans="1:1">
      <c r="A4420" s="81"/>
    </row>
    <row r="4421" spans="1:1">
      <c r="A4421" s="81"/>
    </row>
    <row r="4422" spans="1:1">
      <c r="A4422" s="81"/>
    </row>
    <row r="4423" spans="1:1">
      <c r="A4423" s="81"/>
    </row>
    <row r="4424" spans="1:1">
      <c r="A4424" s="81"/>
    </row>
    <row r="4425" spans="1:1">
      <c r="A4425" s="81"/>
    </row>
    <row r="4426" spans="1:1">
      <c r="A4426" s="81"/>
    </row>
    <row r="4427" spans="1:1">
      <c r="A4427" s="81"/>
    </row>
    <row r="4428" spans="1:1">
      <c r="A4428" s="81"/>
    </row>
    <row r="4429" spans="1:1">
      <c r="A4429" s="81"/>
    </row>
    <row r="4430" spans="1:1">
      <c r="A4430" s="81"/>
    </row>
    <row r="4431" spans="1:1">
      <c r="A4431" s="81"/>
    </row>
    <row r="4432" spans="1:1">
      <c r="A4432" s="81"/>
    </row>
    <row r="4433" spans="1:1">
      <c r="A4433" s="81"/>
    </row>
    <row r="4434" spans="1:1">
      <c r="A4434" s="81"/>
    </row>
    <row r="4435" spans="1:1">
      <c r="A4435" s="81"/>
    </row>
    <row r="4436" spans="1:1">
      <c r="A4436" s="81"/>
    </row>
    <row r="4437" spans="1:1">
      <c r="A4437" s="81"/>
    </row>
    <row r="4438" spans="1:1">
      <c r="A4438" s="81"/>
    </row>
    <row r="4439" spans="1:1">
      <c r="A4439" s="81"/>
    </row>
    <row r="4440" spans="1:1">
      <c r="A4440" s="81"/>
    </row>
    <row r="4441" spans="1:1">
      <c r="A4441" s="81"/>
    </row>
    <row r="4442" spans="1:1">
      <c r="A4442" s="81"/>
    </row>
    <row r="4443" spans="1:1">
      <c r="A4443" s="81"/>
    </row>
    <row r="4444" spans="1:1">
      <c r="A4444" s="81"/>
    </row>
    <row r="4445" spans="1:1">
      <c r="A4445" s="81"/>
    </row>
    <row r="4446" spans="1:1">
      <c r="A4446" s="81"/>
    </row>
    <row r="4447" spans="1:1">
      <c r="A4447" s="81"/>
    </row>
    <row r="4448" spans="1:1">
      <c r="A4448" s="81"/>
    </row>
    <row r="4449" spans="1:1">
      <c r="A4449" s="81"/>
    </row>
    <row r="4450" spans="1:1">
      <c r="A4450" s="81"/>
    </row>
    <row r="4451" spans="1:1">
      <c r="A4451" s="81"/>
    </row>
    <row r="4452" spans="1:1">
      <c r="A4452" s="81"/>
    </row>
    <row r="4453" spans="1:1">
      <c r="A4453" s="81"/>
    </row>
    <row r="4454" spans="1:1">
      <c r="A4454" s="81"/>
    </row>
    <row r="4455" spans="1:1">
      <c r="A4455" s="81"/>
    </row>
    <row r="4456" spans="1:1">
      <c r="A4456" s="81"/>
    </row>
    <row r="4457" spans="1:1">
      <c r="A4457" s="81"/>
    </row>
    <row r="4458" spans="1:1">
      <c r="A4458" s="81"/>
    </row>
    <row r="4459" spans="1:1">
      <c r="A4459" s="81"/>
    </row>
    <row r="4460" spans="1:1">
      <c r="A4460" s="81"/>
    </row>
    <row r="4461" spans="1:1">
      <c r="A4461" s="81"/>
    </row>
    <row r="4462" spans="1:1">
      <c r="A4462" s="81"/>
    </row>
    <row r="4463" spans="1:1">
      <c r="A4463" s="81"/>
    </row>
    <row r="4464" spans="1:1">
      <c r="A4464" s="81"/>
    </row>
    <row r="4465" spans="1:1">
      <c r="A4465" s="81"/>
    </row>
    <row r="4466" spans="1:1">
      <c r="A4466" s="81"/>
    </row>
    <row r="4467" spans="1:1">
      <c r="A4467" s="81"/>
    </row>
    <row r="4468" spans="1:1">
      <c r="A4468" s="81"/>
    </row>
    <row r="4469" spans="1:1">
      <c r="A4469" s="81"/>
    </row>
    <row r="4470" spans="1:1">
      <c r="A4470" s="81"/>
    </row>
    <row r="4471" spans="1:1">
      <c r="A4471" s="81"/>
    </row>
    <row r="4472" spans="1:1">
      <c r="A4472" s="81"/>
    </row>
    <row r="4473" spans="1:1">
      <c r="A4473" s="81"/>
    </row>
    <row r="4474" spans="1:1">
      <c r="A4474" s="81"/>
    </row>
    <row r="4475" spans="1:1">
      <c r="A4475" s="81"/>
    </row>
    <row r="4476" spans="1:1">
      <c r="A4476" s="81"/>
    </row>
    <row r="4477" spans="1:1">
      <c r="A4477" s="81"/>
    </row>
    <row r="4478" spans="1:1">
      <c r="A4478" s="81"/>
    </row>
    <row r="4479" spans="1:1">
      <c r="A4479" s="81"/>
    </row>
    <row r="4480" spans="1:1">
      <c r="A4480" s="81"/>
    </row>
    <row r="4481" spans="1:1">
      <c r="A4481" s="81"/>
    </row>
    <row r="4482" spans="1:1">
      <c r="A4482" s="81"/>
    </row>
    <row r="4483" spans="1:1">
      <c r="A4483" s="81"/>
    </row>
    <row r="4484" spans="1:1">
      <c r="A4484" s="81"/>
    </row>
    <row r="4485" spans="1:1">
      <c r="A4485" s="81"/>
    </row>
    <row r="4486" spans="1:1">
      <c r="A4486" s="81"/>
    </row>
    <row r="4487" spans="1:1">
      <c r="A4487" s="81"/>
    </row>
    <row r="4488" spans="1:1">
      <c r="A4488" s="81"/>
    </row>
    <row r="4489" spans="1:1">
      <c r="A4489" s="81"/>
    </row>
    <row r="4490" spans="1:1">
      <c r="A4490" s="81"/>
    </row>
    <row r="4491" spans="1:1">
      <c r="A4491" s="81"/>
    </row>
    <row r="4492" spans="1:1">
      <c r="A4492" s="81"/>
    </row>
    <row r="4493" spans="1:1">
      <c r="A4493" s="81"/>
    </row>
    <row r="4494" spans="1:1">
      <c r="A4494" s="81"/>
    </row>
    <row r="4495" spans="1:1">
      <c r="A4495" s="81"/>
    </row>
    <row r="4496" spans="1:1">
      <c r="A4496" s="81"/>
    </row>
    <row r="4497" spans="1:1">
      <c r="A4497" s="81"/>
    </row>
    <row r="4498" spans="1:1">
      <c r="A4498" s="81"/>
    </row>
    <row r="4499" spans="1:1">
      <c r="A4499" s="81"/>
    </row>
    <row r="4500" spans="1:1">
      <c r="A4500" s="81"/>
    </row>
    <row r="4501" spans="1:1">
      <c r="A4501" s="81"/>
    </row>
    <row r="4502" spans="1:1">
      <c r="A4502" s="81"/>
    </row>
    <row r="4503" spans="1:1">
      <c r="A4503" s="81"/>
    </row>
    <row r="4504" spans="1:1">
      <c r="A4504" s="81"/>
    </row>
    <row r="4505" spans="1:1">
      <c r="A4505" s="81"/>
    </row>
    <row r="4506" spans="1:1">
      <c r="A4506" s="81"/>
    </row>
    <row r="4507" spans="1:1">
      <c r="A4507" s="81"/>
    </row>
    <row r="4508" spans="1:1">
      <c r="A4508" s="81"/>
    </row>
    <row r="4509" spans="1:1">
      <c r="A4509" s="81"/>
    </row>
    <row r="4510" spans="1:1">
      <c r="A4510" s="81"/>
    </row>
    <row r="4511" spans="1:1">
      <c r="A4511" s="81"/>
    </row>
    <row r="4512" spans="1:1">
      <c r="A4512" s="81"/>
    </row>
    <row r="4513" spans="1:1">
      <c r="A4513" s="81"/>
    </row>
    <row r="4514" spans="1:1">
      <c r="A4514" s="81"/>
    </row>
    <row r="4515" spans="1:1">
      <c r="A4515" s="81"/>
    </row>
    <row r="4516" spans="1:1">
      <c r="A4516" s="81"/>
    </row>
    <row r="4517" spans="1:1">
      <c r="A4517" s="81"/>
    </row>
    <row r="4518" spans="1:1">
      <c r="A4518" s="81"/>
    </row>
    <row r="4519" spans="1:1">
      <c r="A4519" s="81"/>
    </row>
    <row r="4520" spans="1:1">
      <c r="A4520" s="81"/>
    </row>
    <row r="4521" spans="1:1">
      <c r="A4521" s="81"/>
    </row>
    <row r="4522" spans="1:1">
      <c r="A4522" s="81"/>
    </row>
    <row r="4523" spans="1:1">
      <c r="A4523" s="81"/>
    </row>
    <row r="4524" spans="1:1">
      <c r="A4524" s="81"/>
    </row>
    <row r="4525" spans="1:1">
      <c r="A4525" s="81"/>
    </row>
    <row r="4526" spans="1:1">
      <c r="A4526" s="81"/>
    </row>
    <row r="4527" spans="1:1">
      <c r="A4527" s="81"/>
    </row>
    <row r="4528" spans="1:1">
      <c r="A4528" s="81"/>
    </row>
    <row r="4529" spans="1:1">
      <c r="A4529" s="81"/>
    </row>
    <row r="4530" spans="1:1">
      <c r="A4530" s="81"/>
    </row>
    <row r="4531" spans="1:1">
      <c r="A4531" s="81"/>
    </row>
    <row r="4532" spans="1:1">
      <c r="A4532" s="81"/>
    </row>
    <row r="4533" spans="1:1">
      <c r="A4533" s="81"/>
    </row>
    <row r="4534" spans="1:1">
      <c r="A4534" s="81"/>
    </row>
    <row r="4535" spans="1:1">
      <c r="A4535" s="81"/>
    </row>
    <row r="4536" spans="1:1">
      <c r="A4536" s="81"/>
    </row>
    <row r="4537" spans="1:1">
      <c r="A4537" s="81"/>
    </row>
    <row r="4538" spans="1:1">
      <c r="A4538" s="81"/>
    </row>
    <row r="4539" spans="1:1">
      <c r="A4539" s="81"/>
    </row>
    <row r="4540" spans="1:1">
      <c r="A4540" s="81"/>
    </row>
    <row r="4541" spans="1:1">
      <c r="A4541" s="81"/>
    </row>
    <row r="4542" spans="1:1">
      <c r="A4542" s="81"/>
    </row>
    <row r="4543" spans="1:1">
      <c r="A4543" s="81"/>
    </row>
    <row r="4544" spans="1:1">
      <c r="A4544" s="81"/>
    </row>
    <row r="4545" spans="1:1">
      <c r="A4545" s="81"/>
    </row>
    <row r="4546" spans="1:1">
      <c r="A4546" s="81"/>
    </row>
    <row r="4547" spans="1:1">
      <c r="A4547" s="81"/>
    </row>
    <row r="4548" spans="1:1">
      <c r="A4548" s="81"/>
    </row>
    <row r="4549" spans="1:1">
      <c r="A4549" s="81"/>
    </row>
    <row r="4550" spans="1:1">
      <c r="A4550" s="81"/>
    </row>
    <row r="4551" spans="1:1">
      <c r="A4551" s="81"/>
    </row>
    <row r="4552" spans="1:1">
      <c r="A4552" s="81"/>
    </row>
    <row r="4553" spans="1:1">
      <c r="A4553" s="81"/>
    </row>
    <row r="4554" spans="1:1">
      <c r="A4554" s="81"/>
    </row>
    <row r="4555" spans="1:1">
      <c r="A4555" s="81"/>
    </row>
    <row r="4556" spans="1:1">
      <c r="A4556" s="81"/>
    </row>
    <row r="4557" spans="1:1">
      <c r="A4557" s="81"/>
    </row>
    <row r="4558" spans="1:1">
      <c r="A4558" s="81"/>
    </row>
    <row r="4559" spans="1:1">
      <c r="A4559" s="81"/>
    </row>
    <row r="4560" spans="1:1">
      <c r="A4560" s="81"/>
    </row>
    <row r="4561" spans="1:1">
      <c r="A4561" s="81"/>
    </row>
    <row r="4562" spans="1:1">
      <c r="A4562" s="81"/>
    </row>
    <row r="4563" spans="1:1">
      <c r="A4563" s="81"/>
    </row>
    <row r="4564" spans="1:1">
      <c r="A4564" s="81"/>
    </row>
    <row r="4565" spans="1:1">
      <c r="A4565" s="81"/>
    </row>
    <row r="4566" spans="1:1">
      <c r="A4566" s="81"/>
    </row>
    <row r="4567" spans="1:1">
      <c r="A4567" s="81"/>
    </row>
    <row r="4568" spans="1:1">
      <c r="A4568" s="81"/>
    </row>
    <row r="4569" spans="1:1">
      <c r="A4569" s="81"/>
    </row>
    <row r="4570" spans="1:1">
      <c r="A4570" s="81"/>
    </row>
    <row r="4571" spans="1:1">
      <c r="A4571" s="81"/>
    </row>
    <row r="4572" spans="1:1">
      <c r="A4572" s="81"/>
    </row>
    <row r="4573" spans="1:1">
      <c r="A4573" s="81"/>
    </row>
    <row r="4574" spans="1:1">
      <c r="A4574" s="81"/>
    </row>
    <row r="4575" spans="1:1">
      <c r="A4575" s="81"/>
    </row>
    <row r="4576" spans="1:1">
      <c r="A4576" s="81"/>
    </row>
    <row r="4577" spans="1:1">
      <c r="A4577" s="81"/>
    </row>
    <row r="4578" spans="1:1">
      <c r="A4578" s="81"/>
    </row>
    <row r="4579" spans="1:1">
      <c r="A4579" s="81"/>
    </row>
    <row r="4580" spans="1:1">
      <c r="A4580" s="81"/>
    </row>
    <row r="4581" spans="1:1">
      <c r="A4581" s="81"/>
    </row>
    <row r="4582" spans="1:1">
      <c r="A4582" s="81"/>
    </row>
    <row r="4583" spans="1:1">
      <c r="A4583" s="81"/>
    </row>
    <row r="4584" spans="1:1">
      <c r="A4584" s="81"/>
    </row>
    <row r="4585" spans="1:1">
      <c r="A4585" s="81"/>
    </row>
    <row r="4586" spans="1:1">
      <c r="A4586" s="81"/>
    </row>
    <row r="4587" spans="1:1">
      <c r="A4587" s="81"/>
    </row>
    <row r="4588" spans="1:1">
      <c r="A4588" s="81"/>
    </row>
    <row r="4589" spans="1:1">
      <c r="A4589" s="81"/>
    </row>
    <row r="4590" spans="1:1">
      <c r="A4590" s="81"/>
    </row>
    <row r="4591" spans="1:1">
      <c r="A4591" s="81"/>
    </row>
    <row r="4592" spans="1:1">
      <c r="A4592" s="81"/>
    </row>
    <row r="4593" spans="1:1">
      <c r="A4593" s="81"/>
    </row>
    <row r="4594" spans="1:1">
      <c r="A4594" s="81"/>
    </row>
    <row r="4595" spans="1:1">
      <c r="A4595" s="81"/>
    </row>
    <row r="4596" spans="1:1">
      <c r="A4596" s="81"/>
    </row>
    <row r="4597" spans="1:1">
      <c r="A4597" s="81"/>
    </row>
    <row r="4598" spans="1:1">
      <c r="A4598" s="81"/>
    </row>
    <row r="4599" spans="1:1">
      <c r="A4599" s="81"/>
    </row>
    <row r="4600" spans="1:1">
      <c r="A4600" s="81"/>
    </row>
    <row r="4601" spans="1:1">
      <c r="A4601" s="81"/>
    </row>
    <row r="4602" spans="1:1">
      <c r="A4602" s="81"/>
    </row>
    <row r="4603" spans="1:1">
      <c r="A4603" s="81"/>
    </row>
    <row r="4604" spans="1:1">
      <c r="A4604" s="81"/>
    </row>
    <row r="4605" spans="1:1">
      <c r="A4605" s="81"/>
    </row>
    <row r="4606" spans="1:1">
      <c r="A4606" s="81"/>
    </row>
    <row r="4607" spans="1:1">
      <c r="A4607" s="81"/>
    </row>
    <row r="4608" spans="1:1">
      <c r="A4608" s="81"/>
    </row>
    <row r="4609" spans="1:1">
      <c r="A4609" s="81"/>
    </row>
    <row r="4610" spans="1:1">
      <c r="A4610" s="81"/>
    </row>
    <row r="4611" spans="1:1">
      <c r="A4611" s="81"/>
    </row>
    <row r="4612" spans="1:1">
      <c r="A4612" s="81"/>
    </row>
    <row r="4613" spans="1:1">
      <c r="A4613" s="81"/>
    </row>
    <row r="4614" spans="1:1">
      <c r="A4614" s="81"/>
    </row>
    <row r="4615" spans="1:1">
      <c r="A4615" s="81"/>
    </row>
    <row r="4616" spans="1:1">
      <c r="A4616" s="81"/>
    </row>
    <row r="4617" spans="1:1">
      <c r="A4617" s="81"/>
    </row>
    <row r="4618" spans="1:1">
      <c r="A4618" s="81"/>
    </row>
    <row r="4619" spans="1:1">
      <c r="A4619" s="81"/>
    </row>
    <row r="4620" spans="1:1">
      <c r="A4620" s="81"/>
    </row>
    <row r="4621" spans="1:1">
      <c r="A4621" s="81"/>
    </row>
    <row r="4622" spans="1:1">
      <c r="A4622" s="81"/>
    </row>
    <row r="4623" spans="1:1">
      <c r="A4623" s="81"/>
    </row>
    <row r="4624" spans="1:1">
      <c r="A4624" s="81"/>
    </row>
    <row r="4625" spans="1:1">
      <c r="A4625" s="81"/>
    </row>
    <row r="4626" spans="1:1">
      <c r="A4626" s="81"/>
    </row>
    <row r="4627" spans="1:1">
      <c r="A4627" s="81"/>
    </row>
    <row r="4628" spans="1:1">
      <c r="A4628" s="81"/>
    </row>
    <row r="4629" spans="1:1">
      <c r="A4629" s="81"/>
    </row>
    <row r="4630" spans="1:1">
      <c r="A4630" s="81"/>
    </row>
    <row r="4631" spans="1:1">
      <c r="A4631" s="81"/>
    </row>
    <row r="4632" spans="1:1">
      <c r="A4632" s="81"/>
    </row>
    <row r="4633" spans="1:1">
      <c r="A4633" s="81"/>
    </row>
    <row r="4634" spans="1:1">
      <c r="A4634" s="81"/>
    </row>
    <row r="4635" spans="1:1">
      <c r="A4635" s="81"/>
    </row>
    <row r="4636" spans="1:1">
      <c r="A4636" s="81"/>
    </row>
    <row r="4637" spans="1:1">
      <c r="A4637" s="81"/>
    </row>
    <row r="4638" spans="1:1">
      <c r="A4638" s="81"/>
    </row>
    <row r="4639" spans="1:1">
      <c r="A4639" s="81"/>
    </row>
    <row r="4640" spans="1:1">
      <c r="A4640" s="81"/>
    </row>
    <row r="4641" spans="1:1">
      <c r="A4641" s="81"/>
    </row>
    <row r="4642" spans="1:1">
      <c r="A4642" s="81"/>
    </row>
    <row r="4643" spans="1:1">
      <c r="A4643" s="81"/>
    </row>
    <row r="4644" spans="1:1">
      <c r="A4644" s="81"/>
    </row>
    <row r="4645" spans="1:1">
      <c r="A4645" s="81"/>
    </row>
    <row r="4646" spans="1:1">
      <c r="A4646" s="81"/>
    </row>
    <row r="4647" spans="1:1">
      <c r="A4647" s="81"/>
    </row>
    <row r="4648" spans="1:1">
      <c r="A4648" s="81"/>
    </row>
    <row r="4649" spans="1:1">
      <c r="A4649" s="81"/>
    </row>
    <row r="4650" spans="1:1">
      <c r="A4650" s="81"/>
    </row>
    <row r="4651" spans="1:1">
      <c r="A4651" s="81"/>
    </row>
    <row r="4652" spans="1:1">
      <c r="A4652" s="81"/>
    </row>
    <row r="4653" spans="1:1">
      <c r="A4653" s="81"/>
    </row>
    <row r="4654" spans="1:1">
      <c r="A4654" s="81"/>
    </row>
    <row r="4655" spans="1:1">
      <c r="A4655" s="81"/>
    </row>
    <row r="4656" spans="1:1">
      <c r="A4656" s="81"/>
    </row>
    <row r="4657" spans="1:1">
      <c r="A4657" s="81"/>
    </row>
    <row r="4658" spans="1:1">
      <c r="A4658" s="81"/>
    </row>
    <row r="4659" spans="1:1">
      <c r="A4659" s="81"/>
    </row>
    <row r="4660" spans="1:1">
      <c r="A4660" s="81"/>
    </row>
    <row r="4661" spans="1:1">
      <c r="A4661" s="81"/>
    </row>
    <row r="4662" spans="1:1">
      <c r="A4662" s="81"/>
    </row>
    <row r="4663" spans="1:1">
      <c r="A4663" s="81"/>
    </row>
    <row r="4664" spans="1:1">
      <c r="A4664" s="81"/>
    </row>
    <row r="4665" spans="1:1">
      <c r="A4665" s="81"/>
    </row>
    <row r="4666" spans="1:1">
      <c r="A4666" s="81"/>
    </row>
    <row r="4667" spans="1:1">
      <c r="A4667" s="81"/>
    </row>
    <row r="4668" spans="1:1">
      <c r="A4668" s="81"/>
    </row>
    <row r="4669" spans="1:1">
      <c r="A4669" s="81"/>
    </row>
    <row r="4670" spans="1:1">
      <c r="A4670" s="81"/>
    </row>
    <row r="4671" spans="1:1">
      <c r="A4671" s="81"/>
    </row>
    <row r="4672" spans="1:1">
      <c r="A4672" s="81"/>
    </row>
    <row r="4673" spans="1:1">
      <c r="A4673" s="81"/>
    </row>
    <row r="4674" spans="1:1">
      <c r="A4674" s="81"/>
    </row>
    <row r="4675" spans="1:1">
      <c r="A4675" s="81"/>
    </row>
    <row r="4676" spans="1:1">
      <c r="A4676" s="81"/>
    </row>
    <row r="4677" spans="1:1">
      <c r="A4677" s="81"/>
    </row>
    <row r="4678" spans="1:1">
      <c r="A4678" s="81"/>
    </row>
    <row r="4679" spans="1:1">
      <c r="A4679" s="81"/>
    </row>
    <row r="4680" spans="1:1">
      <c r="A4680" s="81"/>
    </row>
    <row r="4681" spans="1:1">
      <c r="A4681" s="81"/>
    </row>
    <row r="4682" spans="1:1">
      <c r="A4682" s="81"/>
    </row>
    <row r="4683" spans="1:1">
      <c r="A4683" s="81"/>
    </row>
    <row r="4684" spans="1:1">
      <c r="A4684" s="81"/>
    </row>
    <row r="4685" spans="1:1">
      <c r="A4685" s="81"/>
    </row>
    <row r="4686" spans="1:1">
      <c r="A4686" s="81"/>
    </row>
    <row r="4687" spans="1:1">
      <c r="A4687" s="81"/>
    </row>
    <row r="4688" spans="1:1">
      <c r="A4688" s="81"/>
    </row>
    <row r="4689" spans="1:1">
      <c r="A4689" s="81"/>
    </row>
    <row r="4690" spans="1:1">
      <c r="A4690" s="81"/>
    </row>
    <row r="4691" spans="1:1">
      <c r="A4691" s="81"/>
    </row>
    <row r="4692" spans="1:1">
      <c r="A4692" s="81"/>
    </row>
    <row r="4693" spans="1:1">
      <c r="A4693" s="81"/>
    </row>
    <row r="4694" spans="1:1">
      <c r="A4694" s="81"/>
    </row>
    <row r="4695" spans="1:1">
      <c r="A4695" s="81"/>
    </row>
    <row r="4696" spans="1:1">
      <c r="A4696" s="81"/>
    </row>
    <row r="4697" spans="1:1">
      <c r="A4697" s="81"/>
    </row>
    <row r="4698" spans="1:1">
      <c r="A4698" s="81"/>
    </row>
    <row r="4699" spans="1:1">
      <c r="A4699" s="81"/>
    </row>
    <row r="4700" spans="1:1">
      <c r="A4700" s="81"/>
    </row>
    <row r="4701" spans="1:1">
      <c r="A4701" s="81"/>
    </row>
    <row r="4702" spans="1:1">
      <c r="A4702" s="81"/>
    </row>
    <row r="4703" spans="1:1">
      <c r="A4703" s="81"/>
    </row>
    <row r="4704" spans="1:1">
      <c r="A4704" s="81"/>
    </row>
    <row r="4705" spans="1:1">
      <c r="A4705" s="81"/>
    </row>
    <row r="4706" spans="1:1">
      <c r="A4706" s="81"/>
    </row>
    <row r="4707" spans="1:1">
      <c r="A4707" s="81"/>
    </row>
    <row r="4708" spans="1:1">
      <c r="A4708" s="81"/>
    </row>
    <row r="4709" spans="1:1">
      <c r="A4709" s="81"/>
    </row>
    <row r="4710" spans="1:1">
      <c r="A4710" s="81"/>
    </row>
    <row r="4711" spans="1:1">
      <c r="A4711" s="81"/>
    </row>
    <row r="4712" spans="1:1">
      <c r="A4712" s="81"/>
    </row>
    <row r="4713" spans="1:1">
      <c r="A4713" s="81"/>
    </row>
    <row r="4714" spans="1:1">
      <c r="A4714" s="81"/>
    </row>
    <row r="4715" spans="1:1">
      <c r="A4715" s="81"/>
    </row>
    <row r="4716" spans="1:1">
      <c r="A4716" s="81"/>
    </row>
    <row r="4717" spans="1:1">
      <c r="A4717" s="81"/>
    </row>
    <row r="4718" spans="1:1">
      <c r="A4718" s="81"/>
    </row>
    <row r="4719" spans="1:1">
      <c r="A4719" s="81"/>
    </row>
    <row r="4720" spans="1:1">
      <c r="A4720" s="81"/>
    </row>
    <row r="4721" spans="1:1">
      <c r="A4721" s="81"/>
    </row>
    <row r="4722" spans="1:1">
      <c r="A4722" s="81"/>
    </row>
    <row r="4723" spans="1:1">
      <c r="A4723" s="81"/>
    </row>
    <row r="4724" spans="1:1">
      <c r="A4724" s="81"/>
    </row>
    <row r="4725" spans="1:1">
      <c r="A4725" s="81"/>
    </row>
    <row r="4726" spans="1:1">
      <c r="A4726" s="81"/>
    </row>
    <row r="4727" spans="1:1">
      <c r="A4727" s="81"/>
    </row>
    <row r="4728" spans="1:1">
      <c r="A4728" s="81"/>
    </row>
    <row r="4729" spans="1:1">
      <c r="A4729" s="81"/>
    </row>
    <row r="4730" spans="1:1">
      <c r="A4730" s="81"/>
    </row>
    <row r="4731" spans="1:1">
      <c r="A4731" s="81"/>
    </row>
    <row r="4732" spans="1:1">
      <c r="A4732" s="81"/>
    </row>
    <row r="4733" spans="1:1">
      <c r="A4733" s="81"/>
    </row>
    <row r="4734" spans="1:1">
      <c r="A4734" s="81"/>
    </row>
    <row r="4735" spans="1:1">
      <c r="A4735" s="81"/>
    </row>
    <row r="4736" spans="1:1">
      <c r="A4736" s="81"/>
    </row>
    <row r="4737" spans="1:1">
      <c r="A4737" s="81"/>
    </row>
    <row r="4738" spans="1:1">
      <c r="A4738" s="81"/>
    </row>
    <row r="4739" spans="1:1">
      <c r="A4739" s="81"/>
    </row>
    <row r="4740" spans="1:1">
      <c r="A4740" s="81"/>
    </row>
    <row r="4741" spans="1:1">
      <c r="A4741" s="81"/>
    </row>
    <row r="4742" spans="1:1">
      <c r="A4742" s="81"/>
    </row>
    <row r="4743" spans="1:1">
      <c r="A4743" s="81"/>
    </row>
    <row r="4744" spans="1:1">
      <c r="A4744" s="81"/>
    </row>
    <row r="4745" spans="1:1">
      <c r="A4745" s="81"/>
    </row>
    <row r="4746" spans="1:1">
      <c r="A4746" s="81"/>
    </row>
    <row r="4747" spans="1:1">
      <c r="A4747" s="81"/>
    </row>
    <row r="4748" spans="1:1">
      <c r="A4748" s="81"/>
    </row>
    <row r="4749" spans="1:1">
      <c r="A4749" s="81"/>
    </row>
    <row r="4750" spans="1:1">
      <c r="A4750" s="81"/>
    </row>
    <row r="4751" spans="1:1">
      <c r="A4751" s="81"/>
    </row>
    <row r="4752" spans="1:1">
      <c r="A4752" s="81"/>
    </row>
    <row r="4753" spans="1:1">
      <c r="A4753" s="81"/>
    </row>
    <row r="4754" spans="1:1">
      <c r="A4754" s="81"/>
    </row>
    <row r="4755" spans="1:1">
      <c r="A4755" s="81"/>
    </row>
    <row r="4756" spans="1:1">
      <c r="A4756" s="81"/>
    </row>
    <row r="4757" spans="1:1">
      <c r="A4757" s="81"/>
    </row>
    <row r="4758" spans="1:1">
      <c r="A4758" s="81"/>
    </row>
    <row r="4759" spans="1:1">
      <c r="A4759" s="81"/>
    </row>
    <row r="4760" spans="1:1">
      <c r="A4760" s="81"/>
    </row>
    <row r="4761" spans="1:1">
      <c r="A4761" s="81"/>
    </row>
    <row r="4762" spans="1:1">
      <c r="A4762" s="81"/>
    </row>
    <row r="4763" spans="1:1">
      <c r="A4763" s="81"/>
    </row>
    <row r="4764" spans="1:1">
      <c r="A4764" s="81"/>
    </row>
    <row r="4765" spans="1:1">
      <c r="A4765" s="81"/>
    </row>
    <row r="4766" spans="1:1">
      <c r="A4766" s="81"/>
    </row>
    <row r="4767" spans="1:1">
      <c r="A4767" s="81"/>
    </row>
    <row r="4768" spans="1:1">
      <c r="A4768" s="81"/>
    </row>
    <row r="4769" spans="1:1">
      <c r="A4769" s="81"/>
    </row>
    <row r="4770" spans="1:1">
      <c r="A4770" s="81"/>
    </row>
    <row r="4771" spans="1:1">
      <c r="A4771" s="81"/>
    </row>
    <row r="4772" spans="1:1">
      <c r="A4772" s="81"/>
    </row>
    <row r="4773" spans="1:1">
      <c r="A4773" s="81"/>
    </row>
    <row r="4774" spans="1:1">
      <c r="A4774" s="81"/>
    </row>
    <row r="4775" spans="1:1">
      <c r="A4775" s="81"/>
    </row>
    <row r="4776" spans="1:1">
      <c r="A4776" s="81"/>
    </row>
    <row r="4777" spans="1:1">
      <c r="A4777" s="81"/>
    </row>
    <row r="4778" spans="1:1">
      <c r="A4778" s="81"/>
    </row>
    <row r="4779" spans="1:1">
      <c r="A4779" s="81"/>
    </row>
    <row r="4780" spans="1:1">
      <c r="A4780" s="81"/>
    </row>
    <row r="4781" spans="1:1">
      <c r="A4781" s="81"/>
    </row>
    <row r="4782" spans="1:1">
      <c r="A4782" s="81"/>
    </row>
    <row r="4783" spans="1:1">
      <c r="A4783" s="81"/>
    </row>
    <row r="4784" spans="1:1">
      <c r="A4784" s="81"/>
    </row>
    <row r="4785" spans="1:1">
      <c r="A4785" s="81"/>
    </row>
    <row r="4786" spans="1:1">
      <c r="A4786" s="81"/>
    </row>
    <row r="4787" spans="1:1">
      <c r="A4787" s="81"/>
    </row>
    <row r="4788" spans="1:1">
      <c r="A4788" s="81"/>
    </row>
    <row r="4789" spans="1:1">
      <c r="A4789" s="81"/>
    </row>
    <row r="4790" spans="1:1">
      <c r="A4790" s="81"/>
    </row>
    <row r="4791" spans="1:1">
      <c r="A4791" s="81"/>
    </row>
    <row r="4792" spans="1:1">
      <c r="A4792" s="81"/>
    </row>
    <row r="4793" spans="1:1">
      <c r="A4793" s="81"/>
    </row>
    <row r="4794" spans="1:1">
      <c r="A4794" s="81"/>
    </row>
    <row r="4795" spans="1:1">
      <c r="A4795" s="81"/>
    </row>
    <row r="4796" spans="1:1">
      <c r="A4796" s="81"/>
    </row>
    <row r="4797" spans="1:1">
      <c r="A4797" s="81"/>
    </row>
    <row r="4798" spans="1:1">
      <c r="A4798" s="81"/>
    </row>
    <row r="4799" spans="1:1">
      <c r="A4799" s="81"/>
    </row>
    <row r="4800" spans="1:1">
      <c r="A4800" s="81"/>
    </row>
    <row r="4801" spans="1:1">
      <c r="A4801" s="81"/>
    </row>
    <row r="4802" spans="1:1">
      <c r="A4802" s="81"/>
    </row>
    <row r="4803" spans="1:1">
      <c r="A4803" s="81"/>
    </row>
    <row r="4804" spans="1:1">
      <c r="A4804" s="81"/>
    </row>
    <row r="4805" spans="1:1">
      <c r="A4805" s="81"/>
    </row>
    <row r="4806" spans="1:1">
      <c r="A4806" s="81"/>
    </row>
    <row r="4807" spans="1:1">
      <c r="A4807" s="81"/>
    </row>
    <row r="4808" spans="1:1">
      <c r="A4808" s="81"/>
    </row>
    <row r="4809" spans="1:1">
      <c r="A4809" s="81"/>
    </row>
    <row r="4810" spans="1:1">
      <c r="A4810" s="81"/>
    </row>
    <row r="4811" spans="1:1">
      <c r="A4811" s="81"/>
    </row>
    <row r="4812" spans="1:1">
      <c r="A4812" s="81"/>
    </row>
    <row r="4813" spans="1:1">
      <c r="A4813" s="81"/>
    </row>
    <row r="4814" spans="1:1">
      <c r="A4814" s="81"/>
    </row>
    <row r="4815" spans="1:1">
      <c r="A4815" s="81"/>
    </row>
    <row r="4816" spans="1:1">
      <c r="A4816" s="81"/>
    </row>
    <row r="4817" spans="1:1">
      <c r="A4817" s="81"/>
    </row>
    <row r="4818" spans="1:1">
      <c r="A4818" s="81"/>
    </row>
    <row r="4819" spans="1:1">
      <c r="A4819" s="81"/>
    </row>
    <row r="4820" spans="1:1">
      <c r="A4820" s="81"/>
    </row>
    <row r="4821" spans="1:1">
      <c r="A4821" s="81"/>
    </row>
    <row r="4822" spans="1:1">
      <c r="A4822" s="81"/>
    </row>
    <row r="4823" spans="1:1">
      <c r="A4823" s="81"/>
    </row>
    <row r="4824" spans="1:1">
      <c r="A4824" s="81"/>
    </row>
    <row r="4825" spans="1:1">
      <c r="A4825" s="81"/>
    </row>
    <row r="4826" spans="1:1">
      <c r="A4826" s="81"/>
    </row>
    <row r="4827" spans="1:1">
      <c r="A4827" s="81"/>
    </row>
    <row r="4828" spans="1:1">
      <c r="A4828" s="81"/>
    </row>
    <row r="4829" spans="1:1">
      <c r="A4829" s="81"/>
    </row>
    <row r="4830" spans="1:1">
      <c r="A4830" s="81"/>
    </row>
    <row r="4831" spans="1:1">
      <c r="A4831" s="81"/>
    </row>
    <row r="4832" spans="1:1">
      <c r="A4832" s="81"/>
    </row>
    <row r="4833" spans="1:1">
      <c r="A4833" s="81"/>
    </row>
    <row r="4834" spans="1:1">
      <c r="A4834" s="81"/>
    </row>
    <row r="4835" spans="1:1">
      <c r="A4835" s="81"/>
    </row>
    <row r="4836" spans="1:1">
      <c r="A4836" s="81"/>
    </row>
    <row r="4837" spans="1:1">
      <c r="A4837" s="81"/>
    </row>
    <row r="4838" spans="1:1">
      <c r="A4838" s="81"/>
    </row>
    <row r="4839" spans="1:1">
      <c r="A4839" s="81"/>
    </row>
    <row r="4840" spans="1:1">
      <c r="A4840" s="81"/>
    </row>
    <row r="4841" spans="1:1">
      <c r="A4841" s="81"/>
    </row>
    <row r="4842" spans="1:1">
      <c r="A4842" s="81"/>
    </row>
    <row r="4843" spans="1:1">
      <c r="A4843" s="81"/>
    </row>
    <row r="4844" spans="1:1">
      <c r="A4844" s="81"/>
    </row>
    <row r="4845" spans="1:1">
      <c r="A4845" s="81"/>
    </row>
    <row r="4846" spans="1:1">
      <c r="A4846" s="81"/>
    </row>
    <row r="4847" spans="1:1">
      <c r="A4847" s="81"/>
    </row>
    <row r="4848" spans="1:1">
      <c r="A4848" s="81"/>
    </row>
    <row r="4849" spans="1:1">
      <c r="A4849" s="81"/>
    </row>
    <row r="4850" spans="1:1">
      <c r="A4850" s="81"/>
    </row>
    <row r="4851" spans="1:1">
      <c r="A4851" s="81"/>
    </row>
    <row r="4852" spans="1:1">
      <c r="A4852" s="81"/>
    </row>
    <row r="4853" spans="1:1">
      <c r="A4853" s="81"/>
    </row>
    <row r="4854" spans="1:1">
      <c r="A4854" s="81"/>
    </row>
    <row r="4855" spans="1:1">
      <c r="A4855" s="81"/>
    </row>
    <row r="4856" spans="1:1">
      <c r="A4856" s="81"/>
    </row>
    <row r="4857" spans="1:1">
      <c r="A4857" s="81"/>
    </row>
    <row r="4858" spans="1:1">
      <c r="A4858" s="81"/>
    </row>
    <row r="4859" spans="1:1">
      <c r="A4859" s="81"/>
    </row>
    <row r="4860" spans="1:1">
      <c r="A4860" s="81"/>
    </row>
    <row r="4861" spans="1:1">
      <c r="A4861" s="81"/>
    </row>
    <row r="4862" spans="1:1">
      <c r="A4862" s="81"/>
    </row>
    <row r="4863" spans="1:1">
      <c r="A4863" s="81"/>
    </row>
    <row r="4864" spans="1:1">
      <c r="A4864" s="81"/>
    </row>
    <row r="4865" spans="1:1">
      <c r="A4865" s="81"/>
    </row>
    <row r="4866" spans="1:1">
      <c r="A4866" s="81"/>
    </row>
    <row r="4867" spans="1:1">
      <c r="A4867" s="81"/>
    </row>
    <row r="4868" spans="1:1">
      <c r="A4868" s="81"/>
    </row>
    <row r="4869" spans="1:1">
      <c r="A4869" s="81"/>
    </row>
    <row r="4870" spans="1:1">
      <c r="A4870" s="81"/>
    </row>
    <row r="4871" spans="1:1">
      <c r="A4871" s="81"/>
    </row>
    <row r="4872" spans="1:1">
      <c r="A4872" s="81"/>
    </row>
    <row r="4873" spans="1:1">
      <c r="A4873" s="81"/>
    </row>
    <row r="4874" spans="1:1">
      <c r="A4874" s="81"/>
    </row>
    <row r="4875" spans="1:1">
      <c r="A4875" s="81"/>
    </row>
    <row r="4876" spans="1:1">
      <c r="A4876" s="81"/>
    </row>
    <row r="4877" spans="1:1">
      <c r="A4877" s="81"/>
    </row>
    <row r="4878" spans="1:1">
      <c r="A4878" s="81"/>
    </row>
    <row r="4879" spans="1:1">
      <c r="A4879" s="81"/>
    </row>
    <row r="4880" spans="1:1">
      <c r="A4880" s="81"/>
    </row>
    <row r="4881" spans="1:1">
      <c r="A4881" s="81"/>
    </row>
    <row r="4882" spans="1:1">
      <c r="A4882" s="81"/>
    </row>
    <row r="4883" spans="1:1">
      <c r="A4883" s="81"/>
    </row>
    <row r="4884" spans="1:1">
      <c r="A4884" s="81"/>
    </row>
    <row r="4885" spans="1:1">
      <c r="A4885" s="81"/>
    </row>
    <row r="4886" spans="1:1">
      <c r="A4886" s="81"/>
    </row>
    <row r="4887" spans="1:1">
      <c r="A4887" s="81"/>
    </row>
    <row r="4888" spans="1:1">
      <c r="A4888" s="81"/>
    </row>
    <row r="4889" spans="1:1">
      <c r="A4889" s="81"/>
    </row>
    <row r="4890" spans="1:1">
      <c r="A4890" s="81"/>
    </row>
    <row r="4891" spans="1:1">
      <c r="A4891" s="81"/>
    </row>
    <row r="4892" spans="1:1">
      <c r="A4892" s="81"/>
    </row>
    <row r="4893" spans="1:1">
      <c r="A4893" s="81"/>
    </row>
    <row r="4894" spans="1:1">
      <c r="A4894" s="81"/>
    </row>
    <row r="4895" spans="1:1">
      <c r="A4895" s="81"/>
    </row>
    <row r="4896" spans="1:1">
      <c r="A4896" s="81"/>
    </row>
    <row r="4897" spans="1:1">
      <c r="A4897" s="81"/>
    </row>
    <row r="4898" spans="1:1">
      <c r="A4898" s="81"/>
    </row>
    <row r="4899" spans="1:1">
      <c r="A4899" s="81"/>
    </row>
    <row r="4900" spans="1:1">
      <c r="A4900" s="81"/>
    </row>
    <row r="4901" spans="1:1">
      <c r="A4901" s="81"/>
    </row>
    <row r="4902" spans="1:1">
      <c r="A4902" s="81"/>
    </row>
    <row r="4903" spans="1:1">
      <c r="A4903" s="81"/>
    </row>
    <row r="4904" spans="1:1">
      <c r="A4904" s="81"/>
    </row>
    <row r="4905" spans="1:1">
      <c r="A4905" s="81"/>
    </row>
    <row r="4906" spans="1:1">
      <c r="A4906" s="81"/>
    </row>
    <row r="4907" spans="1:1">
      <c r="A4907" s="81"/>
    </row>
    <row r="4908" spans="1:1">
      <c r="A4908" s="81"/>
    </row>
    <row r="4909" spans="1:1">
      <c r="A4909" s="81"/>
    </row>
    <row r="4910" spans="1:1">
      <c r="A4910" s="81"/>
    </row>
    <row r="4911" spans="1:1">
      <c r="A4911" s="81"/>
    </row>
    <row r="4912" spans="1:1">
      <c r="A4912" s="81"/>
    </row>
    <row r="4913" spans="1:1">
      <c r="A4913" s="81"/>
    </row>
    <row r="4914" spans="1:1">
      <c r="A4914" s="81"/>
    </row>
    <row r="4915" spans="1:1">
      <c r="A4915" s="81"/>
    </row>
    <row r="4916" spans="1:1">
      <c r="A4916" s="81"/>
    </row>
    <row r="4917" spans="1:1">
      <c r="A4917" s="81"/>
    </row>
    <row r="4918" spans="1:1">
      <c r="A4918" s="81"/>
    </row>
    <row r="4919" spans="1:1">
      <c r="A4919" s="81"/>
    </row>
    <row r="4920" spans="1:1">
      <c r="A4920" s="81"/>
    </row>
    <row r="4921" spans="1:1">
      <c r="A4921" s="81"/>
    </row>
    <row r="4922" spans="1:1">
      <c r="A4922" s="81"/>
    </row>
    <row r="4923" spans="1:1">
      <c r="A4923" s="81"/>
    </row>
    <row r="4924" spans="1:1">
      <c r="A4924" s="81"/>
    </row>
    <row r="4925" spans="1:1">
      <c r="A4925" s="81"/>
    </row>
    <row r="4926" spans="1:1">
      <c r="A4926" s="81"/>
    </row>
    <row r="4927" spans="1:1">
      <c r="A4927" s="81"/>
    </row>
    <row r="4928" spans="1:1">
      <c r="A4928" s="81"/>
    </row>
    <row r="4929" spans="1:1">
      <c r="A4929" s="81"/>
    </row>
    <row r="4930" spans="1:1">
      <c r="A4930" s="81"/>
    </row>
    <row r="4931" spans="1:1">
      <c r="A4931" s="81"/>
    </row>
    <row r="4932" spans="1:1">
      <c r="A4932" s="81"/>
    </row>
    <row r="4933" spans="1:1">
      <c r="A4933" s="81"/>
    </row>
    <row r="4934" spans="1:1">
      <c r="A4934" s="81"/>
    </row>
    <row r="4935" spans="1:1">
      <c r="A4935" s="81"/>
    </row>
    <row r="4936" spans="1:1">
      <c r="A4936" s="81"/>
    </row>
    <row r="4937" spans="1:1">
      <c r="A4937" s="81"/>
    </row>
    <row r="4938" spans="1:1">
      <c r="A4938" s="81"/>
    </row>
    <row r="4939" spans="1:1">
      <c r="A4939" s="81"/>
    </row>
    <row r="4940" spans="1:1">
      <c r="A4940" s="81"/>
    </row>
    <row r="4941" spans="1:1">
      <c r="A4941" s="81"/>
    </row>
    <row r="4942" spans="1:1">
      <c r="A4942" s="81"/>
    </row>
    <row r="4943" spans="1:1">
      <c r="A4943" s="81"/>
    </row>
    <row r="4944" spans="1:1">
      <c r="A4944" s="81"/>
    </row>
    <row r="4945" spans="1:1">
      <c r="A4945" s="81"/>
    </row>
    <row r="4946" spans="1:1">
      <c r="A4946" s="81"/>
    </row>
    <row r="4947" spans="1:1">
      <c r="A4947" s="81"/>
    </row>
    <row r="4948" spans="1:1">
      <c r="A4948" s="81"/>
    </row>
    <row r="4949" spans="1:1">
      <c r="A4949" s="81"/>
    </row>
    <row r="4950" spans="1:1">
      <c r="A4950" s="81"/>
    </row>
    <row r="4951" spans="1:1">
      <c r="A4951" s="81"/>
    </row>
    <row r="4952" spans="1:1">
      <c r="A4952" s="81"/>
    </row>
    <row r="4953" spans="1:1">
      <c r="A4953" s="81"/>
    </row>
    <row r="4954" spans="1:1">
      <c r="A4954" s="81"/>
    </row>
    <row r="4955" spans="1:1">
      <c r="A4955" s="81"/>
    </row>
    <row r="4956" spans="1:1">
      <c r="A4956" s="81"/>
    </row>
    <row r="4957" spans="1:1">
      <c r="A4957" s="81"/>
    </row>
    <row r="4958" spans="1:1">
      <c r="A4958" s="81"/>
    </row>
    <row r="4959" spans="1:1">
      <c r="A4959" s="81"/>
    </row>
    <row r="4960" spans="1:1">
      <c r="A4960" s="81"/>
    </row>
    <row r="4961" spans="1:1">
      <c r="A4961" s="81"/>
    </row>
    <row r="4962" spans="1:1">
      <c r="A4962" s="81"/>
    </row>
    <row r="4963" spans="1:1">
      <c r="A4963" s="81"/>
    </row>
    <row r="4964" spans="1:1">
      <c r="A4964" s="81"/>
    </row>
    <row r="4965" spans="1:1">
      <c r="A4965" s="81"/>
    </row>
    <row r="4966" spans="1:1">
      <c r="A4966" s="81"/>
    </row>
    <row r="4967" spans="1:1">
      <c r="A4967" s="81"/>
    </row>
    <row r="4968" spans="1:1">
      <c r="A4968" s="81"/>
    </row>
    <row r="4969" spans="1:1">
      <c r="A4969" s="81"/>
    </row>
    <row r="4970" spans="1:1">
      <c r="A4970" s="81"/>
    </row>
    <row r="4971" spans="1:1">
      <c r="A4971" s="81"/>
    </row>
    <row r="4972" spans="1:1">
      <c r="A4972" s="81"/>
    </row>
    <row r="4973" spans="1:1">
      <c r="A4973" s="81"/>
    </row>
    <row r="4974" spans="1:1">
      <c r="A4974" s="81"/>
    </row>
    <row r="4975" spans="1:1">
      <c r="A4975" s="81"/>
    </row>
    <row r="4976" spans="1:1">
      <c r="A4976" s="81"/>
    </row>
    <row r="4977" spans="1:1">
      <c r="A4977" s="81"/>
    </row>
    <row r="4978" spans="1:1">
      <c r="A4978" s="81"/>
    </row>
    <row r="4979" spans="1:1">
      <c r="A4979" s="81"/>
    </row>
    <row r="4980" spans="1:1">
      <c r="A4980" s="81"/>
    </row>
    <row r="4981" spans="1:1">
      <c r="A4981" s="81"/>
    </row>
    <row r="4982" spans="1:1">
      <c r="A4982" s="81"/>
    </row>
    <row r="4983" spans="1:1">
      <c r="A4983" s="81"/>
    </row>
    <row r="4984" spans="1:1">
      <c r="A4984" s="81"/>
    </row>
    <row r="4985" spans="1:1">
      <c r="A4985" s="81"/>
    </row>
    <row r="4986" spans="1:1">
      <c r="A4986" s="81"/>
    </row>
    <row r="4987" spans="1:1">
      <c r="A4987" s="81"/>
    </row>
    <row r="4988" spans="1:1">
      <c r="A4988" s="81"/>
    </row>
    <row r="4989" spans="1:1">
      <c r="A4989" s="81"/>
    </row>
    <row r="4990" spans="1:1">
      <c r="A4990" s="81"/>
    </row>
    <row r="4991" spans="1:1">
      <c r="A4991" s="81"/>
    </row>
    <row r="4992" spans="1:1">
      <c r="A4992" s="81"/>
    </row>
    <row r="4993" spans="1:1">
      <c r="A4993" s="81"/>
    </row>
    <row r="4994" spans="1:1">
      <c r="A4994" s="81"/>
    </row>
    <row r="4995" spans="1:1">
      <c r="A4995" s="81"/>
    </row>
    <row r="4996" spans="1:1">
      <c r="A4996" s="81"/>
    </row>
    <row r="4997" spans="1:1">
      <c r="A4997" s="81"/>
    </row>
    <row r="4998" spans="1:1">
      <c r="A4998" s="81"/>
    </row>
    <row r="4999" spans="1:1">
      <c r="A4999" s="81"/>
    </row>
    <row r="5000" spans="1:1">
      <c r="A5000" s="81"/>
    </row>
    <row r="5001" spans="1:1">
      <c r="A5001" s="81"/>
    </row>
    <row r="5002" spans="1:1">
      <c r="A5002" s="81"/>
    </row>
    <row r="5003" spans="1:1">
      <c r="A5003" s="81"/>
    </row>
    <row r="5004" spans="1:1">
      <c r="A5004" s="81"/>
    </row>
    <row r="5005" spans="1:1">
      <c r="A5005" s="81"/>
    </row>
    <row r="5006" spans="1:1">
      <c r="A5006" s="81"/>
    </row>
    <row r="5007" spans="1:1">
      <c r="A5007" s="81"/>
    </row>
    <row r="5008" spans="1:1">
      <c r="A5008" s="81"/>
    </row>
    <row r="5009" spans="1:1">
      <c r="A5009" s="81"/>
    </row>
    <row r="5010" spans="1:1">
      <c r="A5010" s="81"/>
    </row>
    <row r="5011" spans="1:1">
      <c r="A5011" s="81"/>
    </row>
    <row r="5012" spans="1:1">
      <c r="A5012" s="81"/>
    </row>
    <row r="5013" spans="1:1">
      <c r="A5013" s="81"/>
    </row>
    <row r="5014" spans="1:1">
      <c r="A5014" s="81"/>
    </row>
    <row r="5015" spans="1:1">
      <c r="A5015" s="81"/>
    </row>
    <row r="5016" spans="1:1">
      <c r="A5016" s="81"/>
    </row>
    <row r="5017" spans="1:1">
      <c r="A5017" s="81"/>
    </row>
    <row r="5018" spans="1:1">
      <c r="A5018" s="81"/>
    </row>
    <row r="5019" spans="1:1">
      <c r="A5019" s="81"/>
    </row>
    <row r="5020" spans="1:1">
      <c r="A5020" s="81"/>
    </row>
    <row r="5021" spans="1:1">
      <c r="A5021" s="81"/>
    </row>
    <row r="5022" spans="1:1">
      <c r="A5022" s="81"/>
    </row>
    <row r="5023" spans="1:1">
      <c r="A5023" s="81"/>
    </row>
    <row r="5024" spans="1:1">
      <c r="A5024" s="81"/>
    </row>
    <row r="5025" spans="1:1">
      <c r="A5025" s="81"/>
    </row>
    <row r="5026" spans="1:1">
      <c r="A5026" s="81"/>
    </row>
    <row r="5027" spans="1:1">
      <c r="A5027" s="81"/>
    </row>
    <row r="5028" spans="1:1">
      <c r="A5028" s="81"/>
    </row>
    <row r="5029" spans="1:1">
      <c r="A5029" s="81"/>
    </row>
    <row r="5030" spans="1:1">
      <c r="A5030" s="81"/>
    </row>
    <row r="5031" spans="1:1">
      <c r="A5031" s="81"/>
    </row>
    <row r="5032" spans="1:1">
      <c r="A5032" s="81"/>
    </row>
    <row r="5033" spans="1:1">
      <c r="A5033" s="81"/>
    </row>
    <row r="5034" spans="1:1">
      <c r="A5034" s="81"/>
    </row>
    <row r="5035" spans="1:1">
      <c r="A5035" s="81"/>
    </row>
    <row r="5036" spans="1:1">
      <c r="A5036" s="81"/>
    </row>
    <row r="5037" spans="1:1">
      <c r="A5037" s="81"/>
    </row>
    <row r="5038" spans="1:1">
      <c r="A5038" s="81"/>
    </row>
    <row r="5039" spans="1:1">
      <c r="A5039" s="81"/>
    </row>
    <row r="5040" spans="1:1">
      <c r="A5040" s="81"/>
    </row>
    <row r="5041" spans="1:1">
      <c r="A5041" s="81"/>
    </row>
    <row r="5042" spans="1:1">
      <c r="A5042" s="81"/>
    </row>
    <row r="5043" spans="1:1">
      <c r="A5043" s="81"/>
    </row>
    <row r="5044" spans="1:1">
      <c r="A5044" s="81"/>
    </row>
    <row r="5045" spans="1:1">
      <c r="A5045" s="81"/>
    </row>
    <row r="5046" spans="1:1">
      <c r="A5046" s="81"/>
    </row>
    <row r="5047" spans="1:1">
      <c r="A5047" s="81"/>
    </row>
    <row r="5048" spans="1:1">
      <c r="A5048" s="81"/>
    </row>
    <row r="5049" spans="1:1">
      <c r="A5049" s="81"/>
    </row>
    <row r="5050" spans="1:1">
      <c r="A5050" s="81"/>
    </row>
    <row r="5051" spans="1:1">
      <c r="A5051" s="81"/>
    </row>
    <row r="5052" spans="1:1">
      <c r="A5052" s="81"/>
    </row>
    <row r="5053" spans="1:1">
      <c r="A5053" s="81"/>
    </row>
    <row r="5054" spans="1:1">
      <c r="A5054" s="81"/>
    </row>
    <row r="5055" spans="1:1">
      <c r="A5055" s="81"/>
    </row>
    <row r="5056" spans="1:1">
      <c r="A5056" s="81"/>
    </row>
    <row r="5057" spans="1:1">
      <c r="A5057" s="81"/>
    </row>
    <row r="5058" spans="1:1">
      <c r="A5058" s="81"/>
    </row>
    <row r="5059" spans="1:1">
      <c r="A5059" s="81"/>
    </row>
    <row r="5060" spans="1:1">
      <c r="A5060" s="81"/>
    </row>
    <row r="5061" spans="1:1">
      <c r="A5061" s="81"/>
    </row>
    <row r="5062" spans="1:1">
      <c r="A5062" s="81"/>
    </row>
    <row r="5063" spans="1:1">
      <c r="A5063" s="81"/>
    </row>
    <row r="5064" spans="1:1">
      <c r="A5064" s="81"/>
    </row>
    <row r="5065" spans="1:1">
      <c r="A5065" s="81"/>
    </row>
    <row r="5066" spans="1:1">
      <c r="A5066" s="81"/>
    </row>
    <row r="5067" spans="1:1">
      <c r="A5067" s="81"/>
    </row>
    <row r="5068" spans="1:1">
      <c r="A5068" s="81"/>
    </row>
    <row r="5069" spans="1:1">
      <c r="A5069" s="81"/>
    </row>
    <row r="5070" spans="1:1">
      <c r="A5070" s="81"/>
    </row>
    <row r="5071" spans="1:1">
      <c r="A5071" s="81"/>
    </row>
    <row r="5072" spans="1:1">
      <c r="A5072" s="81"/>
    </row>
    <row r="5073" spans="1:1">
      <c r="A5073" s="81"/>
    </row>
    <row r="5074" spans="1:1">
      <c r="A5074" s="81"/>
    </row>
    <row r="5075" spans="1:1">
      <c r="A5075" s="81"/>
    </row>
    <row r="5076" spans="1:1">
      <c r="A5076" s="81"/>
    </row>
    <row r="5077" spans="1:1">
      <c r="A5077" s="81"/>
    </row>
    <row r="5078" spans="1:1">
      <c r="A5078" s="81"/>
    </row>
    <row r="5079" spans="1:1">
      <c r="A5079" s="81"/>
    </row>
    <row r="5080" spans="1:1">
      <c r="A5080" s="81"/>
    </row>
    <row r="5081" spans="1:1">
      <c r="A5081" s="81"/>
    </row>
    <row r="5082" spans="1:1">
      <c r="A5082" s="81"/>
    </row>
    <row r="5083" spans="1:1">
      <c r="A5083" s="81"/>
    </row>
    <row r="5084" spans="1:1">
      <c r="A5084" s="81"/>
    </row>
    <row r="5085" spans="1:1">
      <c r="A5085" s="81"/>
    </row>
    <row r="5086" spans="1:1">
      <c r="A5086" s="81"/>
    </row>
    <row r="5087" spans="1:1">
      <c r="A5087" s="81"/>
    </row>
    <row r="5088" spans="1:1">
      <c r="A5088" s="81"/>
    </row>
    <row r="5089" spans="1:1">
      <c r="A5089" s="81"/>
    </row>
    <row r="5090" spans="1:1">
      <c r="A5090" s="81"/>
    </row>
    <row r="5091" spans="1:1">
      <c r="A5091" s="81"/>
    </row>
    <row r="5092" spans="1:1">
      <c r="A5092" s="81"/>
    </row>
    <row r="5093" spans="1:1">
      <c r="A5093" s="81"/>
    </row>
    <row r="5094" spans="1:1">
      <c r="A5094" s="81"/>
    </row>
    <row r="5095" spans="1:1">
      <c r="A5095" s="81"/>
    </row>
    <row r="5096" spans="1:1">
      <c r="A5096" s="81"/>
    </row>
    <row r="5097" spans="1:1">
      <c r="A5097" s="81"/>
    </row>
    <row r="5098" spans="1:1">
      <c r="A5098" s="81"/>
    </row>
    <row r="5099" spans="1:1">
      <c r="A5099" s="81"/>
    </row>
    <row r="5100" spans="1:1">
      <c r="A5100" s="81"/>
    </row>
    <row r="5101" spans="1:1">
      <c r="A5101" s="81"/>
    </row>
    <row r="5102" spans="1:1">
      <c r="A5102" s="81"/>
    </row>
    <row r="5103" spans="1:1">
      <c r="A5103" s="81"/>
    </row>
    <row r="5104" spans="1:1">
      <c r="A5104" s="81"/>
    </row>
    <row r="5105" spans="1:1">
      <c r="A5105" s="81"/>
    </row>
    <row r="5106" spans="1:1">
      <c r="A5106" s="81"/>
    </row>
    <row r="5107" spans="1:1">
      <c r="A5107" s="81"/>
    </row>
    <row r="5108" spans="1:1">
      <c r="A5108" s="81"/>
    </row>
    <row r="5109" spans="1:1">
      <c r="A5109" s="81"/>
    </row>
    <row r="5110" spans="1:1">
      <c r="A5110" s="81"/>
    </row>
    <row r="5111" spans="1:1">
      <c r="A5111" s="81"/>
    </row>
    <row r="5112" spans="1:1">
      <c r="A5112" s="81"/>
    </row>
    <row r="5113" spans="1:1">
      <c r="A5113" s="81"/>
    </row>
    <row r="5114" spans="1:1">
      <c r="A5114" s="81"/>
    </row>
    <row r="5115" spans="1:1">
      <c r="A5115" s="81"/>
    </row>
    <row r="5116" spans="1:1">
      <c r="A5116" s="81"/>
    </row>
    <row r="5117" spans="1:1">
      <c r="A5117" s="81"/>
    </row>
    <row r="5118" spans="1:1">
      <c r="A5118" s="81"/>
    </row>
    <row r="5119" spans="1:1">
      <c r="A5119" s="81"/>
    </row>
    <row r="5120" spans="1:1">
      <c r="A5120" s="81"/>
    </row>
    <row r="5121" spans="1:1">
      <c r="A5121" s="81"/>
    </row>
    <row r="5122" spans="1:1">
      <c r="A5122" s="81"/>
    </row>
    <row r="5123" spans="1:1">
      <c r="A5123" s="81"/>
    </row>
    <row r="5124" spans="1:1">
      <c r="A5124" s="81"/>
    </row>
    <row r="5125" spans="1:1">
      <c r="A5125" s="81"/>
    </row>
    <row r="5126" spans="1:1">
      <c r="A5126" s="81"/>
    </row>
    <row r="5127" spans="1:1">
      <c r="A5127" s="81"/>
    </row>
    <row r="5128" spans="1:1">
      <c r="A5128" s="81"/>
    </row>
    <row r="5129" spans="1:1">
      <c r="A5129" s="81"/>
    </row>
    <row r="5130" spans="1:1">
      <c r="A5130" s="81"/>
    </row>
    <row r="5131" spans="1:1">
      <c r="A5131" s="81"/>
    </row>
    <row r="5132" spans="1:1">
      <c r="A5132" s="81"/>
    </row>
    <row r="5133" spans="1:1">
      <c r="A5133" s="81"/>
    </row>
    <row r="5134" spans="1:1">
      <c r="A5134" s="81"/>
    </row>
    <row r="5135" spans="1:1">
      <c r="A5135" s="81"/>
    </row>
    <row r="5136" spans="1:1">
      <c r="A5136" s="81"/>
    </row>
    <row r="5137" spans="1:1">
      <c r="A5137" s="81"/>
    </row>
    <row r="5138" spans="1:1">
      <c r="A5138" s="81"/>
    </row>
    <row r="5139" spans="1:1">
      <c r="A5139" s="81"/>
    </row>
    <row r="5140" spans="1:1">
      <c r="A5140" s="81"/>
    </row>
    <row r="5141" spans="1:1">
      <c r="A5141" s="81"/>
    </row>
    <row r="5142" spans="1:1">
      <c r="A5142" s="81"/>
    </row>
    <row r="5143" spans="1:1">
      <c r="A5143" s="81"/>
    </row>
    <row r="5144" spans="1:1">
      <c r="A5144" s="81"/>
    </row>
    <row r="5145" spans="1:1">
      <c r="A5145" s="81"/>
    </row>
    <row r="5146" spans="1:1">
      <c r="A5146" s="81"/>
    </row>
    <row r="5147" spans="1:1">
      <c r="A5147" s="81"/>
    </row>
    <row r="5148" spans="1:1">
      <c r="A5148" s="81"/>
    </row>
    <row r="5149" spans="1:1">
      <c r="A5149" s="81"/>
    </row>
    <row r="5150" spans="1:1">
      <c r="A5150" s="81"/>
    </row>
    <row r="5151" spans="1:1">
      <c r="A5151" s="81"/>
    </row>
    <row r="5152" spans="1:1">
      <c r="A5152" s="81"/>
    </row>
    <row r="5153" spans="1:1">
      <c r="A5153" s="81"/>
    </row>
    <row r="5154" spans="1:1">
      <c r="A5154" s="81"/>
    </row>
    <row r="5155" spans="1:1">
      <c r="A5155" s="81"/>
    </row>
    <row r="5156" spans="1:1">
      <c r="A5156" s="81"/>
    </row>
    <row r="5157" spans="1:1">
      <c r="A5157" s="81"/>
    </row>
    <row r="5158" spans="1:1">
      <c r="A5158" s="81"/>
    </row>
    <row r="5159" spans="1:1">
      <c r="A5159" s="81"/>
    </row>
    <row r="5160" spans="1:1">
      <c r="A5160" s="81"/>
    </row>
    <row r="5161" spans="1:1">
      <c r="A5161" s="81"/>
    </row>
    <row r="5162" spans="1:1">
      <c r="A5162" s="81"/>
    </row>
    <row r="5163" spans="1:1">
      <c r="A5163" s="81"/>
    </row>
    <row r="5164" spans="1:1">
      <c r="A5164" s="81"/>
    </row>
    <row r="5165" spans="1:1">
      <c r="A5165" s="81"/>
    </row>
    <row r="5166" spans="1:1">
      <c r="A5166" s="81"/>
    </row>
    <row r="5167" spans="1:1">
      <c r="A5167" s="81"/>
    </row>
    <row r="5168" spans="1:1">
      <c r="A5168" s="81"/>
    </row>
    <row r="5169" spans="1:1">
      <c r="A5169" s="81"/>
    </row>
    <row r="5170" spans="1:1">
      <c r="A5170" s="81"/>
    </row>
    <row r="5171" spans="1:1">
      <c r="A5171" s="81"/>
    </row>
    <row r="5172" spans="1:1">
      <c r="A5172" s="81"/>
    </row>
    <row r="5173" spans="1:1">
      <c r="A5173" s="81"/>
    </row>
    <row r="5174" spans="1:1">
      <c r="A5174" s="81"/>
    </row>
    <row r="5175" spans="1:1">
      <c r="A5175" s="81"/>
    </row>
    <row r="5176" spans="1:1">
      <c r="A5176" s="81"/>
    </row>
    <row r="5177" spans="1:1">
      <c r="A5177" s="81"/>
    </row>
    <row r="5178" spans="1:1">
      <c r="A5178" s="81"/>
    </row>
    <row r="5179" spans="1:1">
      <c r="A5179" s="81"/>
    </row>
    <row r="5180" spans="1:1">
      <c r="A5180" s="81"/>
    </row>
    <row r="5181" spans="1:1">
      <c r="A5181" s="81"/>
    </row>
    <row r="5182" spans="1:1">
      <c r="A5182" s="81"/>
    </row>
    <row r="5183" spans="1:1">
      <c r="A5183" s="81"/>
    </row>
    <row r="5184" spans="1:1">
      <c r="A5184" s="81"/>
    </row>
    <row r="5185" spans="1:1">
      <c r="A5185" s="81"/>
    </row>
    <row r="5186" spans="1:1">
      <c r="A5186" s="81"/>
    </row>
    <row r="5187" spans="1:1">
      <c r="A5187" s="81"/>
    </row>
    <row r="5188" spans="1:1">
      <c r="A5188" s="81"/>
    </row>
    <row r="5189" spans="1:1">
      <c r="A5189" s="81"/>
    </row>
    <row r="5190" spans="1:1">
      <c r="A5190" s="81"/>
    </row>
    <row r="5191" spans="1:1">
      <c r="A5191" s="81"/>
    </row>
    <row r="5192" spans="1:1">
      <c r="A5192" s="81"/>
    </row>
    <row r="5193" spans="1:1">
      <c r="A5193" s="81"/>
    </row>
    <row r="5194" spans="1:1">
      <c r="A5194" s="81"/>
    </row>
    <row r="5195" spans="1:1">
      <c r="A5195" s="81"/>
    </row>
    <row r="5196" spans="1:1">
      <c r="A5196" s="81"/>
    </row>
    <row r="5197" spans="1:1">
      <c r="A5197" s="81"/>
    </row>
    <row r="5198" spans="1:1">
      <c r="A5198" s="81"/>
    </row>
    <row r="5199" spans="1:1">
      <c r="A5199" s="81"/>
    </row>
    <row r="5200" spans="1:1">
      <c r="A5200" s="81"/>
    </row>
    <row r="5201" spans="1:1">
      <c r="A5201" s="81"/>
    </row>
    <row r="5202" spans="1:1">
      <c r="A5202" s="81"/>
    </row>
    <row r="5203" spans="1:1">
      <c r="A5203" s="81"/>
    </row>
    <row r="5204" spans="1:1">
      <c r="A5204" s="81"/>
    </row>
    <row r="5205" spans="1:1">
      <c r="A5205" s="81"/>
    </row>
    <row r="5206" spans="1:1">
      <c r="A5206" s="81"/>
    </row>
    <row r="5207" spans="1:1">
      <c r="A5207" s="81"/>
    </row>
    <row r="5208" spans="1:1">
      <c r="A5208" s="81"/>
    </row>
    <row r="5209" spans="1:1">
      <c r="A5209" s="81"/>
    </row>
    <row r="5210" spans="1:1">
      <c r="A5210" s="81"/>
    </row>
    <row r="5211" spans="1:1">
      <c r="A5211" s="81"/>
    </row>
    <row r="5212" spans="1:1">
      <c r="A5212" s="81"/>
    </row>
    <row r="5213" spans="1:1">
      <c r="A5213" s="81"/>
    </row>
    <row r="5214" spans="1:1">
      <c r="A5214" s="81"/>
    </row>
    <row r="5215" spans="1:1">
      <c r="A5215" s="81"/>
    </row>
    <row r="5216" spans="1:1">
      <c r="A5216" s="81"/>
    </row>
    <row r="5217" spans="1:1">
      <c r="A5217" s="81"/>
    </row>
    <row r="5218" spans="1:1">
      <c r="A5218" s="81"/>
    </row>
    <row r="5219" spans="1:1">
      <c r="A5219" s="81"/>
    </row>
    <row r="5220" spans="1:1">
      <c r="A5220" s="81"/>
    </row>
    <row r="5221" spans="1:1">
      <c r="A5221" s="81"/>
    </row>
    <row r="5222" spans="1:1">
      <c r="A5222" s="81"/>
    </row>
    <row r="5223" spans="1:1">
      <c r="A5223" s="81"/>
    </row>
    <row r="5224" spans="1:1">
      <c r="A5224" s="81"/>
    </row>
    <row r="5225" spans="1:1">
      <c r="A5225" s="81"/>
    </row>
    <row r="5226" spans="1:1">
      <c r="A5226" s="81"/>
    </row>
    <row r="5227" spans="1:1">
      <c r="A5227" s="81"/>
    </row>
    <row r="5228" spans="1:1">
      <c r="A5228" s="81"/>
    </row>
    <row r="5229" spans="1:1">
      <c r="A5229" s="81"/>
    </row>
    <row r="5230" spans="1:1">
      <c r="A5230" s="81"/>
    </row>
    <row r="5231" spans="1:1">
      <c r="A5231" s="81"/>
    </row>
    <row r="5232" spans="1:1">
      <c r="A5232" s="81"/>
    </row>
    <row r="5233" spans="1:1">
      <c r="A5233" s="81"/>
    </row>
    <row r="5234" spans="1:1">
      <c r="A5234" s="81"/>
    </row>
    <row r="5235" spans="1:1">
      <c r="A5235" s="81"/>
    </row>
    <row r="5236" spans="1:1">
      <c r="A5236" s="81"/>
    </row>
    <row r="5237" spans="1:1">
      <c r="A5237" s="81"/>
    </row>
    <row r="5238" spans="1:1">
      <c r="A5238" s="81"/>
    </row>
    <row r="5239" spans="1:1">
      <c r="A5239" s="81"/>
    </row>
    <row r="5240" spans="1:1">
      <c r="A5240" s="81"/>
    </row>
    <row r="5241" spans="1:1">
      <c r="A5241" s="81"/>
    </row>
    <row r="5242" spans="1:1">
      <c r="A5242" s="81"/>
    </row>
    <row r="5243" spans="1:1">
      <c r="A5243" s="81"/>
    </row>
    <row r="5244" spans="1:1">
      <c r="A5244" s="81"/>
    </row>
    <row r="5245" spans="1:1">
      <c r="A5245" s="81"/>
    </row>
    <row r="5246" spans="1:1">
      <c r="A5246" s="81"/>
    </row>
    <row r="5247" spans="1:1">
      <c r="A5247" s="81"/>
    </row>
    <row r="5248" spans="1:1">
      <c r="A5248" s="81"/>
    </row>
    <row r="5249" spans="1:1">
      <c r="A5249" s="81"/>
    </row>
    <row r="5250" spans="1:1">
      <c r="A5250" s="81"/>
    </row>
    <row r="5251" spans="1:1">
      <c r="A5251" s="81"/>
    </row>
    <row r="5252" spans="1:1">
      <c r="A5252" s="81"/>
    </row>
    <row r="5253" spans="1:1">
      <c r="A5253" s="81"/>
    </row>
    <row r="5254" spans="1:1">
      <c r="A5254" s="81"/>
    </row>
    <row r="5255" spans="1:1">
      <c r="A5255" s="81"/>
    </row>
    <row r="5256" spans="1:1">
      <c r="A5256" s="81"/>
    </row>
    <row r="5257" spans="1:1">
      <c r="A5257" s="81"/>
    </row>
    <row r="5258" spans="1:1">
      <c r="A5258" s="81"/>
    </row>
    <row r="5259" spans="1:1">
      <c r="A5259" s="81"/>
    </row>
    <row r="5260" spans="1:1">
      <c r="A5260" s="81"/>
    </row>
    <row r="5261" spans="1:1">
      <c r="A5261" s="81"/>
    </row>
    <row r="5262" spans="1:1">
      <c r="A5262" s="81"/>
    </row>
    <row r="5263" spans="1:1">
      <c r="A5263" s="81"/>
    </row>
    <row r="5264" spans="1:1">
      <c r="A5264" s="81"/>
    </row>
    <row r="5265" spans="1:1">
      <c r="A5265" s="81"/>
    </row>
    <row r="5266" spans="1:1">
      <c r="A5266" s="81"/>
    </row>
    <row r="5267" spans="1:1">
      <c r="A5267" s="81"/>
    </row>
    <row r="5268" spans="1:1">
      <c r="A5268" s="81"/>
    </row>
    <row r="5269" spans="1:1">
      <c r="A5269" s="81"/>
    </row>
    <row r="5270" spans="1:1">
      <c r="A5270" s="81"/>
    </row>
    <row r="5271" spans="1:1">
      <c r="A5271" s="81"/>
    </row>
    <row r="5272" spans="1:1">
      <c r="A5272" s="81"/>
    </row>
    <row r="5273" spans="1:1">
      <c r="A5273" s="81"/>
    </row>
    <row r="5274" spans="1:1">
      <c r="A5274" s="81"/>
    </row>
    <row r="5275" spans="1:1">
      <c r="A5275" s="81"/>
    </row>
    <row r="5276" spans="1:1">
      <c r="A5276" s="81"/>
    </row>
    <row r="5277" spans="1:1">
      <c r="A5277" s="81"/>
    </row>
    <row r="5278" spans="1:1">
      <c r="A5278" s="81"/>
    </row>
    <row r="5279" spans="1:1">
      <c r="A5279" s="81"/>
    </row>
    <row r="5280" spans="1:1">
      <c r="A5280" s="81"/>
    </row>
    <row r="5281" spans="1:1">
      <c r="A5281" s="81"/>
    </row>
    <row r="5282" spans="1:1">
      <c r="A5282" s="81"/>
    </row>
    <row r="5283" spans="1:1">
      <c r="A5283" s="81"/>
    </row>
    <row r="5284" spans="1:1">
      <c r="A5284" s="81"/>
    </row>
    <row r="5285" spans="1:1">
      <c r="A5285" s="81"/>
    </row>
    <row r="5286" spans="1:1">
      <c r="A5286" s="81"/>
    </row>
    <row r="5287" spans="1:1">
      <c r="A5287" s="81"/>
    </row>
    <row r="5288" spans="1:1">
      <c r="A5288" s="81"/>
    </row>
    <row r="5289" spans="1:1">
      <c r="A5289" s="81"/>
    </row>
    <row r="5290" spans="1:1">
      <c r="A5290" s="81"/>
    </row>
    <row r="5291" spans="1:1">
      <c r="A5291" s="81"/>
    </row>
    <row r="5292" spans="1:1">
      <c r="A5292" s="81"/>
    </row>
    <row r="5293" spans="1:1">
      <c r="A5293" s="81"/>
    </row>
    <row r="5294" spans="1:1">
      <c r="A5294" s="81"/>
    </row>
    <row r="5295" spans="1:1">
      <c r="A5295" s="81"/>
    </row>
    <row r="5296" spans="1:1">
      <c r="A5296" s="81"/>
    </row>
    <row r="5297" spans="1:1">
      <c r="A5297" s="81"/>
    </row>
    <row r="5298" spans="1:1">
      <c r="A5298" s="81"/>
    </row>
    <row r="5299" spans="1:1">
      <c r="A5299" s="81"/>
    </row>
    <row r="5300" spans="1:1">
      <c r="A5300" s="81"/>
    </row>
    <row r="5301" spans="1:1">
      <c r="A5301" s="81"/>
    </row>
    <row r="5302" spans="1:1">
      <c r="A5302" s="81"/>
    </row>
    <row r="5303" spans="1:1">
      <c r="A5303" s="81"/>
    </row>
    <row r="5304" spans="1:1">
      <c r="A5304" s="81"/>
    </row>
    <row r="5305" spans="1:1">
      <c r="A5305" s="81"/>
    </row>
    <row r="5306" spans="1:1">
      <c r="A5306" s="81"/>
    </row>
    <row r="5307" spans="1:1">
      <c r="A5307" s="81"/>
    </row>
    <row r="5308" spans="1:1">
      <c r="A5308" s="81"/>
    </row>
    <row r="5309" spans="1:1">
      <c r="A5309" s="81"/>
    </row>
    <row r="5310" spans="1:1">
      <c r="A5310" s="81"/>
    </row>
    <row r="5311" spans="1:1">
      <c r="A5311" s="81"/>
    </row>
    <row r="5312" spans="1:1">
      <c r="A5312" s="81"/>
    </row>
    <row r="5313" spans="1:1">
      <c r="A5313" s="81"/>
    </row>
    <row r="5314" spans="1:1">
      <c r="A5314" s="81"/>
    </row>
    <row r="5315" spans="1:1">
      <c r="A5315" s="81"/>
    </row>
    <row r="5316" spans="1:1">
      <c r="A5316" s="81"/>
    </row>
    <row r="5317" spans="1:1">
      <c r="A5317" s="81"/>
    </row>
    <row r="5318" spans="1:1">
      <c r="A5318" s="81"/>
    </row>
    <row r="5319" spans="1:1">
      <c r="A5319" s="81"/>
    </row>
    <row r="5320" spans="1:1">
      <c r="A5320" s="81"/>
    </row>
    <row r="5321" spans="1:1">
      <c r="A5321" s="81"/>
    </row>
    <row r="5322" spans="1:1">
      <c r="A5322" s="81"/>
    </row>
    <row r="5323" spans="1:1">
      <c r="A5323" s="81"/>
    </row>
    <row r="5324" spans="1:1">
      <c r="A5324" s="81"/>
    </row>
    <row r="5325" spans="1:1">
      <c r="A5325" s="81"/>
    </row>
    <row r="5326" spans="1:1">
      <c r="A5326" s="81"/>
    </row>
    <row r="5327" spans="1:1">
      <c r="A5327" s="81"/>
    </row>
    <row r="5328" spans="1:1">
      <c r="A5328" s="81"/>
    </row>
    <row r="5329" spans="1:1">
      <c r="A5329" s="81"/>
    </row>
    <row r="5330" spans="1:1">
      <c r="A5330" s="81"/>
    </row>
    <row r="5331" spans="1:1">
      <c r="A5331" s="81"/>
    </row>
    <row r="5332" spans="1:1">
      <c r="A5332" s="81"/>
    </row>
    <row r="5333" spans="1:1">
      <c r="A5333" s="81"/>
    </row>
    <row r="5334" spans="1:1">
      <c r="A5334" s="81"/>
    </row>
    <row r="5335" spans="1:1">
      <c r="A5335" s="81"/>
    </row>
    <row r="5336" spans="1:1">
      <c r="A5336" s="81"/>
    </row>
    <row r="5337" spans="1:1">
      <c r="A5337" s="81"/>
    </row>
    <row r="5338" spans="1:1">
      <c r="A5338" s="81"/>
    </row>
    <row r="5339" spans="1:1">
      <c r="A5339" s="81"/>
    </row>
    <row r="5340" spans="1:1">
      <c r="A5340" s="81"/>
    </row>
    <row r="5341" spans="1:1">
      <c r="A5341" s="81"/>
    </row>
    <row r="5342" spans="1:1">
      <c r="A5342" s="81"/>
    </row>
    <row r="5343" spans="1:1">
      <c r="A5343" s="81"/>
    </row>
    <row r="5344" spans="1:1">
      <c r="A5344" s="81"/>
    </row>
    <row r="5345" spans="1:1">
      <c r="A5345" s="81"/>
    </row>
    <row r="5346" spans="1:1">
      <c r="A5346" s="81"/>
    </row>
    <row r="5347" spans="1:1">
      <c r="A5347" s="81"/>
    </row>
    <row r="5348" spans="1:1">
      <c r="A5348" s="81"/>
    </row>
    <row r="5349" spans="1:1">
      <c r="A5349" s="81"/>
    </row>
    <row r="5350" spans="1:1">
      <c r="A5350" s="81"/>
    </row>
    <row r="5351" spans="1:1">
      <c r="A5351" s="81"/>
    </row>
    <row r="5352" spans="1:1">
      <c r="A5352" s="81"/>
    </row>
    <row r="5353" spans="1:1">
      <c r="A5353" s="81"/>
    </row>
    <row r="5354" spans="1:1">
      <c r="A5354" s="81"/>
    </row>
    <row r="5355" spans="1:1">
      <c r="A5355" s="81"/>
    </row>
    <row r="5356" spans="1:1">
      <c r="A5356" s="81"/>
    </row>
    <row r="5357" spans="1:1">
      <c r="A5357" s="81"/>
    </row>
    <row r="5358" spans="1:1">
      <c r="A5358" s="81"/>
    </row>
    <row r="5359" spans="1:1">
      <c r="A5359" s="81"/>
    </row>
    <row r="5360" spans="1:1">
      <c r="A5360" s="81"/>
    </row>
    <row r="5361" spans="1:1">
      <c r="A5361" s="81"/>
    </row>
    <row r="5362" spans="1:1">
      <c r="A5362" s="81"/>
    </row>
    <row r="5363" spans="1:1">
      <c r="A5363" s="81"/>
    </row>
    <row r="5364" spans="1:1">
      <c r="A5364" s="81"/>
    </row>
    <row r="5365" spans="1:1">
      <c r="A5365" s="81"/>
    </row>
    <row r="5366" spans="1:1">
      <c r="A5366" s="81"/>
    </row>
    <row r="5367" spans="1:1">
      <c r="A5367" s="81"/>
    </row>
    <row r="5368" spans="1:1">
      <c r="A5368" s="81"/>
    </row>
    <row r="5369" spans="1:1">
      <c r="A5369" s="81"/>
    </row>
    <row r="5370" spans="1:1">
      <c r="A5370" s="81"/>
    </row>
    <row r="5371" spans="1:1">
      <c r="A5371" s="81"/>
    </row>
    <row r="5372" spans="1:1">
      <c r="A5372" s="81"/>
    </row>
    <row r="5373" spans="1:1">
      <c r="A5373" s="81"/>
    </row>
    <row r="5374" spans="1:1">
      <c r="A5374" s="81"/>
    </row>
    <row r="5375" spans="1:1">
      <c r="A5375" s="81"/>
    </row>
    <row r="5376" spans="1:1">
      <c r="A5376" s="81"/>
    </row>
    <row r="5377" spans="1:1">
      <c r="A5377" s="81"/>
    </row>
    <row r="5378" spans="1:1">
      <c r="A5378" s="81"/>
    </row>
    <row r="5379" spans="1:1">
      <c r="A5379" s="81"/>
    </row>
    <row r="5380" spans="1:1">
      <c r="A5380" s="81"/>
    </row>
    <row r="5381" spans="1:1">
      <c r="A5381" s="81"/>
    </row>
    <row r="5382" spans="1:1">
      <c r="A5382" s="81"/>
    </row>
    <row r="5383" spans="1:1">
      <c r="A5383" s="81"/>
    </row>
    <row r="5384" spans="1:1">
      <c r="A5384" s="81"/>
    </row>
    <row r="5385" spans="1:1">
      <c r="A5385" s="81"/>
    </row>
    <row r="5386" spans="1:1">
      <c r="A5386" s="81"/>
    </row>
    <row r="5387" spans="1:1">
      <c r="A5387" s="81"/>
    </row>
    <row r="5388" spans="1:1">
      <c r="A5388" s="81"/>
    </row>
    <row r="5389" spans="1:1">
      <c r="A5389" s="81"/>
    </row>
    <row r="5390" spans="1:1">
      <c r="A5390" s="81"/>
    </row>
    <row r="5391" spans="1:1">
      <c r="A5391" s="81"/>
    </row>
    <row r="5392" spans="1:1">
      <c r="A5392" s="81"/>
    </row>
    <row r="5393" spans="1:1">
      <c r="A5393" s="81"/>
    </row>
    <row r="5394" spans="1:1">
      <c r="A5394" s="81"/>
    </row>
    <row r="5395" spans="1:1">
      <c r="A5395" s="81"/>
    </row>
    <row r="5396" spans="1:1">
      <c r="A5396" s="81"/>
    </row>
    <row r="5397" spans="1:1">
      <c r="A5397" s="81"/>
    </row>
    <row r="5398" spans="1:1">
      <c r="A5398" s="81"/>
    </row>
    <row r="5399" spans="1:1">
      <c r="A5399" s="81"/>
    </row>
    <row r="5400" spans="1:1">
      <c r="A5400" s="81"/>
    </row>
    <row r="5401" spans="1:1">
      <c r="A5401" s="81"/>
    </row>
    <row r="5402" spans="1:1">
      <c r="A5402" s="81"/>
    </row>
    <row r="5403" spans="1:1">
      <c r="A5403" s="81"/>
    </row>
    <row r="5404" spans="1:1">
      <c r="A5404" s="81"/>
    </row>
    <row r="5405" spans="1:1">
      <c r="A5405" s="81"/>
    </row>
    <row r="5406" spans="1:1">
      <c r="A5406" s="81"/>
    </row>
    <row r="5407" spans="1:1">
      <c r="A5407" s="81"/>
    </row>
    <row r="5408" spans="1:1">
      <c r="A5408" s="81"/>
    </row>
    <row r="5409" spans="1:1">
      <c r="A5409" s="81"/>
    </row>
    <row r="5410" spans="1:1">
      <c r="A5410" s="81"/>
    </row>
    <row r="5411" spans="1:1">
      <c r="A5411" s="81"/>
    </row>
    <row r="5412" spans="1:1">
      <c r="A5412" s="81"/>
    </row>
    <row r="5413" spans="1:1">
      <c r="A5413" s="81"/>
    </row>
    <row r="5414" spans="1:1">
      <c r="A5414" s="81"/>
    </row>
    <row r="5415" spans="1:1">
      <c r="A5415" s="81"/>
    </row>
    <row r="5416" spans="1:1">
      <c r="A5416" s="81"/>
    </row>
    <row r="5417" spans="1:1">
      <c r="A5417" s="81"/>
    </row>
    <row r="5418" spans="1:1">
      <c r="A5418" s="81"/>
    </row>
    <row r="5419" spans="1:1">
      <c r="A5419" s="81"/>
    </row>
    <row r="5420" spans="1:1">
      <c r="A5420" s="81"/>
    </row>
    <row r="5421" spans="1:1">
      <c r="A5421" s="81"/>
    </row>
    <row r="5422" spans="1:1">
      <c r="A5422" s="81"/>
    </row>
    <row r="5423" spans="1:1">
      <c r="A5423" s="81"/>
    </row>
    <row r="5424" spans="1:1">
      <c r="A5424" s="81"/>
    </row>
    <row r="5425" spans="1:1">
      <c r="A5425" s="81"/>
    </row>
    <row r="5426" spans="1:1">
      <c r="A5426" s="81"/>
    </row>
    <row r="5427" spans="1:1">
      <c r="A5427" s="81"/>
    </row>
    <row r="5428" spans="1:1">
      <c r="A5428" s="81"/>
    </row>
    <row r="5429" spans="1:1">
      <c r="A5429" s="81"/>
    </row>
    <row r="5430" spans="1:1">
      <c r="A5430" s="81"/>
    </row>
    <row r="5431" spans="1:1">
      <c r="A5431" s="81"/>
    </row>
    <row r="5432" spans="1:1">
      <c r="A5432" s="81"/>
    </row>
    <row r="5433" spans="1:1">
      <c r="A5433" s="81"/>
    </row>
    <row r="5434" spans="1:1">
      <c r="A5434" s="81"/>
    </row>
    <row r="5435" spans="1:1">
      <c r="A5435" s="81"/>
    </row>
    <row r="5436" spans="1:1">
      <c r="A5436" s="81"/>
    </row>
    <row r="5437" spans="1:1">
      <c r="A5437" s="81"/>
    </row>
    <row r="5438" spans="1:1">
      <c r="A5438" s="81"/>
    </row>
    <row r="5439" spans="1:1">
      <c r="A5439" s="81"/>
    </row>
    <row r="5440" spans="1:1">
      <c r="A5440" s="81"/>
    </row>
    <row r="5441" spans="1:1">
      <c r="A5441" s="81"/>
    </row>
    <row r="5442" spans="1:1">
      <c r="A5442" s="81"/>
    </row>
    <row r="5443" spans="1:1">
      <c r="A5443" s="81"/>
    </row>
    <row r="5444" spans="1:1">
      <c r="A5444" s="81"/>
    </row>
    <row r="5445" spans="1:1">
      <c r="A5445" s="81"/>
    </row>
    <row r="5446" spans="1:1">
      <c r="A5446" s="81"/>
    </row>
    <row r="5447" spans="1:1">
      <c r="A5447" s="81"/>
    </row>
    <row r="5448" spans="1:1">
      <c r="A5448" s="81"/>
    </row>
    <row r="5449" spans="1:1">
      <c r="A5449" s="81"/>
    </row>
    <row r="5450" spans="1:1">
      <c r="A5450" s="81"/>
    </row>
    <row r="5451" spans="1:1">
      <c r="A5451" s="81"/>
    </row>
    <row r="5452" spans="1:1">
      <c r="A5452" s="81"/>
    </row>
    <row r="5453" spans="1:1">
      <c r="A5453" s="81"/>
    </row>
    <row r="5454" spans="1:1">
      <c r="A5454" s="81"/>
    </row>
    <row r="5455" spans="1:1">
      <c r="A5455" s="81"/>
    </row>
    <row r="5456" spans="1:1">
      <c r="A5456" s="81"/>
    </row>
    <row r="5457" spans="1:1">
      <c r="A5457" s="81"/>
    </row>
    <row r="5458" spans="1:1">
      <c r="A5458" s="81"/>
    </row>
    <row r="5459" spans="1:1">
      <c r="A5459" s="81"/>
    </row>
    <row r="5460" spans="1:1">
      <c r="A5460" s="81"/>
    </row>
    <row r="5461" spans="1:1">
      <c r="A5461" s="81"/>
    </row>
    <row r="5462" spans="1:1">
      <c r="A5462" s="81"/>
    </row>
    <row r="5463" spans="1:1">
      <c r="A5463" s="81"/>
    </row>
    <row r="5464" spans="1:1">
      <c r="A5464" s="81"/>
    </row>
    <row r="5465" spans="1:1">
      <c r="A5465" s="81"/>
    </row>
    <row r="5466" spans="1:1">
      <c r="A5466" s="81"/>
    </row>
    <row r="5467" spans="1:1">
      <c r="A5467" s="81"/>
    </row>
    <row r="5468" spans="1:1">
      <c r="A5468" s="81"/>
    </row>
    <row r="5469" spans="1:1">
      <c r="A5469" s="81"/>
    </row>
    <row r="5470" spans="1:1">
      <c r="A5470" s="81"/>
    </row>
    <row r="5471" spans="1:1">
      <c r="A5471" s="81"/>
    </row>
    <row r="5472" spans="1:1">
      <c r="A5472" s="81"/>
    </row>
    <row r="5473" spans="1:1">
      <c r="A5473" s="81"/>
    </row>
    <row r="5474" spans="1:1">
      <c r="A5474" s="81"/>
    </row>
    <row r="5475" spans="1:1">
      <c r="A5475" s="81"/>
    </row>
    <row r="5476" spans="1:1">
      <c r="A5476" s="81"/>
    </row>
    <row r="5477" spans="1:1">
      <c r="A5477" s="81"/>
    </row>
    <row r="5478" spans="1:1">
      <c r="A5478" s="81"/>
    </row>
    <row r="5479" spans="1:1">
      <c r="A5479" s="81"/>
    </row>
    <row r="5480" spans="1:1">
      <c r="A5480" s="81"/>
    </row>
    <row r="5481" spans="1:1">
      <c r="A5481" s="81"/>
    </row>
    <row r="5482" spans="1:1">
      <c r="A5482" s="81"/>
    </row>
    <row r="5483" spans="1:1">
      <c r="A5483" s="81"/>
    </row>
    <row r="5484" spans="1:1">
      <c r="A5484" s="81"/>
    </row>
    <row r="5485" spans="1:1">
      <c r="A5485" s="81"/>
    </row>
    <row r="5486" spans="1:1">
      <c r="A5486" s="81"/>
    </row>
    <row r="5487" spans="1:1">
      <c r="A5487" s="81"/>
    </row>
    <row r="5488" spans="1:1">
      <c r="A5488" s="81"/>
    </row>
    <row r="5489" spans="1:1">
      <c r="A5489" s="81"/>
    </row>
    <row r="5490" spans="1:1">
      <c r="A5490" s="81"/>
    </row>
    <row r="5491" spans="1:1">
      <c r="A5491" s="81"/>
    </row>
    <row r="5492" spans="1:1">
      <c r="A5492" s="81"/>
    </row>
    <row r="5493" spans="1:1">
      <c r="A5493" s="81"/>
    </row>
    <row r="5494" spans="1:1">
      <c r="A5494" s="81"/>
    </row>
    <row r="5495" spans="1:1">
      <c r="A5495" s="81"/>
    </row>
    <row r="5496" spans="1:1">
      <c r="A5496" s="81"/>
    </row>
    <row r="5497" spans="1:1">
      <c r="A5497" s="81"/>
    </row>
    <row r="5498" spans="1:1">
      <c r="A5498" s="81"/>
    </row>
    <row r="5499" spans="1:1">
      <c r="A5499" s="81"/>
    </row>
    <row r="5500" spans="1:1">
      <c r="A5500" s="81"/>
    </row>
    <row r="5501" spans="1:1">
      <c r="A5501" s="81"/>
    </row>
    <row r="5502" spans="1:1">
      <c r="A5502" s="81"/>
    </row>
    <row r="5503" spans="1:1">
      <c r="A5503" s="81"/>
    </row>
    <row r="5504" spans="1:1">
      <c r="A5504" s="81"/>
    </row>
    <row r="5505" spans="1:1">
      <c r="A5505" s="81"/>
    </row>
    <row r="5506" spans="1:1">
      <c r="A5506" s="81"/>
    </row>
    <row r="5507" spans="1:1">
      <c r="A5507" s="81"/>
    </row>
    <row r="5508" spans="1:1">
      <c r="A5508" s="81"/>
    </row>
    <row r="5509" spans="1:1">
      <c r="A5509" s="81"/>
    </row>
    <row r="5510" spans="1:1">
      <c r="A5510" s="81"/>
    </row>
    <row r="5511" spans="1:1">
      <c r="A5511" s="81"/>
    </row>
    <row r="5512" spans="1:1">
      <c r="A5512" s="81"/>
    </row>
    <row r="5513" spans="1:1">
      <c r="A5513" s="81"/>
    </row>
    <row r="5514" spans="1:1">
      <c r="A5514" s="81"/>
    </row>
    <row r="5515" spans="1:1">
      <c r="A5515" s="81"/>
    </row>
    <row r="5516" spans="1:1">
      <c r="A5516" s="81"/>
    </row>
    <row r="5517" spans="1:1">
      <c r="A5517" s="81"/>
    </row>
    <row r="5518" spans="1:1">
      <c r="A5518" s="81"/>
    </row>
    <row r="5519" spans="1:1">
      <c r="A5519" s="81"/>
    </row>
    <row r="5520" spans="1:1">
      <c r="A5520" s="81"/>
    </row>
    <row r="5521" spans="1:1">
      <c r="A5521" s="81"/>
    </row>
    <row r="5522" spans="1:1">
      <c r="A5522" s="81"/>
    </row>
    <row r="5523" spans="1:1">
      <c r="A5523" s="81"/>
    </row>
    <row r="5524" spans="1:1">
      <c r="A5524" s="81"/>
    </row>
    <row r="5525" spans="1:1">
      <c r="A5525" s="81"/>
    </row>
    <row r="5526" spans="1:1">
      <c r="A5526" s="81"/>
    </row>
    <row r="5527" spans="1:1">
      <c r="A5527" s="81"/>
    </row>
    <row r="5528" spans="1:1">
      <c r="A5528" s="81"/>
    </row>
    <row r="5529" spans="1:1">
      <c r="A5529" s="81"/>
    </row>
    <row r="5530" spans="1:1">
      <c r="A5530" s="81"/>
    </row>
    <row r="5531" spans="1:1">
      <c r="A5531" s="81"/>
    </row>
    <row r="5532" spans="1:1">
      <c r="A5532" s="81"/>
    </row>
    <row r="5533" spans="1:1">
      <c r="A5533" s="81"/>
    </row>
    <row r="5534" spans="1:1">
      <c r="A5534" s="81"/>
    </row>
    <row r="5535" spans="1:1">
      <c r="A5535" s="81"/>
    </row>
    <row r="5536" spans="1:1">
      <c r="A5536" s="81"/>
    </row>
    <row r="5537" spans="1:1">
      <c r="A5537" s="81"/>
    </row>
    <row r="5538" spans="1:1">
      <c r="A5538" s="81"/>
    </row>
    <row r="5539" spans="1:1">
      <c r="A5539" s="81"/>
    </row>
    <row r="5540" spans="1:1">
      <c r="A5540" s="81"/>
    </row>
    <row r="5541" spans="1:1">
      <c r="A5541" s="81"/>
    </row>
    <row r="5542" spans="1:1">
      <c r="A5542" s="81"/>
    </row>
    <row r="5543" spans="1:1">
      <c r="A5543" s="81"/>
    </row>
    <row r="5544" spans="1:1">
      <c r="A5544" s="81"/>
    </row>
    <row r="5545" spans="1:1">
      <c r="A5545" s="81"/>
    </row>
    <row r="5546" spans="1:1">
      <c r="A5546" s="81"/>
    </row>
    <row r="5547" spans="1:1">
      <c r="A5547" s="81"/>
    </row>
    <row r="5548" spans="1:1">
      <c r="A5548" s="81"/>
    </row>
    <row r="5549" spans="1:1">
      <c r="A5549" s="81"/>
    </row>
    <row r="5550" spans="1:1">
      <c r="A5550" s="81"/>
    </row>
    <row r="5551" spans="1:1">
      <c r="A5551" s="81"/>
    </row>
    <row r="5552" spans="1:1">
      <c r="A5552" s="81"/>
    </row>
    <row r="5553" spans="1:1">
      <c r="A5553" s="81"/>
    </row>
    <row r="5554" spans="1:1">
      <c r="A5554" s="81"/>
    </row>
    <row r="5555" spans="1:1">
      <c r="A5555" s="81"/>
    </row>
    <row r="5556" spans="1:1">
      <c r="A5556" s="81"/>
    </row>
    <row r="5557" spans="1:1">
      <c r="A5557" s="81"/>
    </row>
    <row r="5558" spans="1:1">
      <c r="A5558" s="81"/>
    </row>
    <row r="5559" spans="1:1">
      <c r="A5559" s="81"/>
    </row>
    <row r="5560" spans="1:1">
      <c r="A5560" s="81"/>
    </row>
    <row r="5561" spans="1:1">
      <c r="A5561" s="81"/>
    </row>
    <row r="5562" spans="1:1">
      <c r="A5562" s="81"/>
    </row>
    <row r="5563" spans="1:1">
      <c r="A5563" s="81"/>
    </row>
    <row r="5564" spans="1:1">
      <c r="A5564" s="81"/>
    </row>
    <row r="5565" spans="1:1">
      <c r="A5565" s="81"/>
    </row>
    <row r="5566" spans="1:1">
      <c r="A5566" s="81"/>
    </row>
    <row r="5567" spans="1:1">
      <c r="A5567" s="81"/>
    </row>
    <row r="5568" spans="1:1">
      <c r="A5568" s="81"/>
    </row>
    <row r="5569" spans="1:1">
      <c r="A5569" s="81"/>
    </row>
    <row r="5570" spans="1:1">
      <c r="A5570" s="81"/>
    </row>
    <row r="5571" spans="1:1">
      <c r="A5571" s="81"/>
    </row>
    <row r="5572" spans="1:1">
      <c r="A5572" s="81"/>
    </row>
    <row r="5573" spans="1:1">
      <c r="A5573" s="81"/>
    </row>
    <row r="5574" spans="1:1">
      <c r="A5574" s="81"/>
    </row>
    <row r="5575" spans="1:1">
      <c r="A5575" s="81"/>
    </row>
    <row r="5576" spans="1:1">
      <c r="A5576" s="81"/>
    </row>
    <row r="5577" spans="1:1">
      <c r="A5577" s="81"/>
    </row>
    <row r="5578" spans="1:1">
      <c r="A5578" s="81"/>
    </row>
    <row r="5579" spans="1:1">
      <c r="A5579" s="81"/>
    </row>
    <row r="5580" spans="1:1">
      <c r="A5580" s="81"/>
    </row>
    <row r="5581" spans="1:1">
      <c r="A5581" s="81"/>
    </row>
    <row r="5582" spans="1:1">
      <c r="A5582" s="81"/>
    </row>
    <row r="5583" spans="1:1">
      <c r="A5583" s="81"/>
    </row>
    <row r="5584" spans="1:1">
      <c r="A5584" s="81"/>
    </row>
    <row r="5585" spans="1:1">
      <c r="A5585" s="81"/>
    </row>
    <row r="5586" spans="1:1">
      <c r="A5586" s="81"/>
    </row>
    <row r="5587" spans="1:1">
      <c r="A5587" s="81"/>
    </row>
    <row r="5588" spans="1:1">
      <c r="A5588" s="81"/>
    </row>
    <row r="5589" spans="1:1">
      <c r="A5589" s="81"/>
    </row>
    <row r="5590" spans="1:1">
      <c r="A5590" s="81"/>
    </row>
    <row r="5591" spans="1:1">
      <c r="A5591" s="81"/>
    </row>
    <row r="5592" spans="1:1">
      <c r="A5592" s="81"/>
    </row>
    <row r="5593" spans="1:1">
      <c r="A5593" s="81"/>
    </row>
    <row r="5594" spans="1:1">
      <c r="A5594" s="81"/>
    </row>
    <row r="5595" spans="1:1">
      <c r="A5595" s="81"/>
    </row>
    <row r="5596" spans="1:1">
      <c r="A5596" s="81"/>
    </row>
    <row r="5597" spans="1:1">
      <c r="A5597" s="81"/>
    </row>
    <row r="5598" spans="1:1">
      <c r="A5598" s="81"/>
    </row>
    <row r="5599" spans="1:1">
      <c r="A5599" s="81"/>
    </row>
    <row r="5600" spans="1:1">
      <c r="A5600" s="81"/>
    </row>
    <row r="5601" spans="1:1">
      <c r="A5601" s="81"/>
    </row>
    <row r="5602" spans="1:1">
      <c r="A5602" s="81"/>
    </row>
    <row r="5603" spans="1:1">
      <c r="A5603" s="81"/>
    </row>
    <row r="5604" spans="1:1">
      <c r="A5604" s="81"/>
    </row>
    <row r="5605" spans="1:1">
      <c r="A5605" s="81"/>
    </row>
    <row r="5606" spans="1:1">
      <c r="A5606" s="81"/>
    </row>
    <row r="5607" spans="1:1">
      <c r="A5607" s="81"/>
    </row>
    <row r="5608" spans="1:1">
      <c r="A5608" s="81"/>
    </row>
    <row r="5609" spans="1:1">
      <c r="A5609" s="81"/>
    </row>
    <row r="5610" spans="1:1">
      <c r="A5610" s="81"/>
    </row>
    <row r="5611" spans="1:1">
      <c r="A5611" s="81"/>
    </row>
    <row r="5612" spans="1:1">
      <c r="A5612" s="81"/>
    </row>
    <row r="5613" spans="1:1">
      <c r="A5613" s="81"/>
    </row>
    <row r="5614" spans="1:1">
      <c r="A5614" s="81"/>
    </row>
    <row r="5615" spans="1:1">
      <c r="A5615" s="81"/>
    </row>
    <row r="5616" spans="1:1">
      <c r="A5616" s="81"/>
    </row>
    <row r="5617" spans="1:1">
      <c r="A5617" s="81"/>
    </row>
    <row r="5618" spans="1:1">
      <c r="A5618" s="81"/>
    </row>
    <row r="5619" spans="1:1">
      <c r="A5619" s="81"/>
    </row>
    <row r="5620" spans="1:1">
      <c r="A5620" s="81"/>
    </row>
    <row r="5621" spans="1:1">
      <c r="A5621" s="81"/>
    </row>
    <row r="5622" spans="1:1">
      <c r="A5622" s="81"/>
    </row>
    <row r="5623" spans="1:1">
      <c r="A5623" s="81"/>
    </row>
    <row r="5624" spans="1:1">
      <c r="A5624" s="81"/>
    </row>
    <row r="5625" spans="1:1">
      <c r="A5625" s="81"/>
    </row>
    <row r="5626" spans="1:1">
      <c r="A5626" s="81"/>
    </row>
    <row r="5627" spans="1:1">
      <c r="A5627" s="81"/>
    </row>
    <row r="5628" spans="1:1">
      <c r="A5628" s="81"/>
    </row>
    <row r="5629" spans="1:1">
      <c r="A5629" s="81"/>
    </row>
    <row r="5630" spans="1:1">
      <c r="A5630" s="81"/>
    </row>
    <row r="5631" spans="1:1">
      <c r="A5631" s="81"/>
    </row>
    <row r="5632" spans="1:1">
      <c r="A5632" s="81"/>
    </row>
    <row r="5633" spans="1:1">
      <c r="A5633" s="81"/>
    </row>
    <row r="5634" spans="1:1">
      <c r="A5634" s="81"/>
    </row>
    <row r="5635" spans="1:1">
      <c r="A5635" s="81"/>
    </row>
    <row r="5636" spans="1:1">
      <c r="A5636" s="81"/>
    </row>
    <row r="5637" spans="1:1">
      <c r="A5637" s="81"/>
    </row>
    <row r="5638" spans="1:1">
      <c r="A5638" s="81"/>
    </row>
    <row r="5639" spans="1:1">
      <c r="A5639" s="81"/>
    </row>
    <row r="5640" spans="1:1">
      <c r="A5640" s="81"/>
    </row>
    <row r="5641" spans="1:1">
      <c r="A5641" s="81"/>
    </row>
    <row r="5642" spans="1:1">
      <c r="A5642" s="81"/>
    </row>
    <row r="5643" spans="1:1">
      <c r="A5643" s="81"/>
    </row>
    <row r="5644" spans="1:1">
      <c r="A5644" s="81"/>
    </row>
    <row r="5645" spans="1:1">
      <c r="A5645" s="81"/>
    </row>
    <row r="5646" spans="1:1">
      <c r="A5646" s="81"/>
    </row>
    <row r="5647" spans="1:1">
      <c r="A5647" s="81"/>
    </row>
    <row r="5648" spans="1:1">
      <c r="A5648" s="81"/>
    </row>
    <row r="5649" spans="1:1">
      <c r="A5649" s="81"/>
    </row>
    <row r="5650" spans="1:1">
      <c r="A5650" s="81"/>
    </row>
    <row r="5651" spans="1:1">
      <c r="A5651" s="81"/>
    </row>
    <row r="5652" spans="1:1">
      <c r="A5652" s="81"/>
    </row>
    <row r="5653" spans="1:1">
      <c r="A5653" s="81"/>
    </row>
    <row r="5654" spans="1:1">
      <c r="A5654" s="81"/>
    </row>
    <row r="5655" spans="1:1">
      <c r="A5655" s="81"/>
    </row>
    <row r="5656" spans="1:1">
      <c r="A5656" s="81"/>
    </row>
    <row r="5657" spans="1:1">
      <c r="A5657" s="81"/>
    </row>
    <row r="5658" spans="1:1">
      <c r="A5658" s="81"/>
    </row>
    <row r="5659" spans="1:1">
      <c r="A5659" s="81"/>
    </row>
    <row r="5660" spans="1:1">
      <c r="A5660" s="81"/>
    </row>
    <row r="5661" spans="1:1">
      <c r="A5661" s="81"/>
    </row>
    <row r="5662" spans="1:1">
      <c r="A5662" s="81"/>
    </row>
    <row r="5663" spans="1:1">
      <c r="A5663" s="81"/>
    </row>
    <row r="5664" spans="1:1">
      <c r="A5664" s="81"/>
    </row>
    <row r="5665" spans="1:1">
      <c r="A5665" s="81"/>
    </row>
    <row r="5666" spans="1:1">
      <c r="A5666" s="81"/>
    </row>
    <row r="5667" spans="1:1">
      <c r="A5667" s="81"/>
    </row>
    <row r="5668" spans="1:1">
      <c r="A5668" s="81"/>
    </row>
    <row r="5669" spans="1:1">
      <c r="A5669" s="81"/>
    </row>
    <row r="5670" spans="1:1">
      <c r="A5670" s="81"/>
    </row>
    <row r="5671" spans="1:1">
      <c r="A5671" s="81"/>
    </row>
    <row r="5672" spans="1:1">
      <c r="A5672" s="81"/>
    </row>
    <row r="5673" spans="1:1">
      <c r="A5673" s="81"/>
    </row>
    <row r="5674" spans="1:1">
      <c r="A5674" s="81"/>
    </row>
    <row r="5675" spans="1:1">
      <c r="A5675" s="81"/>
    </row>
    <row r="5676" spans="1:1">
      <c r="A5676" s="81"/>
    </row>
    <row r="5677" spans="1:1">
      <c r="A5677" s="81"/>
    </row>
    <row r="5678" spans="1:1">
      <c r="A5678" s="81"/>
    </row>
    <row r="5679" spans="1:1">
      <c r="A5679" s="81"/>
    </row>
    <row r="5680" spans="1:1">
      <c r="A5680" s="81"/>
    </row>
    <row r="5681" spans="1:1">
      <c r="A5681" s="81"/>
    </row>
    <row r="5682" spans="1:1">
      <c r="A5682" s="81"/>
    </row>
    <row r="5683" spans="1:1">
      <c r="A5683" s="81"/>
    </row>
    <row r="5684" spans="1:1">
      <c r="A5684" s="81"/>
    </row>
    <row r="5685" spans="1:1">
      <c r="A5685" s="81"/>
    </row>
    <row r="5686" spans="1:1">
      <c r="A5686" s="81"/>
    </row>
    <row r="5687" spans="1:1">
      <c r="A5687" s="81"/>
    </row>
    <row r="5688" spans="1:1">
      <c r="A5688" s="81"/>
    </row>
    <row r="5689" spans="1:1">
      <c r="A5689" s="81"/>
    </row>
    <row r="5690" spans="1:1">
      <c r="A5690" s="81"/>
    </row>
    <row r="5691" spans="1:1">
      <c r="A5691" s="81"/>
    </row>
    <row r="5692" spans="1:1">
      <c r="A5692" s="81"/>
    </row>
    <row r="5693" spans="1:1">
      <c r="A5693" s="81"/>
    </row>
    <row r="5694" spans="1:1">
      <c r="A5694" s="81"/>
    </row>
    <row r="5695" spans="1:1">
      <c r="A5695" s="81"/>
    </row>
    <row r="5696" spans="1:1">
      <c r="A5696" s="81"/>
    </row>
    <row r="5697" spans="1:1">
      <c r="A5697" s="81"/>
    </row>
    <row r="5698" spans="1:1">
      <c r="A5698" s="81"/>
    </row>
    <row r="5699" spans="1:1">
      <c r="A5699" s="81"/>
    </row>
    <row r="5700" spans="1:1">
      <c r="A5700" s="81"/>
    </row>
    <row r="5701" spans="1:1">
      <c r="A5701" s="81"/>
    </row>
    <row r="5702" spans="1:1">
      <c r="A5702" s="81"/>
    </row>
    <row r="5703" spans="1:1">
      <c r="A5703" s="81"/>
    </row>
    <row r="5704" spans="1:1">
      <c r="A5704" s="81"/>
    </row>
    <row r="5705" spans="1:1">
      <c r="A5705" s="81"/>
    </row>
    <row r="5706" spans="1:1">
      <c r="A5706" s="81"/>
    </row>
    <row r="5707" spans="1:1">
      <c r="A5707" s="81"/>
    </row>
    <row r="5708" spans="1:1">
      <c r="A5708" s="81"/>
    </row>
    <row r="5709" spans="1:1">
      <c r="A5709" s="81"/>
    </row>
    <row r="5710" spans="1:1">
      <c r="A5710" s="81"/>
    </row>
    <row r="5711" spans="1:1">
      <c r="A5711" s="81"/>
    </row>
    <row r="5712" spans="1:1">
      <c r="A5712" s="81"/>
    </row>
    <row r="5713" spans="1:1">
      <c r="A5713" s="81"/>
    </row>
    <row r="5714" spans="1:1">
      <c r="A5714" s="81"/>
    </row>
    <row r="5715" spans="1:1">
      <c r="A5715" s="81"/>
    </row>
    <row r="5716" spans="1:1">
      <c r="A5716" s="81"/>
    </row>
    <row r="5717" spans="1:1">
      <c r="A5717" s="81"/>
    </row>
    <row r="5718" spans="1:1">
      <c r="A5718" s="81"/>
    </row>
    <row r="5719" spans="1:1">
      <c r="A5719" s="81"/>
    </row>
    <row r="5720" spans="1:1">
      <c r="A5720" s="81"/>
    </row>
    <row r="5721" spans="1:1">
      <c r="A5721" s="81"/>
    </row>
    <row r="5722" spans="1:1">
      <c r="A5722" s="81"/>
    </row>
    <row r="5723" spans="1:1">
      <c r="A5723" s="81"/>
    </row>
    <row r="5724" spans="1:1">
      <c r="A5724" s="81"/>
    </row>
    <row r="5725" spans="1:1">
      <c r="A5725" s="81"/>
    </row>
    <row r="5726" spans="1:1">
      <c r="A5726" s="81"/>
    </row>
    <row r="5727" spans="1:1">
      <c r="A5727" s="81"/>
    </row>
    <row r="5728" spans="1:1">
      <c r="A5728" s="81"/>
    </row>
    <row r="5729" spans="1:1">
      <c r="A5729" s="81"/>
    </row>
    <row r="5730" spans="1:1">
      <c r="A5730" s="81"/>
    </row>
    <row r="5731" spans="1:1">
      <c r="A5731" s="81"/>
    </row>
    <row r="5732" spans="1:1">
      <c r="A5732" s="81"/>
    </row>
    <row r="5733" spans="1:1">
      <c r="A5733" s="81"/>
    </row>
    <row r="5734" spans="1:1">
      <c r="A5734" s="81"/>
    </row>
    <row r="5735" spans="1:1">
      <c r="A5735" s="81"/>
    </row>
    <row r="5736" spans="1:1">
      <c r="A5736" s="81"/>
    </row>
    <row r="5737" spans="1:1">
      <c r="A5737" s="81"/>
    </row>
    <row r="5738" spans="1:1">
      <c r="A5738" s="81"/>
    </row>
    <row r="5739" spans="1:1">
      <c r="A5739" s="81"/>
    </row>
    <row r="5740" spans="1:1">
      <c r="A5740" s="81"/>
    </row>
    <row r="5741" spans="1:1">
      <c r="A5741" s="81"/>
    </row>
    <row r="5742" spans="1:1">
      <c r="A5742" s="81"/>
    </row>
    <row r="5743" spans="1:1">
      <c r="A5743" s="81"/>
    </row>
    <row r="5744" spans="1:1">
      <c r="A5744" s="81"/>
    </row>
    <row r="5745" spans="1:1">
      <c r="A5745" s="81"/>
    </row>
    <row r="5746" spans="1:1">
      <c r="A5746" s="81"/>
    </row>
    <row r="5747" spans="1:1">
      <c r="A5747" s="81"/>
    </row>
    <row r="5748" spans="1:1">
      <c r="A5748" s="81"/>
    </row>
    <row r="5749" spans="1:1">
      <c r="A5749" s="81"/>
    </row>
    <row r="5750" spans="1:1">
      <c r="A5750" s="81"/>
    </row>
    <row r="5751" spans="1:1">
      <c r="A5751" s="81"/>
    </row>
    <row r="5752" spans="1:1">
      <c r="A5752" s="81"/>
    </row>
    <row r="5753" spans="1:1">
      <c r="A5753" s="81"/>
    </row>
    <row r="5754" spans="1:1">
      <c r="A5754" s="81"/>
    </row>
    <row r="5755" spans="1:1">
      <c r="A5755" s="81"/>
    </row>
    <row r="5756" spans="1:1">
      <c r="A5756" s="81"/>
    </row>
    <row r="5757" spans="1:1">
      <c r="A5757" s="81"/>
    </row>
    <row r="5758" spans="1:1">
      <c r="A5758" s="81"/>
    </row>
    <row r="5759" spans="1:1">
      <c r="A5759" s="81"/>
    </row>
    <row r="5760" spans="1:1">
      <c r="A5760" s="81"/>
    </row>
    <row r="5761" spans="1:1">
      <c r="A5761" s="81"/>
    </row>
    <row r="5762" spans="1:1">
      <c r="A5762" s="81"/>
    </row>
    <row r="5763" spans="1:1">
      <c r="A5763" s="81"/>
    </row>
    <row r="5764" spans="1:1">
      <c r="A5764" s="81"/>
    </row>
    <row r="5765" spans="1:1">
      <c r="A5765" s="81"/>
    </row>
    <row r="5766" spans="1:1">
      <c r="A5766" s="81"/>
    </row>
    <row r="5767" spans="1:1">
      <c r="A5767" s="81"/>
    </row>
    <row r="5768" spans="1:1">
      <c r="A5768" s="81"/>
    </row>
    <row r="5769" spans="1:1">
      <c r="A5769" s="81"/>
    </row>
    <row r="5770" spans="1:1">
      <c r="A5770" s="81"/>
    </row>
    <row r="5771" spans="1:1">
      <c r="A5771" s="81"/>
    </row>
    <row r="5772" spans="1:1">
      <c r="A5772" s="81"/>
    </row>
    <row r="5773" spans="1:1">
      <c r="A5773" s="81"/>
    </row>
    <row r="5774" spans="1:1">
      <c r="A5774" s="81"/>
    </row>
    <row r="5775" spans="1:1">
      <c r="A5775" s="81"/>
    </row>
    <row r="5776" spans="1:1">
      <c r="A5776" s="81"/>
    </row>
    <row r="5777" spans="1:1">
      <c r="A5777" s="81"/>
    </row>
    <row r="5778" spans="1:1">
      <c r="A5778" s="81"/>
    </row>
    <row r="5779" spans="1:1">
      <c r="A5779" s="81"/>
    </row>
    <row r="5780" spans="1:1">
      <c r="A5780" s="81"/>
    </row>
    <row r="5781" spans="1:1">
      <c r="A5781" s="81"/>
    </row>
    <row r="5782" spans="1:1">
      <c r="A5782" s="81"/>
    </row>
    <row r="5783" spans="1:1">
      <c r="A5783" s="81"/>
    </row>
    <row r="5784" spans="1:1">
      <c r="A5784" s="81"/>
    </row>
    <row r="5785" spans="1:1">
      <c r="A5785" s="81"/>
    </row>
    <row r="5786" spans="1:1">
      <c r="A5786" s="81"/>
    </row>
    <row r="5787" spans="1:1">
      <c r="A5787" s="81"/>
    </row>
    <row r="5788" spans="1:1">
      <c r="A5788" s="81"/>
    </row>
    <row r="5789" spans="1:1">
      <c r="A5789" s="81"/>
    </row>
    <row r="5790" spans="1:1">
      <c r="A5790" s="81"/>
    </row>
    <row r="5791" spans="1:1">
      <c r="A5791" s="81"/>
    </row>
    <row r="5792" spans="1:1">
      <c r="A5792" s="81"/>
    </row>
    <row r="5793" spans="1:1">
      <c r="A5793" s="81"/>
    </row>
    <row r="5794" spans="1:1">
      <c r="A5794" s="81"/>
    </row>
    <row r="5795" spans="1:1">
      <c r="A5795" s="81"/>
    </row>
    <row r="5796" spans="1:1">
      <c r="A5796" s="81"/>
    </row>
    <row r="5797" spans="1:1">
      <c r="A5797" s="81"/>
    </row>
    <row r="5798" spans="1:1">
      <c r="A5798" s="81"/>
    </row>
    <row r="5799" spans="1:1">
      <c r="A5799" s="81"/>
    </row>
    <row r="5800" spans="1:1">
      <c r="A5800" s="81"/>
    </row>
    <row r="5801" spans="1:1">
      <c r="A5801" s="81"/>
    </row>
    <row r="5802" spans="1:1">
      <c r="A5802" s="81"/>
    </row>
    <row r="5803" spans="1:1">
      <c r="A5803" s="81"/>
    </row>
    <row r="5804" spans="1:1">
      <c r="A5804" s="81"/>
    </row>
    <row r="5805" spans="1:1">
      <c r="A5805" s="81"/>
    </row>
    <row r="5806" spans="1:1">
      <c r="A5806" s="81"/>
    </row>
    <row r="5807" spans="1:1">
      <c r="A5807" s="81"/>
    </row>
    <row r="5808" spans="1:1">
      <c r="A5808" s="81"/>
    </row>
    <row r="5809" spans="1:1">
      <c r="A5809" s="81"/>
    </row>
    <row r="5810" spans="1:1">
      <c r="A5810" s="81"/>
    </row>
    <row r="5811" spans="1:1">
      <c r="A5811" s="81"/>
    </row>
    <row r="5812" spans="1:1">
      <c r="A5812" s="81"/>
    </row>
    <row r="5813" spans="1:1">
      <c r="A5813" s="81"/>
    </row>
    <row r="5814" spans="1:1">
      <c r="A5814" s="81"/>
    </row>
    <row r="5815" spans="1:1">
      <c r="A5815" s="81"/>
    </row>
    <row r="5816" spans="1:1">
      <c r="A5816" s="81"/>
    </row>
    <row r="5817" spans="1:1">
      <c r="A5817" s="81"/>
    </row>
    <row r="5818" spans="1:1">
      <c r="A5818" s="81"/>
    </row>
    <row r="5819" spans="1:1">
      <c r="A5819" s="81"/>
    </row>
    <row r="5820" spans="1:1">
      <c r="A5820" s="81"/>
    </row>
    <row r="5821" spans="1:1">
      <c r="A5821" s="81"/>
    </row>
    <row r="5822" spans="1:1">
      <c r="A5822" s="81"/>
    </row>
    <row r="5823" spans="1:1">
      <c r="A5823" s="81"/>
    </row>
    <row r="5824" spans="1:1">
      <c r="A5824" s="81"/>
    </row>
    <row r="5825" spans="1:1">
      <c r="A5825" s="81"/>
    </row>
    <row r="5826" spans="1:1">
      <c r="A5826" s="81"/>
    </row>
    <row r="5827" spans="1:1">
      <c r="A5827" s="81"/>
    </row>
    <row r="5828" spans="1:1">
      <c r="A5828" s="81"/>
    </row>
    <row r="5829" spans="1:1">
      <c r="A5829" s="81"/>
    </row>
    <row r="5830" spans="1:1">
      <c r="A5830" s="81"/>
    </row>
    <row r="5831" spans="1:1">
      <c r="A5831" s="81"/>
    </row>
    <row r="5832" spans="1:1">
      <c r="A5832" s="81"/>
    </row>
    <row r="5833" spans="1:1">
      <c r="A5833" s="81"/>
    </row>
    <row r="5834" spans="1:1">
      <c r="A5834" s="81"/>
    </row>
    <row r="5835" spans="1:1">
      <c r="A5835" s="81"/>
    </row>
    <row r="5836" spans="1:1">
      <c r="A5836" s="81"/>
    </row>
    <row r="5837" spans="1:1">
      <c r="A5837" s="81"/>
    </row>
    <row r="5838" spans="1:1">
      <c r="A5838" s="81"/>
    </row>
    <row r="5839" spans="1:1">
      <c r="A5839" s="81"/>
    </row>
    <row r="5840" spans="1:1">
      <c r="A5840" s="81"/>
    </row>
    <row r="5841" spans="1:1">
      <c r="A5841" s="81"/>
    </row>
    <row r="5842" spans="1:1">
      <c r="A5842" s="81"/>
    </row>
    <row r="5843" spans="1:1">
      <c r="A5843" s="81"/>
    </row>
    <row r="5844" spans="1:1">
      <c r="A5844" s="81"/>
    </row>
    <row r="5845" spans="1:1">
      <c r="A5845" s="81"/>
    </row>
    <row r="5846" spans="1:1">
      <c r="A5846" s="81"/>
    </row>
    <row r="5847" spans="1:1">
      <c r="A5847" s="81"/>
    </row>
    <row r="5848" spans="1:1">
      <c r="A5848" s="81"/>
    </row>
    <row r="5849" spans="1:1">
      <c r="A5849" s="81"/>
    </row>
    <row r="5850" spans="1:1">
      <c r="A5850" s="81"/>
    </row>
    <row r="5851" spans="1:1">
      <c r="A5851" s="81"/>
    </row>
    <row r="5852" spans="1:1">
      <c r="A5852" s="81"/>
    </row>
    <row r="5853" spans="1:1">
      <c r="A5853" s="81"/>
    </row>
    <row r="5854" spans="1:1">
      <c r="A5854" s="81"/>
    </row>
    <row r="5855" spans="1:1">
      <c r="A5855" s="81"/>
    </row>
    <row r="5856" spans="1:1">
      <c r="A5856" s="81"/>
    </row>
    <row r="5857" spans="1:1">
      <c r="A5857" s="81"/>
    </row>
    <row r="5858" spans="1:1">
      <c r="A5858" s="81"/>
    </row>
    <row r="5859" spans="1:1">
      <c r="A5859" s="81"/>
    </row>
    <row r="5860" spans="1:1">
      <c r="A5860" s="81"/>
    </row>
    <row r="5861" spans="1:1">
      <c r="A5861" s="81"/>
    </row>
    <row r="5862" spans="1:1">
      <c r="A5862" s="81"/>
    </row>
    <row r="5863" spans="1:1">
      <c r="A5863" s="81"/>
    </row>
    <row r="5864" spans="1:1">
      <c r="A5864" s="81"/>
    </row>
    <row r="5865" spans="1:1">
      <c r="A5865" s="81"/>
    </row>
    <row r="5866" spans="1:1">
      <c r="A5866" s="81"/>
    </row>
    <row r="5867" spans="1:1">
      <c r="A5867" s="81"/>
    </row>
    <row r="5868" spans="1:1">
      <c r="A5868" s="81"/>
    </row>
    <row r="5869" spans="1:1">
      <c r="A5869" s="81"/>
    </row>
    <row r="5870" spans="1:1">
      <c r="A5870" s="81"/>
    </row>
    <row r="5871" spans="1:1">
      <c r="A5871" s="81"/>
    </row>
    <row r="5872" spans="1:1">
      <c r="A5872" s="81"/>
    </row>
    <row r="5873" spans="1:1">
      <c r="A5873" s="81"/>
    </row>
    <row r="5874" spans="1:1">
      <c r="A5874" s="81"/>
    </row>
    <row r="5875" spans="1:1">
      <c r="A5875" s="81"/>
    </row>
    <row r="5876" spans="1:1">
      <c r="A5876" s="81"/>
    </row>
    <row r="5877" spans="1:1">
      <c r="A5877" s="81"/>
    </row>
    <row r="5878" spans="1:1">
      <c r="A5878" s="81"/>
    </row>
    <row r="5879" spans="1:1">
      <c r="A5879" s="81"/>
    </row>
    <row r="5880" spans="1:1">
      <c r="A5880" s="81"/>
    </row>
    <row r="5881" spans="1:1">
      <c r="A5881" s="81"/>
    </row>
    <row r="5882" spans="1:1">
      <c r="A5882" s="81"/>
    </row>
    <row r="5883" spans="1:1">
      <c r="A5883" s="81"/>
    </row>
    <row r="5884" spans="1:1">
      <c r="A5884" s="81"/>
    </row>
    <row r="5885" spans="1:1">
      <c r="A5885" s="81"/>
    </row>
    <row r="5886" spans="1:1">
      <c r="A5886" s="81"/>
    </row>
    <row r="5887" spans="1:1">
      <c r="A5887" s="81"/>
    </row>
    <row r="5888" spans="1:1">
      <c r="A5888" s="81"/>
    </row>
    <row r="5889" spans="1:1">
      <c r="A5889" s="81"/>
    </row>
    <row r="5890" spans="1:1">
      <c r="A5890" s="81"/>
    </row>
    <row r="5891" spans="1:1">
      <c r="A5891" s="81"/>
    </row>
    <row r="5892" spans="1:1">
      <c r="A5892" s="81"/>
    </row>
    <row r="5893" spans="1:1">
      <c r="A5893" s="81"/>
    </row>
    <row r="5894" spans="1:1">
      <c r="A5894" s="81"/>
    </row>
    <row r="5895" spans="1:1">
      <c r="A5895" s="81"/>
    </row>
    <row r="5896" spans="1:1">
      <c r="A5896" s="81"/>
    </row>
    <row r="5897" spans="1:1">
      <c r="A5897" s="81"/>
    </row>
    <row r="5898" spans="1:1">
      <c r="A5898" s="81"/>
    </row>
    <row r="5899" spans="1:1">
      <c r="A5899" s="81"/>
    </row>
    <row r="5900" spans="1:1">
      <c r="A5900" s="81"/>
    </row>
    <row r="5901" spans="1:1">
      <c r="A5901" s="81"/>
    </row>
    <row r="5902" spans="1:1">
      <c r="A5902" s="81"/>
    </row>
    <row r="5903" spans="1:1">
      <c r="A5903" s="81"/>
    </row>
    <row r="5904" spans="1:1">
      <c r="A5904" s="81"/>
    </row>
    <row r="5905" spans="1:1">
      <c r="A5905" s="81"/>
    </row>
    <row r="5906" spans="1:1">
      <c r="A5906" s="81"/>
    </row>
    <row r="5907" spans="1:1">
      <c r="A5907" s="81"/>
    </row>
    <row r="5908" spans="1:1">
      <c r="A5908" s="81"/>
    </row>
    <row r="5909" spans="1:1">
      <c r="A5909" s="81"/>
    </row>
    <row r="5910" spans="1:1">
      <c r="A5910" s="81"/>
    </row>
    <row r="5911" spans="1:1">
      <c r="A5911" s="81"/>
    </row>
    <row r="5912" spans="1:1">
      <c r="A5912" s="81"/>
    </row>
    <row r="5913" spans="1:1">
      <c r="A5913" s="81"/>
    </row>
    <row r="5914" spans="1:1">
      <c r="A5914" s="81"/>
    </row>
    <row r="5915" spans="1:1">
      <c r="A5915" s="81"/>
    </row>
    <row r="5916" spans="1:1">
      <c r="A5916" s="81"/>
    </row>
    <row r="5917" spans="1:1">
      <c r="A5917" s="81"/>
    </row>
    <row r="5918" spans="1:1">
      <c r="A5918" s="81"/>
    </row>
    <row r="5919" spans="1:1">
      <c r="A5919" s="81"/>
    </row>
    <row r="5920" spans="1:1">
      <c r="A5920" s="81"/>
    </row>
    <row r="5921" spans="1:1">
      <c r="A5921" s="81"/>
    </row>
    <row r="5922" spans="1:1">
      <c r="A5922" s="81"/>
    </row>
    <row r="5923" spans="1:1">
      <c r="A5923" s="81"/>
    </row>
    <row r="5924" spans="1:1">
      <c r="A5924" s="81"/>
    </row>
    <row r="5925" spans="1:1">
      <c r="A5925" s="81"/>
    </row>
    <row r="5926" spans="1:1">
      <c r="A5926" s="81"/>
    </row>
    <row r="5927" spans="1:1">
      <c r="A5927" s="81"/>
    </row>
    <row r="5928" spans="1:1">
      <c r="A5928" s="81"/>
    </row>
    <row r="5929" spans="1:1">
      <c r="A5929" s="81"/>
    </row>
    <row r="5930" spans="1:1">
      <c r="A5930" s="81"/>
    </row>
    <row r="5931" spans="1:1">
      <c r="A5931" s="81"/>
    </row>
    <row r="5932" spans="1:1">
      <c r="A5932" s="81"/>
    </row>
    <row r="5933" spans="1:1">
      <c r="A5933" s="81"/>
    </row>
    <row r="5934" spans="1:1">
      <c r="A5934" s="81"/>
    </row>
    <row r="5935" spans="1:1">
      <c r="A5935" s="81"/>
    </row>
    <row r="5936" spans="1:1">
      <c r="A5936" s="81"/>
    </row>
    <row r="5937" spans="1:1">
      <c r="A5937" s="81"/>
    </row>
    <row r="5938" spans="1:1">
      <c r="A5938" s="81"/>
    </row>
    <row r="5939" spans="1:1">
      <c r="A5939" s="81"/>
    </row>
    <row r="5940" spans="1:1">
      <c r="A5940" s="81"/>
    </row>
    <row r="5941" spans="1:1">
      <c r="A5941" s="81"/>
    </row>
    <row r="5942" spans="1:1">
      <c r="A5942" s="81"/>
    </row>
    <row r="5943" spans="1:1">
      <c r="A5943" s="81"/>
    </row>
    <row r="5944" spans="1:1">
      <c r="A5944" s="81"/>
    </row>
    <row r="5945" spans="1:1">
      <c r="A5945" s="81"/>
    </row>
    <row r="5946" spans="1:1">
      <c r="A5946" s="81"/>
    </row>
    <row r="5947" spans="1:1">
      <c r="A5947" s="81"/>
    </row>
    <row r="5948" spans="1:1">
      <c r="A5948" s="81"/>
    </row>
    <row r="5949" spans="1:1">
      <c r="A5949" s="81"/>
    </row>
    <row r="5950" spans="1:1">
      <c r="A5950" s="81"/>
    </row>
    <row r="5951" spans="1:1">
      <c r="A5951" s="81"/>
    </row>
    <row r="5952" spans="1:1">
      <c r="A5952" s="81"/>
    </row>
    <row r="5953" spans="1:1">
      <c r="A5953" s="81"/>
    </row>
    <row r="5954" spans="1:1">
      <c r="A5954" s="81"/>
    </row>
    <row r="5955" spans="1:1">
      <c r="A5955" s="81"/>
    </row>
    <row r="5956" spans="1:1">
      <c r="A5956" s="81"/>
    </row>
    <row r="5957" spans="1:1">
      <c r="A5957" s="81"/>
    </row>
    <row r="5958" spans="1:1">
      <c r="A5958" s="81"/>
    </row>
    <row r="5959" spans="1:1">
      <c r="A5959" s="81"/>
    </row>
    <row r="5960" spans="1:1">
      <c r="A5960" s="81"/>
    </row>
    <row r="5961" spans="1:1">
      <c r="A5961" s="81"/>
    </row>
    <row r="5962" spans="1:1">
      <c r="A5962" s="81"/>
    </row>
    <row r="5963" spans="1:1">
      <c r="A5963" s="81"/>
    </row>
    <row r="5964" spans="1:1">
      <c r="A5964" s="81"/>
    </row>
    <row r="5965" spans="1:1">
      <c r="A5965" s="81"/>
    </row>
    <row r="5966" spans="1:1">
      <c r="A5966" s="81"/>
    </row>
    <row r="5967" spans="1:1">
      <c r="A5967" s="81"/>
    </row>
    <row r="5968" spans="1:1">
      <c r="A5968" s="81"/>
    </row>
    <row r="5969" spans="1:1">
      <c r="A5969" s="81"/>
    </row>
    <row r="5970" spans="1:1">
      <c r="A5970" s="81"/>
    </row>
    <row r="5971" spans="1:1">
      <c r="A5971" s="81"/>
    </row>
    <row r="5972" spans="1:1">
      <c r="A5972" s="81"/>
    </row>
    <row r="5973" spans="1:1">
      <c r="A5973" s="81"/>
    </row>
    <row r="5974" spans="1:1">
      <c r="A5974" s="81"/>
    </row>
    <row r="5975" spans="1:1">
      <c r="A5975" s="81"/>
    </row>
    <row r="5976" spans="1:1">
      <c r="A5976" s="81"/>
    </row>
    <row r="5977" spans="1:1">
      <c r="A5977" s="81"/>
    </row>
    <row r="5978" spans="1:1">
      <c r="A5978" s="81"/>
    </row>
    <row r="5979" spans="1:1">
      <c r="A5979" s="81"/>
    </row>
    <row r="5980" spans="1:1">
      <c r="A5980" s="81"/>
    </row>
    <row r="5981" spans="1:1">
      <c r="A5981" s="81"/>
    </row>
    <row r="5982" spans="1:1">
      <c r="A5982" s="81"/>
    </row>
    <row r="5983" spans="1:1">
      <c r="A5983" s="81"/>
    </row>
    <row r="5984" spans="1:1">
      <c r="A5984" s="81"/>
    </row>
    <row r="5985" spans="1:1">
      <c r="A5985" s="81"/>
    </row>
    <row r="5986" spans="1:1">
      <c r="A5986" s="81"/>
    </row>
    <row r="5987" spans="1:1">
      <c r="A5987" s="81"/>
    </row>
    <row r="5988" spans="1:1">
      <c r="A5988" s="81"/>
    </row>
    <row r="5989" spans="1:1">
      <c r="A5989" s="81"/>
    </row>
    <row r="5990" spans="1:1">
      <c r="A5990" s="81"/>
    </row>
    <row r="5991" spans="1:1">
      <c r="A5991" s="81"/>
    </row>
    <row r="5992" spans="1:1">
      <c r="A5992" s="81"/>
    </row>
    <row r="5993" spans="1:1">
      <c r="A5993" s="81"/>
    </row>
    <row r="5994" spans="1:1">
      <c r="A5994" s="81"/>
    </row>
    <row r="5995" spans="1:1">
      <c r="A5995" s="81"/>
    </row>
    <row r="5996" spans="1:1">
      <c r="A5996" s="81"/>
    </row>
    <row r="5997" spans="1:1">
      <c r="A5997" s="81"/>
    </row>
    <row r="5998" spans="1:1">
      <c r="A5998" s="81"/>
    </row>
    <row r="5999" spans="1:1">
      <c r="A5999" s="81"/>
    </row>
    <row r="6000" spans="1:1">
      <c r="A6000" s="81"/>
    </row>
    <row r="6001" spans="1:1">
      <c r="A6001" s="81"/>
    </row>
    <row r="6002" spans="1:1">
      <c r="A6002" s="81"/>
    </row>
    <row r="6003" spans="1:1">
      <c r="A6003" s="81"/>
    </row>
    <row r="6004" spans="1:1">
      <c r="A6004" s="81"/>
    </row>
    <row r="6005" spans="1:1">
      <c r="A6005" s="81"/>
    </row>
    <row r="6006" spans="1:1">
      <c r="A6006" s="81"/>
    </row>
    <row r="6007" spans="1:1">
      <c r="A6007" s="81"/>
    </row>
    <row r="6008" spans="1:1">
      <c r="A6008" s="81"/>
    </row>
    <row r="6009" spans="1:1">
      <c r="A6009" s="81"/>
    </row>
    <row r="6010" spans="1:1">
      <c r="A6010" s="81"/>
    </row>
    <row r="6011" spans="1:1">
      <c r="A6011" s="81"/>
    </row>
    <row r="6012" spans="1:1">
      <c r="A6012" s="81"/>
    </row>
    <row r="6013" spans="1:1">
      <c r="A6013" s="81"/>
    </row>
    <row r="6014" spans="1:1">
      <c r="A6014" s="81"/>
    </row>
    <row r="6015" spans="1:1">
      <c r="A6015" s="81"/>
    </row>
    <row r="6016" spans="1:1">
      <c r="A6016" s="81"/>
    </row>
    <row r="6017" spans="1:1">
      <c r="A6017" s="81"/>
    </row>
    <row r="6018" spans="1:1">
      <c r="A6018" s="81"/>
    </row>
    <row r="6019" spans="1:1">
      <c r="A6019" s="81"/>
    </row>
    <row r="6020" spans="1:1">
      <c r="A6020" s="81"/>
    </row>
    <row r="6021" spans="1:1">
      <c r="A6021" s="81"/>
    </row>
    <row r="6022" spans="1:1">
      <c r="A6022" s="81"/>
    </row>
    <row r="6023" spans="1:1">
      <c r="A6023" s="81"/>
    </row>
    <row r="6024" spans="1:1">
      <c r="A6024" s="81"/>
    </row>
    <row r="6025" spans="1:1">
      <c r="A6025" s="81"/>
    </row>
    <row r="6026" spans="1:1">
      <c r="A6026" s="81"/>
    </row>
    <row r="6027" spans="1:1">
      <c r="A6027" s="81"/>
    </row>
    <row r="6028" spans="1:1">
      <c r="A6028" s="81"/>
    </row>
    <row r="6029" spans="1:1">
      <c r="A6029" s="81"/>
    </row>
    <row r="6030" spans="1:1">
      <c r="A6030" s="81"/>
    </row>
    <row r="6031" spans="1:1">
      <c r="A6031" s="81"/>
    </row>
    <row r="6032" spans="1:1">
      <c r="A6032" s="81"/>
    </row>
    <row r="6033" spans="1:1">
      <c r="A6033" s="81"/>
    </row>
    <row r="6034" spans="1:1">
      <c r="A6034" s="81"/>
    </row>
    <row r="6035" spans="1:1">
      <c r="A6035" s="81"/>
    </row>
    <row r="6036" spans="1:1">
      <c r="A6036" s="81"/>
    </row>
    <row r="6037" spans="1:1">
      <c r="A6037" s="81"/>
    </row>
    <row r="6038" spans="1:1">
      <c r="A6038" s="81"/>
    </row>
    <row r="6039" spans="1:1">
      <c r="A6039" s="81"/>
    </row>
    <row r="6040" spans="1:1">
      <c r="A6040" s="81"/>
    </row>
    <row r="6041" spans="1:1">
      <c r="A6041" s="81"/>
    </row>
    <row r="6042" spans="1:1">
      <c r="A6042" s="81"/>
    </row>
    <row r="6043" spans="1:1">
      <c r="A6043" s="81"/>
    </row>
    <row r="6044" spans="1:1">
      <c r="A6044" s="81"/>
    </row>
    <row r="6045" spans="1:1">
      <c r="A6045" s="81"/>
    </row>
    <row r="6046" spans="1:1">
      <c r="A6046" s="81"/>
    </row>
    <row r="6047" spans="1:1">
      <c r="A6047" s="81"/>
    </row>
    <row r="6048" spans="1:1">
      <c r="A6048" s="81"/>
    </row>
    <row r="6049" spans="1:1">
      <c r="A6049" s="81"/>
    </row>
    <row r="6050" spans="1:1">
      <c r="A6050" s="81"/>
    </row>
    <row r="6051" spans="1:1">
      <c r="A6051" s="81"/>
    </row>
    <row r="6052" spans="1:1">
      <c r="A6052" s="81"/>
    </row>
    <row r="6053" spans="1:1">
      <c r="A6053" s="81"/>
    </row>
    <row r="6054" spans="1:1">
      <c r="A6054" s="81"/>
    </row>
    <row r="6055" spans="1:1">
      <c r="A6055" s="81"/>
    </row>
    <row r="6056" spans="1:1">
      <c r="A6056" s="81"/>
    </row>
    <row r="6057" spans="1:1">
      <c r="A6057" s="81"/>
    </row>
    <row r="6058" spans="1:1">
      <c r="A6058" s="81"/>
    </row>
    <row r="6059" spans="1:1">
      <c r="A6059" s="81"/>
    </row>
    <row r="6060" spans="1:1">
      <c r="A6060" s="81"/>
    </row>
    <row r="6061" spans="1:1">
      <c r="A6061" s="81"/>
    </row>
    <row r="6062" spans="1:1">
      <c r="A6062" s="81"/>
    </row>
    <row r="6063" spans="1:1">
      <c r="A6063" s="81"/>
    </row>
    <row r="6064" spans="1:1">
      <c r="A6064" s="81"/>
    </row>
    <row r="6065" spans="1:1">
      <c r="A6065" s="81"/>
    </row>
    <row r="6066" spans="1:1">
      <c r="A6066" s="81"/>
    </row>
    <row r="6067" spans="1:1">
      <c r="A6067" s="81"/>
    </row>
    <row r="6068" spans="1:1">
      <c r="A6068" s="81"/>
    </row>
    <row r="6069" spans="1:1">
      <c r="A6069" s="81"/>
    </row>
    <row r="6070" spans="1:1">
      <c r="A6070" s="81"/>
    </row>
    <row r="6071" spans="1:1">
      <c r="A6071" s="81"/>
    </row>
    <row r="6072" spans="1:1">
      <c r="A6072" s="81"/>
    </row>
    <row r="6073" spans="1:1">
      <c r="A6073" s="81"/>
    </row>
    <row r="6074" spans="1:1">
      <c r="A6074" s="81"/>
    </row>
    <row r="6075" spans="1:1">
      <c r="A6075" s="81"/>
    </row>
    <row r="6076" spans="1:1">
      <c r="A6076" s="81"/>
    </row>
    <row r="6077" spans="1:1">
      <c r="A6077" s="81"/>
    </row>
    <row r="6078" spans="1:1">
      <c r="A6078" s="81"/>
    </row>
    <row r="6079" spans="1:1">
      <c r="A6079" s="81"/>
    </row>
    <row r="6080" spans="1:1">
      <c r="A6080" s="81"/>
    </row>
    <row r="6081" spans="1:1">
      <c r="A6081" s="81"/>
    </row>
    <row r="6082" spans="1:1">
      <c r="A6082" s="81"/>
    </row>
    <row r="6083" spans="1:1">
      <c r="A6083" s="81"/>
    </row>
    <row r="6084" spans="1:1">
      <c r="A6084" s="81"/>
    </row>
    <row r="6085" spans="1:1">
      <c r="A6085" s="81"/>
    </row>
    <row r="6086" spans="1:1">
      <c r="A6086" s="81"/>
    </row>
    <row r="6087" spans="1:1">
      <c r="A6087" s="81"/>
    </row>
    <row r="6088" spans="1:1">
      <c r="A6088" s="81"/>
    </row>
    <row r="6089" spans="1:1">
      <c r="A6089" s="81"/>
    </row>
    <row r="6090" spans="1:1">
      <c r="A6090" s="81"/>
    </row>
    <row r="6091" spans="1:1">
      <c r="A6091" s="81"/>
    </row>
    <row r="6092" spans="1:1">
      <c r="A6092" s="81"/>
    </row>
    <row r="6093" spans="1:1">
      <c r="A6093" s="81"/>
    </row>
    <row r="6094" spans="1:1">
      <c r="A6094" s="81"/>
    </row>
    <row r="6095" spans="1:1">
      <c r="A6095" s="81"/>
    </row>
    <row r="6096" spans="1:1">
      <c r="A6096" s="81"/>
    </row>
    <row r="6097" spans="1:1">
      <c r="A6097" s="81"/>
    </row>
    <row r="6098" spans="1:1">
      <c r="A6098" s="81"/>
    </row>
    <row r="6099" spans="1:1">
      <c r="A6099" s="81"/>
    </row>
    <row r="6100" spans="1:1">
      <c r="A6100" s="81"/>
    </row>
    <row r="6101" spans="1:1">
      <c r="A6101" s="81"/>
    </row>
    <row r="6102" spans="1:1">
      <c r="A6102" s="81"/>
    </row>
    <row r="6103" spans="1:1">
      <c r="A6103" s="81"/>
    </row>
    <row r="6104" spans="1:1">
      <c r="A6104" s="81"/>
    </row>
    <row r="6105" spans="1:1">
      <c r="A6105" s="81"/>
    </row>
    <row r="6106" spans="1:1">
      <c r="A6106" s="81"/>
    </row>
    <row r="6107" spans="1:1">
      <c r="A6107" s="81"/>
    </row>
    <row r="6108" spans="1:1">
      <c r="A6108" s="81"/>
    </row>
    <row r="6109" spans="1:1">
      <c r="A6109" s="81"/>
    </row>
    <row r="6110" spans="1:1">
      <c r="A6110" s="81"/>
    </row>
    <row r="6111" spans="1:1">
      <c r="A6111" s="81"/>
    </row>
    <row r="6112" spans="1:1">
      <c r="A6112" s="81"/>
    </row>
    <row r="6113" spans="1:1">
      <c r="A6113" s="81"/>
    </row>
    <row r="6114" spans="1:1">
      <c r="A6114" s="81"/>
    </row>
    <row r="6115" spans="1:1">
      <c r="A6115" s="81"/>
    </row>
    <row r="6116" spans="1:1">
      <c r="A6116" s="81"/>
    </row>
    <row r="6117" spans="1:1">
      <c r="A6117" s="81"/>
    </row>
    <row r="6118" spans="1:1">
      <c r="A6118" s="81"/>
    </row>
    <row r="6119" spans="1:1">
      <c r="A6119" s="81"/>
    </row>
    <row r="6120" spans="1:1">
      <c r="A6120" s="81"/>
    </row>
    <row r="6121" spans="1:1">
      <c r="A6121" s="81"/>
    </row>
    <row r="6122" spans="1:1">
      <c r="A6122" s="81"/>
    </row>
    <row r="6123" spans="1:1">
      <c r="A6123" s="81"/>
    </row>
    <row r="6124" spans="1:1">
      <c r="A6124" s="81"/>
    </row>
    <row r="6125" spans="1:1">
      <c r="A6125" s="81"/>
    </row>
    <row r="6126" spans="1:1">
      <c r="A6126" s="81"/>
    </row>
    <row r="6127" spans="1:1">
      <c r="A6127" s="81"/>
    </row>
    <row r="6128" spans="1:1">
      <c r="A6128" s="81"/>
    </row>
    <row r="6129" spans="1:1">
      <c r="A6129" s="81"/>
    </row>
    <row r="6130" spans="1:1">
      <c r="A6130" s="81"/>
    </row>
    <row r="6131" spans="1:1">
      <c r="A6131" s="81"/>
    </row>
    <row r="6132" spans="1:1">
      <c r="A6132" s="81"/>
    </row>
    <row r="6133" spans="1:1">
      <c r="A6133" s="81"/>
    </row>
    <row r="6134" spans="1:1">
      <c r="A6134" s="81"/>
    </row>
    <row r="6135" spans="1:1">
      <c r="A6135" s="81"/>
    </row>
    <row r="6136" spans="1:1">
      <c r="A6136" s="81"/>
    </row>
    <row r="6137" spans="1:1">
      <c r="A6137" s="81"/>
    </row>
    <row r="6138" spans="1:1">
      <c r="A6138" s="81"/>
    </row>
    <row r="6139" spans="1:1">
      <c r="A6139" s="81"/>
    </row>
    <row r="6140" spans="1:1">
      <c r="A6140" s="81"/>
    </row>
    <row r="6141" spans="1:1">
      <c r="A6141" s="81"/>
    </row>
    <row r="6142" spans="1:1">
      <c r="A6142" s="81"/>
    </row>
    <row r="6143" spans="1:1">
      <c r="A6143" s="81"/>
    </row>
    <row r="6144" spans="1:1">
      <c r="A6144" s="81"/>
    </row>
    <row r="6145" spans="1:1">
      <c r="A6145" s="81"/>
    </row>
    <row r="6146" spans="1:1">
      <c r="A6146" s="81"/>
    </row>
    <row r="6147" spans="1:1">
      <c r="A6147" s="81"/>
    </row>
    <row r="6148" spans="1:1">
      <c r="A6148" s="81"/>
    </row>
    <row r="6149" spans="1:1">
      <c r="A6149" s="81"/>
    </row>
    <row r="6150" spans="1:1">
      <c r="A6150" s="81"/>
    </row>
    <row r="6151" spans="1:1">
      <c r="A6151" s="81"/>
    </row>
    <row r="6152" spans="1:1">
      <c r="A6152" s="81"/>
    </row>
    <row r="6153" spans="1:1">
      <c r="A6153" s="81"/>
    </row>
    <row r="6154" spans="1:1">
      <c r="A6154" s="81"/>
    </row>
    <row r="6155" spans="1:1">
      <c r="A6155" s="81"/>
    </row>
    <row r="6156" spans="1:1">
      <c r="A6156" s="81"/>
    </row>
    <row r="6157" spans="1:1">
      <c r="A6157" s="81"/>
    </row>
    <row r="6158" spans="1:1">
      <c r="A6158" s="81"/>
    </row>
    <row r="6159" spans="1:1">
      <c r="A6159" s="81"/>
    </row>
    <row r="6160" spans="1:1">
      <c r="A6160" s="81"/>
    </row>
    <row r="6161" spans="1:1">
      <c r="A6161" s="81"/>
    </row>
    <row r="6162" spans="1:1">
      <c r="A6162" s="81"/>
    </row>
    <row r="6163" spans="1:1">
      <c r="A6163" s="81"/>
    </row>
    <row r="6164" spans="1:1">
      <c r="A6164" s="81"/>
    </row>
    <row r="6165" spans="1:1">
      <c r="A6165" s="81"/>
    </row>
    <row r="6166" spans="1:1">
      <c r="A6166" s="81"/>
    </row>
    <row r="6167" spans="1:1">
      <c r="A6167" s="81"/>
    </row>
    <row r="6168" spans="1:1">
      <c r="A6168" s="81"/>
    </row>
    <row r="6169" spans="1:1">
      <c r="A6169" s="81"/>
    </row>
    <row r="6170" spans="1:1">
      <c r="A6170" s="81"/>
    </row>
    <row r="6171" spans="1:1">
      <c r="A6171" s="81"/>
    </row>
    <row r="6172" spans="1:1">
      <c r="A6172" s="81"/>
    </row>
    <row r="6173" spans="1:1">
      <c r="A6173" s="81"/>
    </row>
    <row r="6174" spans="1:1">
      <c r="A6174" s="81"/>
    </row>
    <row r="6175" spans="1:1">
      <c r="A6175" s="81"/>
    </row>
    <row r="6176" spans="1:1">
      <c r="A6176" s="81"/>
    </row>
    <row r="6177" spans="1:1">
      <c r="A6177" s="81"/>
    </row>
    <row r="6178" spans="1:1">
      <c r="A6178" s="81"/>
    </row>
    <row r="6179" spans="1:1">
      <c r="A6179" s="81"/>
    </row>
    <row r="6180" spans="1:1">
      <c r="A6180" s="81"/>
    </row>
    <row r="6181" spans="1:1">
      <c r="A6181" s="81"/>
    </row>
    <row r="6182" spans="1:1">
      <c r="A6182" s="81"/>
    </row>
    <row r="6183" spans="1:1">
      <c r="A6183" s="81"/>
    </row>
    <row r="6184" spans="1:1">
      <c r="A6184" s="81"/>
    </row>
    <row r="6185" spans="1:1">
      <c r="A6185" s="81"/>
    </row>
    <row r="6186" spans="1:1">
      <c r="A6186" s="81"/>
    </row>
    <row r="6187" spans="1:1">
      <c r="A6187" s="81"/>
    </row>
    <row r="6188" spans="1:1">
      <c r="A6188" s="81"/>
    </row>
    <row r="6189" spans="1:1">
      <c r="A6189" s="81"/>
    </row>
    <row r="6190" spans="1:1">
      <c r="A6190" s="81"/>
    </row>
    <row r="6191" spans="1:1">
      <c r="A6191" s="81"/>
    </row>
    <row r="6192" spans="1:1">
      <c r="A6192" s="81"/>
    </row>
    <row r="6193" spans="1:1">
      <c r="A6193" s="81"/>
    </row>
    <row r="6194" spans="1:1">
      <c r="A6194" s="81"/>
    </row>
    <row r="6195" spans="1:1">
      <c r="A6195" s="81"/>
    </row>
    <row r="6196" spans="1:1">
      <c r="A6196" s="81"/>
    </row>
    <row r="6197" spans="1:1">
      <c r="A6197" s="81"/>
    </row>
    <row r="6198" spans="1:1">
      <c r="A6198" s="81"/>
    </row>
    <row r="6199" spans="1:1">
      <c r="A6199" s="81"/>
    </row>
    <row r="6200" spans="1:1">
      <c r="A6200" s="81"/>
    </row>
    <row r="6201" spans="1:1">
      <c r="A6201" s="81"/>
    </row>
    <row r="6202" spans="1:1">
      <c r="A6202" s="81"/>
    </row>
    <row r="6203" spans="1:1">
      <c r="A6203" s="81"/>
    </row>
    <row r="6204" spans="1:1">
      <c r="A6204" s="81"/>
    </row>
    <row r="6205" spans="1:1">
      <c r="A6205" s="81"/>
    </row>
    <row r="6206" spans="1:1">
      <c r="A6206" s="81"/>
    </row>
    <row r="6207" spans="1:1">
      <c r="A6207" s="81"/>
    </row>
    <row r="6208" spans="1:1">
      <c r="A6208" s="81"/>
    </row>
    <row r="6209" spans="1:1">
      <c r="A6209" s="81"/>
    </row>
    <row r="6210" spans="1:1">
      <c r="A6210" s="81"/>
    </row>
    <row r="6211" spans="1:1">
      <c r="A6211" s="81"/>
    </row>
    <row r="6212" spans="1:1">
      <c r="A6212" s="81"/>
    </row>
    <row r="6213" spans="1:1">
      <c r="A6213" s="81"/>
    </row>
    <row r="6214" spans="1:1">
      <c r="A6214" s="81"/>
    </row>
    <row r="6215" spans="1:1">
      <c r="A6215" s="81"/>
    </row>
    <row r="6216" spans="1:1">
      <c r="A6216" s="81"/>
    </row>
    <row r="6217" spans="1:1">
      <c r="A6217" s="81"/>
    </row>
    <row r="6218" spans="1:1">
      <c r="A6218" s="81"/>
    </row>
    <row r="6219" spans="1:1">
      <c r="A6219" s="81"/>
    </row>
    <row r="6220" spans="1:1">
      <c r="A6220" s="81"/>
    </row>
    <row r="6221" spans="1:1">
      <c r="A6221" s="81"/>
    </row>
    <row r="6222" spans="1:1">
      <c r="A6222" s="81"/>
    </row>
    <row r="6223" spans="1:1">
      <c r="A6223" s="81"/>
    </row>
    <row r="6224" spans="1:1">
      <c r="A6224" s="81"/>
    </row>
    <row r="6225" spans="1:1">
      <c r="A6225" s="81"/>
    </row>
    <row r="6226" spans="1:1">
      <c r="A6226" s="81"/>
    </row>
    <row r="6227" spans="1:1">
      <c r="A6227" s="81"/>
    </row>
    <row r="6228" spans="1:1">
      <c r="A6228" s="81"/>
    </row>
    <row r="6229" spans="1:1">
      <c r="A6229" s="81"/>
    </row>
    <row r="6230" spans="1:1">
      <c r="A6230" s="81"/>
    </row>
    <row r="6231" spans="1:1">
      <c r="A6231" s="81"/>
    </row>
    <row r="6232" spans="1:1">
      <c r="A6232" s="81"/>
    </row>
    <row r="6233" spans="1:1">
      <c r="A6233" s="81"/>
    </row>
    <row r="6234" spans="1:1">
      <c r="A6234" s="81"/>
    </row>
    <row r="6235" spans="1:1">
      <c r="A6235" s="81"/>
    </row>
    <row r="6236" spans="1:1">
      <c r="A6236" s="81"/>
    </row>
    <row r="6237" spans="1:1">
      <c r="A6237" s="81"/>
    </row>
    <row r="6238" spans="1:1">
      <c r="A6238" s="81"/>
    </row>
    <row r="6239" spans="1:1">
      <c r="A6239" s="81"/>
    </row>
    <row r="6240" spans="1:1">
      <c r="A6240" s="81"/>
    </row>
    <row r="6241" spans="1:1">
      <c r="A6241" s="81"/>
    </row>
    <row r="6242" spans="1:1">
      <c r="A6242" s="81"/>
    </row>
    <row r="6243" spans="1:1">
      <c r="A6243" s="81"/>
    </row>
    <row r="6244" spans="1:1">
      <c r="A6244" s="81"/>
    </row>
    <row r="6245" spans="1:1">
      <c r="A6245" s="81"/>
    </row>
    <row r="6246" spans="1:1">
      <c r="A6246" s="81"/>
    </row>
    <row r="6247" spans="1:1">
      <c r="A6247" s="81"/>
    </row>
    <row r="6248" spans="1:1">
      <c r="A6248" s="81"/>
    </row>
    <row r="6249" spans="1:1">
      <c r="A6249" s="81"/>
    </row>
    <row r="6250" spans="1:1">
      <c r="A6250" s="81"/>
    </row>
    <row r="6251" spans="1:1">
      <c r="A6251" s="81"/>
    </row>
    <row r="6252" spans="1:1">
      <c r="A6252" s="81"/>
    </row>
    <row r="6253" spans="1:1">
      <c r="A6253" s="81"/>
    </row>
    <row r="6254" spans="1:1">
      <c r="A6254" s="81"/>
    </row>
    <row r="6255" spans="1:1">
      <c r="A6255" s="81"/>
    </row>
    <row r="6256" spans="1:1">
      <c r="A6256" s="81"/>
    </row>
    <row r="6257" spans="1:1">
      <c r="A6257" s="81"/>
    </row>
    <row r="6258" spans="1:1">
      <c r="A6258" s="81"/>
    </row>
    <row r="6259" spans="1:1">
      <c r="A6259" s="81"/>
    </row>
    <row r="6260" spans="1:1">
      <c r="A6260" s="81"/>
    </row>
    <row r="6261" spans="1:1">
      <c r="A6261" s="81"/>
    </row>
    <row r="6262" spans="1:1">
      <c r="A6262" s="81"/>
    </row>
    <row r="6263" spans="1:1">
      <c r="A6263" s="81"/>
    </row>
    <row r="6264" spans="1:1">
      <c r="A6264" s="81"/>
    </row>
    <row r="6265" spans="1:1">
      <c r="A6265" s="81"/>
    </row>
    <row r="6266" spans="1:1">
      <c r="A6266" s="81"/>
    </row>
    <row r="6267" spans="1:1">
      <c r="A6267" s="81"/>
    </row>
    <row r="6268" spans="1:1">
      <c r="A6268" s="81"/>
    </row>
    <row r="6269" spans="1:1">
      <c r="A6269" s="81"/>
    </row>
    <row r="6270" spans="1:1">
      <c r="A6270" s="81"/>
    </row>
    <row r="6271" spans="1:1">
      <c r="A6271" s="81"/>
    </row>
    <row r="6272" spans="1:1">
      <c r="A6272" s="81"/>
    </row>
    <row r="6273" spans="1:1">
      <c r="A6273" s="81"/>
    </row>
    <row r="6274" spans="1:1">
      <c r="A6274" s="81"/>
    </row>
    <row r="6275" spans="1:1">
      <c r="A6275" s="81"/>
    </row>
    <row r="6276" spans="1:1">
      <c r="A6276" s="81"/>
    </row>
    <row r="6277" spans="1:1">
      <c r="A6277" s="81"/>
    </row>
    <row r="6278" spans="1:1">
      <c r="A6278" s="81"/>
    </row>
    <row r="6279" spans="1:1">
      <c r="A6279" s="81"/>
    </row>
    <row r="6280" spans="1:1">
      <c r="A6280" s="81"/>
    </row>
    <row r="6281" spans="1:1">
      <c r="A6281" s="81"/>
    </row>
    <row r="6282" spans="1:1">
      <c r="A6282" s="81"/>
    </row>
    <row r="6283" spans="1:1">
      <c r="A6283" s="81"/>
    </row>
    <row r="6284" spans="1:1">
      <c r="A6284" s="81"/>
    </row>
    <row r="6285" spans="1:1">
      <c r="A6285" s="81"/>
    </row>
    <row r="6286" spans="1:1">
      <c r="A6286" s="81"/>
    </row>
    <row r="6287" spans="1:1">
      <c r="A6287" s="81"/>
    </row>
    <row r="6288" spans="1:1">
      <c r="A6288" s="81"/>
    </row>
    <row r="6289" spans="1:1">
      <c r="A6289" s="81"/>
    </row>
    <row r="6290" spans="1:1">
      <c r="A6290" s="81"/>
    </row>
    <row r="6291" spans="1:1">
      <c r="A6291" s="81"/>
    </row>
    <row r="6292" spans="1:1">
      <c r="A6292" s="81"/>
    </row>
    <row r="6293" spans="1:1">
      <c r="A6293" s="81"/>
    </row>
    <row r="6294" spans="1:1">
      <c r="A6294" s="81"/>
    </row>
    <row r="6295" spans="1:1">
      <c r="A6295" s="81"/>
    </row>
    <row r="6296" spans="1:1">
      <c r="A6296" s="81"/>
    </row>
    <row r="6297" spans="1:1">
      <c r="A6297" s="81"/>
    </row>
    <row r="6298" spans="1:1">
      <c r="A6298" s="81"/>
    </row>
    <row r="6299" spans="1:1">
      <c r="A6299" s="81"/>
    </row>
    <row r="6300" spans="1:1">
      <c r="A6300" s="81"/>
    </row>
    <row r="6301" spans="1:1">
      <c r="A6301" s="81"/>
    </row>
    <row r="6302" spans="1:1">
      <c r="A6302" s="81"/>
    </row>
    <row r="6303" spans="1:1">
      <c r="A6303" s="81"/>
    </row>
    <row r="6304" spans="1:1">
      <c r="A6304" s="81"/>
    </row>
    <row r="6305" spans="1:1">
      <c r="A6305" s="81"/>
    </row>
    <row r="6306" spans="1:1">
      <c r="A6306" s="81"/>
    </row>
    <row r="6307" spans="1:1">
      <c r="A6307" s="81"/>
    </row>
    <row r="6308" spans="1:1">
      <c r="A6308" s="81"/>
    </row>
    <row r="6309" spans="1:1">
      <c r="A6309" s="81"/>
    </row>
    <row r="6310" spans="1:1">
      <c r="A6310" s="81"/>
    </row>
    <row r="6311" spans="1:1">
      <c r="A6311" s="81"/>
    </row>
    <row r="6312" spans="1:1">
      <c r="A6312" s="81"/>
    </row>
    <row r="6313" spans="1:1">
      <c r="A6313" s="81"/>
    </row>
    <row r="6314" spans="1:1">
      <c r="A6314" s="81"/>
    </row>
    <row r="6315" spans="1:1">
      <c r="A6315" s="81"/>
    </row>
    <row r="6316" spans="1:1">
      <c r="A6316" s="81"/>
    </row>
    <row r="6317" spans="1:1">
      <c r="A6317" s="81"/>
    </row>
    <row r="6318" spans="1:1">
      <c r="A6318" s="81"/>
    </row>
    <row r="6319" spans="1:1">
      <c r="A6319" s="81"/>
    </row>
    <row r="6320" spans="1:1">
      <c r="A6320" s="81"/>
    </row>
    <row r="6321" spans="1:1">
      <c r="A6321" s="81"/>
    </row>
    <row r="6322" spans="1:1">
      <c r="A6322" s="81"/>
    </row>
    <row r="6323" spans="1:1">
      <c r="A6323" s="81"/>
    </row>
    <row r="6324" spans="1:1">
      <c r="A6324" s="81"/>
    </row>
    <row r="6325" spans="1:1">
      <c r="A6325" s="81"/>
    </row>
    <row r="6326" spans="1:1">
      <c r="A6326" s="81"/>
    </row>
    <row r="6327" spans="1:1">
      <c r="A6327" s="81"/>
    </row>
    <row r="6328" spans="1:1">
      <c r="A6328" s="81"/>
    </row>
    <row r="6329" spans="1:1">
      <c r="A6329" s="81"/>
    </row>
    <row r="6330" spans="1:1">
      <c r="A6330" s="81"/>
    </row>
    <row r="6331" spans="1:1">
      <c r="A6331" s="81"/>
    </row>
    <row r="6332" spans="1:1">
      <c r="A6332" s="81"/>
    </row>
    <row r="6333" spans="1:1">
      <c r="A6333" s="81"/>
    </row>
    <row r="6334" spans="1:1">
      <c r="A6334" s="81"/>
    </row>
    <row r="6335" spans="1:1">
      <c r="A6335" s="81"/>
    </row>
    <row r="6336" spans="1:1">
      <c r="A6336" s="81"/>
    </row>
    <row r="6337" spans="1:1">
      <c r="A6337" s="81"/>
    </row>
    <row r="6338" spans="1:1">
      <c r="A6338" s="81"/>
    </row>
    <row r="6339" spans="1:1">
      <c r="A6339" s="81"/>
    </row>
    <row r="6340" spans="1:1">
      <c r="A6340" s="81"/>
    </row>
    <row r="6341" spans="1:1">
      <c r="A6341" s="81"/>
    </row>
    <row r="6342" spans="1:1">
      <c r="A6342" s="81"/>
    </row>
    <row r="6343" spans="1:1">
      <c r="A6343" s="81"/>
    </row>
    <row r="6344" spans="1:1">
      <c r="A6344" s="81"/>
    </row>
    <row r="6345" spans="1:1">
      <c r="A6345" s="81"/>
    </row>
    <row r="6346" spans="1:1">
      <c r="A6346" s="81"/>
    </row>
    <row r="6347" spans="1:1">
      <c r="A6347" s="81"/>
    </row>
    <row r="6348" spans="1:1">
      <c r="A6348" s="81"/>
    </row>
    <row r="6349" spans="1:1">
      <c r="A6349" s="81"/>
    </row>
    <row r="6350" spans="1:1">
      <c r="A6350" s="81"/>
    </row>
    <row r="6351" spans="1:1">
      <c r="A6351" s="81"/>
    </row>
    <row r="6352" spans="1:1">
      <c r="A6352" s="81"/>
    </row>
    <row r="6353" spans="1:1">
      <c r="A6353" s="81"/>
    </row>
    <row r="6354" spans="1:1">
      <c r="A6354" s="81"/>
    </row>
    <row r="6355" spans="1:1">
      <c r="A6355" s="81"/>
    </row>
    <row r="6356" spans="1:1">
      <c r="A6356" s="81"/>
    </row>
    <row r="6357" spans="1:1">
      <c r="A6357" s="81"/>
    </row>
    <row r="6358" spans="1:1">
      <c r="A6358" s="81"/>
    </row>
    <row r="6359" spans="1:1">
      <c r="A6359" s="81"/>
    </row>
    <row r="6360" spans="1:1">
      <c r="A6360" s="81"/>
    </row>
    <row r="6361" spans="1:1">
      <c r="A6361" s="81"/>
    </row>
    <row r="6362" spans="1:1">
      <c r="A6362" s="81"/>
    </row>
    <row r="6363" spans="1:1">
      <c r="A6363" s="81"/>
    </row>
    <row r="6364" spans="1:1">
      <c r="A6364" s="81"/>
    </row>
    <row r="6365" spans="1:1">
      <c r="A6365" s="81"/>
    </row>
    <row r="6366" spans="1:1">
      <c r="A6366" s="81"/>
    </row>
    <row r="6367" spans="1:1">
      <c r="A6367" s="81"/>
    </row>
    <row r="6368" spans="1:1">
      <c r="A6368" s="81"/>
    </row>
    <row r="6369" spans="1:1">
      <c r="A6369" s="81"/>
    </row>
    <row r="6370" spans="1:1">
      <c r="A6370" s="81"/>
    </row>
    <row r="6371" spans="1:1">
      <c r="A6371" s="81"/>
    </row>
    <row r="6372" spans="1:1">
      <c r="A6372" s="81"/>
    </row>
    <row r="6373" spans="1:1">
      <c r="A6373" s="81"/>
    </row>
    <row r="6374" spans="1:1">
      <c r="A6374" s="81"/>
    </row>
    <row r="6375" spans="1:1">
      <c r="A6375" s="81"/>
    </row>
    <row r="6376" spans="1:1">
      <c r="A6376" s="81"/>
    </row>
    <row r="6377" spans="1:1">
      <c r="A6377" s="81"/>
    </row>
    <row r="6378" spans="1:1">
      <c r="A6378" s="81"/>
    </row>
    <row r="6379" spans="1:1">
      <c r="A6379" s="81"/>
    </row>
    <row r="6380" spans="1:1">
      <c r="A6380" s="81"/>
    </row>
    <row r="6381" spans="1:1">
      <c r="A6381" s="81"/>
    </row>
    <row r="6382" spans="1:1">
      <c r="A6382" s="81"/>
    </row>
    <row r="6383" spans="1:1">
      <c r="A6383" s="81"/>
    </row>
    <row r="6384" spans="1:1">
      <c r="A6384" s="81"/>
    </row>
    <row r="6385" spans="1:1">
      <c r="A6385" s="81"/>
    </row>
    <row r="6386" spans="1:1">
      <c r="A6386" s="81"/>
    </row>
    <row r="6387" spans="1:1">
      <c r="A6387" s="81"/>
    </row>
    <row r="6388" spans="1:1">
      <c r="A6388" s="81"/>
    </row>
    <row r="6389" spans="1:1">
      <c r="A6389" s="81"/>
    </row>
    <row r="6390" spans="1:1">
      <c r="A6390" s="81"/>
    </row>
    <row r="6391" spans="1:1">
      <c r="A6391" s="81"/>
    </row>
    <row r="6392" spans="1:1">
      <c r="A6392" s="81"/>
    </row>
    <row r="6393" spans="1:1">
      <c r="A6393" s="81"/>
    </row>
    <row r="6394" spans="1:1">
      <c r="A6394" s="81"/>
    </row>
    <row r="6395" spans="1:1">
      <c r="A6395" s="81"/>
    </row>
    <row r="6396" spans="1:1">
      <c r="A6396" s="81"/>
    </row>
    <row r="6397" spans="1:1">
      <c r="A6397" s="81"/>
    </row>
    <row r="6398" spans="1:1">
      <c r="A6398" s="81"/>
    </row>
    <row r="6399" spans="1:1">
      <c r="A6399" s="81"/>
    </row>
    <row r="6400" spans="1:1">
      <c r="A6400" s="81"/>
    </row>
    <row r="6401" spans="1:1">
      <c r="A6401" s="81"/>
    </row>
    <row r="6402" spans="1:1">
      <c r="A6402" s="81"/>
    </row>
    <row r="6403" spans="1:1">
      <c r="A6403" s="81"/>
    </row>
    <row r="6404" spans="1:1">
      <c r="A6404" s="81"/>
    </row>
    <row r="6405" spans="1:1">
      <c r="A6405" s="81"/>
    </row>
    <row r="6406" spans="1:1">
      <c r="A6406" s="81"/>
    </row>
    <row r="6407" spans="1:1">
      <c r="A6407" s="81"/>
    </row>
    <row r="6408" spans="1:1">
      <c r="A6408" s="81"/>
    </row>
    <row r="6409" spans="1:1">
      <c r="A6409" s="81"/>
    </row>
    <row r="6410" spans="1:1">
      <c r="A6410" s="81"/>
    </row>
    <row r="6411" spans="1:1">
      <c r="A6411" s="81"/>
    </row>
    <row r="6412" spans="1:1">
      <c r="A6412" s="81"/>
    </row>
    <row r="6413" spans="1:1">
      <c r="A6413" s="81"/>
    </row>
    <row r="6414" spans="1:1">
      <c r="A6414" s="81"/>
    </row>
    <row r="6415" spans="1:1">
      <c r="A6415" s="81"/>
    </row>
    <row r="6416" spans="1:1">
      <c r="A6416" s="81"/>
    </row>
    <row r="6417" spans="1:1">
      <c r="A6417" s="81"/>
    </row>
    <row r="6418" spans="1:1">
      <c r="A6418" s="81"/>
    </row>
    <row r="6419" spans="1:1">
      <c r="A6419" s="81"/>
    </row>
    <row r="6420" spans="1:1">
      <c r="A6420" s="81"/>
    </row>
    <row r="6421" spans="1:1">
      <c r="A6421" s="81"/>
    </row>
    <row r="6422" spans="1:1">
      <c r="A6422" s="81"/>
    </row>
    <row r="6423" spans="1:1">
      <c r="A6423" s="81"/>
    </row>
    <row r="6424" spans="1:1">
      <c r="A6424" s="81"/>
    </row>
    <row r="6425" spans="1:1">
      <c r="A6425" s="81"/>
    </row>
    <row r="6426" spans="1:1">
      <c r="A6426" s="81"/>
    </row>
    <row r="6427" spans="1:1">
      <c r="A6427" s="81"/>
    </row>
    <row r="6428" spans="1:1">
      <c r="A6428" s="81"/>
    </row>
    <row r="6429" spans="1:1">
      <c r="A6429" s="81"/>
    </row>
    <row r="6430" spans="1:1">
      <c r="A6430" s="81"/>
    </row>
    <row r="6431" spans="1:1">
      <c r="A6431" s="81"/>
    </row>
    <row r="6432" spans="1:1">
      <c r="A6432" s="81"/>
    </row>
    <row r="6433" spans="1:1">
      <c r="A6433" s="81"/>
    </row>
    <row r="6434" spans="1:1">
      <c r="A6434" s="81"/>
    </row>
    <row r="6435" spans="1:1">
      <c r="A6435" s="81"/>
    </row>
    <row r="6436" spans="1:1">
      <c r="A6436" s="81"/>
    </row>
    <row r="6437" spans="1:1">
      <c r="A6437" s="81"/>
    </row>
    <row r="6438" spans="1:1">
      <c r="A6438" s="81"/>
    </row>
    <row r="6439" spans="1:1">
      <c r="A6439" s="81"/>
    </row>
    <row r="6440" spans="1:1">
      <c r="A6440" s="81"/>
    </row>
    <row r="6441" spans="1:1">
      <c r="A6441" s="81"/>
    </row>
    <row r="6442" spans="1:1">
      <c r="A6442" s="81"/>
    </row>
    <row r="6443" spans="1:1">
      <c r="A6443" s="81"/>
    </row>
    <row r="6444" spans="1:1">
      <c r="A6444" s="81"/>
    </row>
    <row r="6445" spans="1:1">
      <c r="A6445" s="81"/>
    </row>
    <row r="6446" spans="1:1">
      <c r="A6446" s="81"/>
    </row>
    <row r="6447" spans="1:1">
      <c r="A6447" s="81"/>
    </row>
    <row r="6448" spans="1:1">
      <c r="A6448" s="81"/>
    </row>
    <row r="6449" spans="1:1">
      <c r="A6449" s="81"/>
    </row>
    <row r="6450" spans="1:1">
      <c r="A6450" s="81"/>
    </row>
    <row r="6451" spans="1:1">
      <c r="A6451" s="81"/>
    </row>
    <row r="6452" spans="1:1">
      <c r="A6452" s="81"/>
    </row>
    <row r="6453" spans="1:1">
      <c r="A6453" s="81"/>
    </row>
    <row r="6454" spans="1:1">
      <c r="A6454" s="81"/>
    </row>
    <row r="6455" spans="1:1">
      <c r="A6455" s="81"/>
    </row>
    <row r="6456" spans="1:1">
      <c r="A6456" s="81"/>
    </row>
    <row r="6457" spans="1:1">
      <c r="A6457" s="81"/>
    </row>
    <row r="6458" spans="1:1">
      <c r="A6458" s="81"/>
    </row>
    <row r="6459" spans="1:1">
      <c r="A6459" s="81"/>
    </row>
    <row r="6460" spans="1:1">
      <c r="A6460" s="81"/>
    </row>
    <row r="6461" spans="1:1">
      <c r="A6461" s="81"/>
    </row>
    <row r="6462" spans="1:1">
      <c r="A6462" s="81"/>
    </row>
    <row r="6463" spans="1:1">
      <c r="A6463" s="81"/>
    </row>
    <row r="6464" spans="1:1">
      <c r="A6464" s="81"/>
    </row>
    <row r="6465" spans="1:1">
      <c r="A6465" s="81"/>
    </row>
    <row r="6466" spans="1:1">
      <c r="A6466" s="81"/>
    </row>
    <row r="6467" spans="1:1">
      <c r="A6467" s="81"/>
    </row>
    <row r="6468" spans="1:1">
      <c r="A6468" s="81"/>
    </row>
    <row r="6469" spans="1:1">
      <c r="A6469" s="81"/>
    </row>
    <row r="6470" spans="1:1">
      <c r="A6470" s="81"/>
    </row>
    <row r="6471" spans="1:1">
      <c r="A6471" s="81"/>
    </row>
    <row r="6472" spans="1:1">
      <c r="A6472" s="81"/>
    </row>
    <row r="6473" spans="1:1">
      <c r="A6473" s="81"/>
    </row>
    <row r="6474" spans="1:1">
      <c r="A6474" s="81"/>
    </row>
    <row r="6475" spans="1:1">
      <c r="A6475" s="81"/>
    </row>
    <row r="6476" spans="1:1">
      <c r="A6476" s="81"/>
    </row>
    <row r="6477" spans="1:1">
      <c r="A6477" s="81"/>
    </row>
    <row r="6478" spans="1:1">
      <c r="A6478" s="81"/>
    </row>
    <row r="6479" spans="1:1">
      <c r="A6479" s="81"/>
    </row>
    <row r="6480" spans="1:1">
      <c r="A6480" s="81"/>
    </row>
    <row r="6481" spans="1:1">
      <c r="A6481" s="81"/>
    </row>
    <row r="6482" spans="1:1">
      <c r="A6482" s="81"/>
    </row>
    <row r="6483" spans="1:1">
      <c r="A6483" s="81"/>
    </row>
    <row r="6484" spans="1:1">
      <c r="A6484" s="81"/>
    </row>
    <row r="6485" spans="1:1">
      <c r="A6485" s="81"/>
    </row>
    <row r="6486" spans="1:1">
      <c r="A6486" s="81"/>
    </row>
    <row r="6487" spans="1:1">
      <c r="A6487" s="81"/>
    </row>
    <row r="6488" spans="1:1">
      <c r="A6488" s="81"/>
    </row>
    <row r="6489" spans="1:1">
      <c r="A6489" s="81"/>
    </row>
    <row r="6490" spans="1:1">
      <c r="A6490" s="81"/>
    </row>
    <row r="6491" spans="1:1">
      <c r="A6491" s="81"/>
    </row>
    <row r="6492" spans="1:1">
      <c r="A6492" s="81"/>
    </row>
    <row r="6493" spans="1:1">
      <c r="A6493" s="81"/>
    </row>
    <row r="6494" spans="1:1">
      <c r="A6494" s="81"/>
    </row>
    <row r="6495" spans="1:1">
      <c r="A6495" s="81"/>
    </row>
    <row r="6496" spans="1:1">
      <c r="A6496" s="81"/>
    </row>
    <row r="6497" spans="1:1">
      <c r="A6497" s="81"/>
    </row>
    <row r="6498" spans="1:1">
      <c r="A6498" s="81"/>
    </row>
    <row r="6499" spans="1:1">
      <c r="A6499" s="81"/>
    </row>
    <row r="6500" spans="1:1">
      <c r="A6500" s="81"/>
    </row>
    <row r="6501" spans="1:1">
      <c r="A6501" s="81"/>
    </row>
    <row r="6502" spans="1:1">
      <c r="A6502" s="81"/>
    </row>
    <row r="6503" spans="1:1">
      <c r="A6503" s="81"/>
    </row>
    <row r="6504" spans="1:1">
      <c r="A6504" s="81"/>
    </row>
    <row r="6505" spans="1:1">
      <c r="A6505" s="81"/>
    </row>
    <row r="6506" spans="1:1">
      <c r="A6506" s="81"/>
    </row>
    <row r="6507" spans="1:1">
      <c r="A6507" s="81"/>
    </row>
    <row r="6508" spans="1:1">
      <c r="A6508" s="81"/>
    </row>
    <row r="6509" spans="1:1">
      <c r="A6509" s="81"/>
    </row>
    <row r="6510" spans="1:1">
      <c r="A6510" s="81"/>
    </row>
    <row r="6511" spans="1:1">
      <c r="A6511" s="81"/>
    </row>
    <row r="6512" spans="1:1">
      <c r="A6512" s="81"/>
    </row>
    <row r="6513" spans="1:1">
      <c r="A6513" s="81"/>
    </row>
    <row r="6514" spans="1:1">
      <c r="A6514" s="81"/>
    </row>
    <row r="6515" spans="1:1">
      <c r="A6515" s="81"/>
    </row>
    <row r="6516" spans="1:1">
      <c r="A6516" s="81"/>
    </row>
    <row r="6517" spans="1:1">
      <c r="A6517" s="81"/>
    </row>
    <row r="6518" spans="1:1">
      <c r="A6518" s="81"/>
    </row>
    <row r="6519" spans="1:1">
      <c r="A6519" s="81"/>
    </row>
    <row r="6520" spans="1:1">
      <c r="A6520" s="81"/>
    </row>
    <row r="6521" spans="1:1">
      <c r="A6521" s="81"/>
    </row>
    <row r="6522" spans="1:1">
      <c r="A6522" s="81"/>
    </row>
    <row r="6523" spans="1:1">
      <c r="A6523" s="81"/>
    </row>
    <row r="6524" spans="1:1">
      <c r="A6524" s="81"/>
    </row>
    <row r="6525" spans="1:1">
      <c r="A6525" s="81"/>
    </row>
    <row r="6526" spans="1:1">
      <c r="A6526" s="81"/>
    </row>
    <row r="6527" spans="1:1">
      <c r="A6527" s="81"/>
    </row>
    <row r="6528" spans="1:1">
      <c r="A6528" s="81"/>
    </row>
    <row r="6529" spans="1:1">
      <c r="A6529" s="81"/>
    </row>
    <row r="6530" spans="1:1">
      <c r="A6530" s="81"/>
    </row>
    <row r="6531" spans="1:1">
      <c r="A6531" s="81"/>
    </row>
    <row r="6532" spans="1:1">
      <c r="A6532" s="81"/>
    </row>
    <row r="6533" spans="1:1">
      <c r="A6533" s="81"/>
    </row>
    <row r="6534" spans="1:1">
      <c r="A6534" s="81"/>
    </row>
    <row r="6535" spans="1:1">
      <c r="A6535" s="81"/>
    </row>
    <row r="6536" spans="1:1">
      <c r="A6536" s="81"/>
    </row>
    <row r="6537" spans="1:1">
      <c r="A6537" s="81"/>
    </row>
    <row r="6538" spans="1:1">
      <c r="A6538" s="81"/>
    </row>
    <row r="6539" spans="1:1">
      <c r="A6539" s="81"/>
    </row>
    <row r="6540" spans="1:1">
      <c r="A6540" s="81"/>
    </row>
    <row r="6541" spans="1:1">
      <c r="A6541" s="81"/>
    </row>
    <row r="6542" spans="1:1">
      <c r="A6542" s="81"/>
    </row>
    <row r="6543" spans="1:1">
      <c r="A6543" s="81"/>
    </row>
    <row r="6544" spans="1:1">
      <c r="A6544" s="81"/>
    </row>
    <row r="6545" spans="1:1">
      <c r="A6545" s="81"/>
    </row>
    <row r="6546" spans="1:1">
      <c r="A6546" s="81"/>
    </row>
    <row r="6547" spans="1:1">
      <c r="A6547" s="81"/>
    </row>
    <row r="6548" spans="1:1">
      <c r="A6548" s="81"/>
    </row>
    <row r="6549" spans="1:1">
      <c r="A6549" s="81"/>
    </row>
    <row r="6550" spans="1:1">
      <c r="A6550" s="81"/>
    </row>
    <row r="6551" spans="1:1">
      <c r="A6551" s="81"/>
    </row>
    <row r="6552" spans="1:1">
      <c r="A6552" s="81"/>
    </row>
    <row r="6553" spans="1:1">
      <c r="A6553" s="81"/>
    </row>
    <row r="6554" spans="1:1">
      <c r="A6554" s="81"/>
    </row>
    <row r="6555" spans="1:1">
      <c r="A6555" s="81"/>
    </row>
    <row r="6556" spans="1:1">
      <c r="A6556" s="81"/>
    </row>
    <row r="6557" spans="1:1">
      <c r="A6557" s="81"/>
    </row>
    <row r="6558" spans="1:1">
      <c r="A6558" s="81"/>
    </row>
    <row r="6559" spans="1:1">
      <c r="A6559" s="81"/>
    </row>
    <row r="6560" spans="1:1">
      <c r="A6560" s="81"/>
    </row>
    <row r="6561" spans="1:1">
      <c r="A6561" s="81"/>
    </row>
    <row r="6562" spans="1:1">
      <c r="A6562" s="81"/>
    </row>
    <row r="6563" spans="1:1">
      <c r="A6563" s="81"/>
    </row>
    <row r="6564" spans="1:1">
      <c r="A6564" s="81"/>
    </row>
    <row r="6565" spans="1:1">
      <c r="A6565" s="81"/>
    </row>
    <row r="6566" spans="1:1">
      <c r="A6566" s="81"/>
    </row>
    <row r="6567" spans="1:1">
      <c r="A6567" s="81"/>
    </row>
    <row r="6568" spans="1:1">
      <c r="A6568" s="81"/>
    </row>
    <row r="6569" spans="1:1">
      <c r="A6569" s="81"/>
    </row>
    <row r="6570" spans="1:1">
      <c r="A6570" s="81"/>
    </row>
    <row r="6571" spans="1:1">
      <c r="A6571" s="81"/>
    </row>
    <row r="6572" spans="1:1">
      <c r="A6572" s="81"/>
    </row>
    <row r="6573" spans="1:1">
      <c r="A6573" s="81"/>
    </row>
    <row r="6574" spans="1:1">
      <c r="A6574" s="81"/>
    </row>
    <row r="6575" spans="1:1">
      <c r="A6575" s="81"/>
    </row>
    <row r="6576" spans="1:1">
      <c r="A6576" s="81"/>
    </row>
    <row r="6577" spans="1:1">
      <c r="A6577" s="81"/>
    </row>
    <row r="6578" spans="1:1">
      <c r="A6578" s="81"/>
    </row>
    <row r="6579" spans="1:1">
      <c r="A6579" s="81"/>
    </row>
    <row r="6580" spans="1:1">
      <c r="A6580" s="81"/>
    </row>
    <row r="6581" spans="1:1">
      <c r="A6581" s="81"/>
    </row>
    <row r="6582" spans="1:1">
      <c r="A6582" s="81"/>
    </row>
    <row r="6583" spans="1:1">
      <c r="A6583" s="81"/>
    </row>
    <row r="6584" spans="1:1">
      <c r="A6584" s="81"/>
    </row>
    <row r="6585" spans="1:1">
      <c r="A6585" s="81"/>
    </row>
    <row r="6586" spans="1:1">
      <c r="A6586" s="81"/>
    </row>
    <row r="6587" spans="1:1">
      <c r="A6587" s="81"/>
    </row>
    <row r="6588" spans="1:1">
      <c r="A6588" s="81"/>
    </row>
    <row r="6589" spans="1:1">
      <c r="A6589" s="81"/>
    </row>
    <row r="6590" spans="1:1">
      <c r="A6590" s="81"/>
    </row>
    <row r="6591" spans="1:1">
      <c r="A6591" s="81"/>
    </row>
    <row r="6592" spans="1:1">
      <c r="A6592" s="81"/>
    </row>
    <row r="6593" spans="1:1">
      <c r="A6593" s="81"/>
    </row>
    <row r="6594" spans="1:1">
      <c r="A6594" s="81"/>
    </row>
    <row r="6595" spans="1:1">
      <c r="A6595" s="81"/>
    </row>
    <row r="6596" spans="1:1">
      <c r="A6596" s="81"/>
    </row>
    <row r="6597" spans="1:1">
      <c r="A6597" s="81"/>
    </row>
    <row r="6598" spans="1:1">
      <c r="A6598" s="81"/>
    </row>
    <row r="6599" spans="1:1">
      <c r="A6599" s="81"/>
    </row>
    <row r="6600" spans="1:1">
      <c r="A6600" s="81"/>
    </row>
    <row r="6601" spans="1:1">
      <c r="A6601" s="81"/>
    </row>
    <row r="6602" spans="1:1">
      <c r="A6602" s="81"/>
    </row>
    <row r="6603" spans="1:1">
      <c r="A6603" s="81"/>
    </row>
    <row r="6604" spans="1:1">
      <c r="A6604" s="81"/>
    </row>
    <row r="6605" spans="1:1">
      <c r="A6605" s="81"/>
    </row>
    <row r="6606" spans="1:1">
      <c r="A6606" s="81"/>
    </row>
    <row r="6607" spans="1:1">
      <c r="A6607" s="81"/>
    </row>
    <row r="6608" spans="1:1">
      <c r="A6608" s="81"/>
    </row>
    <row r="6609" spans="1:1">
      <c r="A6609" s="81"/>
    </row>
    <row r="6610" spans="1:1">
      <c r="A6610" s="81"/>
    </row>
    <row r="6611" spans="1:1">
      <c r="A6611" s="81"/>
    </row>
    <row r="6612" spans="1:1">
      <c r="A6612" s="81"/>
    </row>
    <row r="6613" spans="1:1">
      <c r="A6613" s="81"/>
    </row>
    <row r="6614" spans="1:1">
      <c r="A6614" s="81"/>
    </row>
    <row r="6615" spans="1:1">
      <c r="A6615" s="81"/>
    </row>
    <row r="6616" spans="1:1">
      <c r="A6616" s="81"/>
    </row>
    <row r="6617" spans="1:1">
      <c r="A6617" s="81"/>
    </row>
    <row r="6618" spans="1:1">
      <c r="A6618" s="81"/>
    </row>
    <row r="6619" spans="1:1">
      <c r="A6619" s="81"/>
    </row>
    <row r="6620" spans="1:1">
      <c r="A6620" s="81"/>
    </row>
    <row r="6621" spans="1:1">
      <c r="A6621" s="81"/>
    </row>
    <row r="6622" spans="1:1">
      <c r="A6622" s="81"/>
    </row>
    <row r="6623" spans="1:1">
      <c r="A6623" s="81"/>
    </row>
    <row r="6624" spans="1:1">
      <c r="A6624" s="81"/>
    </row>
    <row r="6625" spans="1:1">
      <c r="A6625" s="81"/>
    </row>
    <row r="6626" spans="1:1">
      <c r="A6626" s="81"/>
    </row>
    <row r="6627" spans="1:1">
      <c r="A6627" s="81"/>
    </row>
    <row r="6628" spans="1:1">
      <c r="A6628" s="81"/>
    </row>
    <row r="6629" spans="1:1">
      <c r="A6629" s="81"/>
    </row>
    <row r="6630" spans="1:1">
      <c r="A6630" s="81"/>
    </row>
    <row r="6631" spans="1:1">
      <c r="A6631" s="81"/>
    </row>
    <row r="6632" spans="1:1">
      <c r="A6632" s="81"/>
    </row>
    <row r="6633" spans="1:1">
      <c r="A6633" s="81"/>
    </row>
    <row r="6634" spans="1:1">
      <c r="A6634" s="81"/>
    </row>
    <row r="6635" spans="1:1">
      <c r="A6635" s="81"/>
    </row>
    <row r="6636" spans="1:1">
      <c r="A6636" s="81"/>
    </row>
    <row r="6637" spans="1:1">
      <c r="A6637" s="81"/>
    </row>
    <row r="6638" spans="1:1">
      <c r="A6638" s="81"/>
    </row>
    <row r="6639" spans="1:1">
      <c r="A6639" s="81"/>
    </row>
    <row r="6640" spans="1:1">
      <c r="A6640" s="81"/>
    </row>
    <row r="6641" spans="1:1">
      <c r="A6641" s="81"/>
    </row>
    <row r="6642" spans="1:1">
      <c r="A6642" s="81"/>
    </row>
    <row r="6643" spans="1:1">
      <c r="A6643" s="81"/>
    </row>
    <row r="6644" spans="1:1">
      <c r="A6644" s="81"/>
    </row>
    <row r="6645" spans="1:1">
      <c r="A6645" s="81"/>
    </row>
    <row r="6646" spans="1:1">
      <c r="A6646" s="81"/>
    </row>
    <row r="6647" spans="1:1">
      <c r="A6647" s="81"/>
    </row>
    <row r="6648" spans="1:1">
      <c r="A6648" s="81"/>
    </row>
    <row r="6649" spans="1:1">
      <c r="A6649" s="81"/>
    </row>
    <row r="6650" spans="1:1">
      <c r="A6650" s="81"/>
    </row>
    <row r="6651" spans="1:1">
      <c r="A6651" s="81"/>
    </row>
    <row r="6652" spans="1:1">
      <c r="A6652" s="81"/>
    </row>
    <row r="6653" spans="1:1">
      <c r="A6653" s="81"/>
    </row>
    <row r="6654" spans="1:1">
      <c r="A6654" s="81"/>
    </row>
    <row r="6655" spans="1:1">
      <c r="A6655" s="81"/>
    </row>
    <row r="6656" spans="1:1">
      <c r="A6656" s="81"/>
    </row>
    <row r="6657" spans="1:1">
      <c r="A6657" s="81"/>
    </row>
    <row r="6658" spans="1:1">
      <c r="A6658" s="81"/>
    </row>
    <row r="6659" spans="1:1">
      <c r="A6659" s="81"/>
    </row>
    <row r="6660" spans="1:1">
      <c r="A6660" s="81"/>
    </row>
    <row r="6661" spans="1:1">
      <c r="A6661" s="81"/>
    </row>
    <row r="6662" spans="1:1">
      <c r="A6662" s="81"/>
    </row>
    <row r="6663" spans="1:1">
      <c r="A6663" s="81"/>
    </row>
    <row r="6664" spans="1:1">
      <c r="A6664" s="81"/>
    </row>
    <row r="6665" spans="1:1">
      <c r="A6665" s="81"/>
    </row>
    <row r="6666" spans="1:1">
      <c r="A6666" s="81"/>
    </row>
    <row r="6667" spans="1:1">
      <c r="A6667" s="81"/>
    </row>
    <row r="6668" spans="1:1">
      <c r="A6668" s="81"/>
    </row>
    <row r="6669" spans="1:1">
      <c r="A6669" s="81"/>
    </row>
    <row r="6670" spans="1:1">
      <c r="A6670" s="81"/>
    </row>
    <row r="6671" spans="1:1">
      <c r="A6671" s="81"/>
    </row>
    <row r="6672" spans="1:1">
      <c r="A6672" s="81"/>
    </row>
    <row r="6673" spans="1:1">
      <c r="A6673" s="81"/>
    </row>
    <row r="6674" spans="1:1">
      <c r="A6674" s="81"/>
    </row>
    <row r="6675" spans="1:1">
      <c r="A6675" s="81"/>
    </row>
    <row r="6676" spans="1:1">
      <c r="A6676" s="81"/>
    </row>
    <row r="6677" spans="1:1">
      <c r="A6677" s="81"/>
    </row>
    <row r="6678" spans="1:1">
      <c r="A6678" s="81"/>
    </row>
    <row r="6679" spans="1:1">
      <c r="A6679" s="81"/>
    </row>
    <row r="6680" spans="1:1">
      <c r="A6680" s="81"/>
    </row>
    <row r="6681" spans="1:1">
      <c r="A6681" s="81"/>
    </row>
    <row r="6682" spans="1:1">
      <c r="A6682" s="81"/>
    </row>
    <row r="6683" spans="1:1">
      <c r="A6683" s="81"/>
    </row>
    <row r="6684" spans="1:1">
      <c r="A6684" s="81"/>
    </row>
    <row r="6685" spans="1:1">
      <c r="A6685" s="81"/>
    </row>
    <row r="6686" spans="1:1">
      <c r="A6686" s="81"/>
    </row>
    <row r="6687" spans="1:1">
      <c r="A6687" s="81"/>
    </row>
    <row r="6688" spans="1:1">
      <c r="A6688" s="81"/>
    </row>
    <row r="6689" spans="1:1">
      <c r="A6689" s="81"/>
    </row>
    <row r="6690" spans="1:1">
      <c r="A6690" s="81"/>
    </row>
    <row r="6691" spans="1:1">
      <c r="A6691" s="81"/>
    </row>
    <row r="6692" spans="1:1">
      <c r="A6692" s="81"/>
    </row>
    <row r="6693" spans="1:1">
      <c r="A6693" s="81"/>
    </row>
    <row r="6694" spans="1:1">
      <c r="A6694" s="81"/>
    </row>
    <row r="6695" spans="1:1">
      <c r="A6695" s="81"/>
    </row>
    <row r="6696" spans="1:1">
      <c r="A6696" s="81"/>
    </row>
    <row r="6697" spans="1:1">
      <c r="A6697" s="81"/>
    </row>
    <row r="6698" spans="1:1">
      <c r="A6698" s="81"/>
    </row>
    <row r="6699" spans="1:1">
      <c r="A6699" s="81"/>
    </row>
    <row r="6700" spans="1:1">
      <c r="A6700" s="81"/>
    </row>
    <row r="6701" spans="1:1">
      <c r="A6701" s="81"/>
    </row>
    <row r="6702" spans="1:1">
      <c r="A6702" s="81"/>
    </row>
    <row r="6703" spans="1:1">
      <c r="A6703" s="81"/>
    </row>
    <row r="6704" spans="1:1">
      <c r="A6704" s="81"/>
    </row>
    <row r="6705" spans="1:1">
      <c r="A6705" s="81"/>
    </row>
    <row r="6706" spans="1:1">
      <c r="A6706" s="81"/>
    </row>
    <row r="6707" spans="1:1">
      <c r="A6707" s="81"/>
    </row>
    <row r="6708" spans="1:1">
      <c r="A6708" s="81"/>
    </row>
    <row r="6709" spans="1:1">
      <c r="A6709" s="81"/>
    </row>
    <row r="6710" spans="1:1">
      <c r="A6710" s="81"/>
    </row>
    <row r="6711" spans="1:1">
      <c r="A6711" s="81"/>
    </row>
    <row r="6712" spans="1:1">
      <c r="A6712" s="81"/>
    </row>
    <row r="6713" spans="1:1">
      <c r="A6713" s="81"/>
    </row>
    <row r="6714" spans="1:1">
      <c r="A6714" s="81"/>
    </row>
    <row r="6715" spans="1:1">
      <c r="A6715" s="81"/>
    </row>
    <row r="6716" spans="1:1">
      <c r="A6716" s="81"/>
    </row>
    <row r="6717" spans="1:1">
      <c r="A6717" s="81"/>
    </row>
    <row r="6718" spans="1:1">
      <c r="A6718" s="81"/>
    </row>
    <row r="6719" spans="1:1">
      <c r="A6719" s="81"/>
    </row>
    <row r="6720" spans="1:1">
      <c r="A6720" s="81"/>
    </row>
    <row r="6721" spans="1:1">
      <c r="A6721" s="81"/>
    </row>
    <row r="6722" spans="1:1">
      <c r="A6722" s="81"/>
    </row>
    <row r="6723" spans="1:1">
      <c r="A6723" s="81"/>
    </row>
    <row r="6724" spans="1:1">
      <c r="A6724" s="81"/>
    </row>
    <row r="6725" spans="1:1">
      <c r="A6725" s="81"/>
    </row>
    <row r="6726" spans="1:1">
      <c r="A6726" s="81"/>
    </row>
    <row r="6727" spans="1:1">
      <c r="A6727" s="81"/>
    </row>
    <row r="6728" spans="1:1">
      <c r="A6728" s="81"/>
    </row>
    <row r="6729" spans="1:1">
      <c r="A6729" s="81"/>
    </row>
    <row r="6730" spans="1:1">
      <c r="A6730" s="81"/>
    </row>
    <row r="6731" spans="1:1">
      <c r="A6731" s="81"/>
    </row>
    <row r="6732" spans="1:1">
      <c r="A6732" s="81"/>
    </row>
    <row r="6733" spans="1:1">
      <c r="A6733" s="81"/>
    </row>
    <row r="6734" spans="1:1">
      <c r="A6734" s="81"/>
    </row>
    <row r="6735" spans="1:1">
      <c r="A6735" s="81"/>
    </row>
    <row r="6736" spans="1:1">
      <c r="A6736" s="81"/>
    </row>
    <row r="6737" spans="1:1">
      <c r="A6737" s="81"/>
    </row>
    <row r="6738" spans="1:1">
      <c r="A6738" s="81"/>
    </row>
    <row r="6739" spans="1:1">
      <c r="A6739" s="81"/>
    </row>
    <row r="6740" spans="1:1">
      <c r="A6740" s="81"/>
    </row>
    <row r="6741" spans="1:1">
      <c r="A6741" s="81"/>
    </row>
    <row r="6742" spans="1:1">
      <c r="A6742" s="81"/>
    </row>
    <row r="6743" spans="1:1">
      <c r="A6743" s="81"/>
    </row>
    <row r="6744" spans="1:1">
      <c r="A6744" s="81"/>
    </row>
    <row r="6745" spans="1:1">
      <c r="A6745" s="81"/>
    </row>
    <row r="6746" spans="1:1">
      <c r="A6746" s="81"/>
    </row>
    <row r="6747" spans="1:1">
      <c r="A6747" s="81"/>
    </row>
    <row r="6748" spans="1:1">
      <c r="A6748" s="81"/>
    </row>
    <row r="6749" spans="1:1">
      <c r="A6749" s="81"/>
    </row>
    <row r="6750" spans="1:1">
      <c r="A6750" s="81"/>
    </row>
    <row r="6751" spans="1:1">
      <c r="A6751" s="81"/>
    </row>
    <row r="6752" spans="1:1">
      <c r="A6752" s="81"/>
    </row>
    <row r="6753" spans="1:2">
      <c r="A6753" s="81"/>
    </row>
    <row r="6754" spans="1:2">
      <c r="A6754" s="81"/>
    </row>
    <row r="6755" spans="1:2">
      <c r="A6755" s="81"/>
    </row>
    <row r="6756" spans="1:2">
      <c r="A6756" s="81"/>
    </row>
    <row r="6757" spans="1:2">
      <c r="A6757" s="81"/>
    </row>
    <row r="6758" spans="1:2">
      <c r="A6758" s="81"/>
    </row>
    <row r="6759" spans="1:2">
      <c r="A6759" s="81"/>
    </row>
    <row r="6760" spans="1:2">
      <c r="A6760" s="81"/>
    </row>
    <row r="6761" spans="1:2">
      <c r="A6761" s="81"/>
    </row>
    <row r="6762" spans="1:2">
      <c r="A6762" s="81"/>
    </row>
    <row r="6763" spans="1:2">
      <c r="A6763" s="81"/>
      <c r="B6763" s="84"/>
    </row>
    <row r="6764" spans="1:2">
      <c r="A6764" s="81"/>
    </row>
    <row r="6765" spans="1:2">
      <c r="A6765" s="81"/>
    </row>
    <row r="6766" spans="1:2">
      <c r="A6766" s="81"/>
      <c r="B6766" s="83"/>
    </row>
    <row r="6767" spans="1:2">
      <c r="A6767" s="81"/>
    </row>
    <row r="6768" spans="1:2">
      <c r="A6768" s="81"/>
    </row>
    <row r="6769" spans="1:1">
      <c r="A6769" s="81"/>
    </row>
    <row r="6770" spans="1:1">
      <c r="A6770" s="81"/>
    </row>
    <row r="6771" spans="1:1">
      <c r="A6771" s="81"/>
    </row>
    <row r="6772" spans="1:1">
      <c r="A6772" s="81"/>
    </row>
    <row r="6773" spans="1:1">
      <c r="A6773" s="81"/>
    </row>
    <row r="6774" spans="1:1">
      <c r="A6774" s="81"/>
    </row>
    <row r="6775" spans="1:1">
      <c r="A6775" s="81"/>
    </row>
    <row r="6776" spans="1:1">
      <c r="A6776" s="81"/>
    </row>
    <row r="6777" spans="1:1">
      <c r="A6777" s="81"/>
    </row>
    <row r="6778" spans="1:1">
      <c r="A6778" s="81"/>
    </row>
    <row r="6779" spans="1:1">
      <c r="A6779" s="81"/>
    </row>
    <row r="6780" spans="1:1">
      <c r="A6780" s="81"/>
    </row>
    <row r="6781" spans="1:1">
      <c r="A6781" s="81"/>
    </row>
    <row r="6782" spans="1:1">
      <c r="A6782" s="81"/>
    </row>
    <row r="6783" spans="1:1">
      <c r="A6783" s="81"/>
    </row>
    <row r="6784" spans="1:1">
      <c r="A6784" s="81"/>
    </row>
    <row r="6785" spans="1:1">
      <c r="A6785" s="81"/>
    </row>
    <row r="6786" spans="1:1">
      <c r="A6786" s="81"/>
    </row>
    <row r="6787" spans="1:1">
      <c r="A6787" s="81"/>
    </row>
    <row r="6788" spans="1:1">
      <c r="A6788" s="81"/>
    </row>
    <row r="6789" spans="1:1">
      <c r="A6789" s="81"/>
    </row>
    <row r="6790" spans="1:1">
      <c r="A6790" s="81"/>
    </row>
    <row r="6791" spans="1:1">
      <c r="A6791" s="81"/>
    </row>
    <row r="6792" spans="1:1">
      <c r="A6792" s="81"/>
    </row>
    <row r="6793" spans="1:1">
      <c r="A6793" s="81"/>
    </row>
    <row r="6794" spans="1:1">
      <c r="A6794" s="81"/>
    </row>
    <row r="6795" spans="1:1">
      <c r="A6795" s="81"/>
    </row>
    <row r="6796" spans="1:1">
      <c r="A6796" s="81"/>
    </row>
    <row r="6797" spans="1:1">
      <c r="A6797" s="81"/>
    </row>
    <row r="6798" spans="1:1">
      <c r="A6798" s="81"/>
    </row>
    <row r="6799" spans="1:1">
      <c r="A6799" s="81"/>
    </row>
    <row r="6800" spans="1:1">
      <c r="A6800" s="81"/>
    </row>
    <row r="6801" spans="1:1">
      <c r="A6801" s="81"/>
    </row>
    <row r="6802" spans="1:1">
      <c r="A6802" s="81"/>
    </row>
    <row r="6803" spans="1:1">
      <c r="A6803" s="81"/>
    </row>
    <row r="6804" spans="1:1">
      <c r="A6804" s="81"/>
    </row>
    <row r="6805" spans="1:1">
      <c r="A6805" s="81"/>
    </row>
    <row r="6806" spans="1:1">
      <c r="A6806" s="81"/>
    </row>
    <row r="6807" spans="1:1">
      <c r="A6807" s="81"/>
    </row>
    <row r="6808" spans="1:1">
      <c r="A6808" s="81"/>
    </row>
    <row r="6809" spans="1:1">
      <c r="A6809" s="81"/>
    </row>
    <row r="6810" spans="1:1">
      <c r="A6810" s="81"/>
    </row>
    <row r="6811" spans="1:1">
      <c r="A6811" s="81"/>
    </row>
    <row r="6812" spans="1:1">
      <c r="A6812" s="81"/>
    </row>
    <row r="6813" spans="1:1">
      <c r="A6813" s="81"/>
    </row>
    <row r="6814" spans="1:1">
      <c r="A6814" s="81"/>
    </row>
    <row r="6815" spans="1:1">
      <c r="A6815" s="81"/>
    </row>
    <row r="6816" spans="1:1">
      <c r="A6816" s="81"/>
    </row>
    <row r="6817" spans="1:1">
      <c r="A6817" s="81"/>
    </row>
    <row r="6818" spans="1:1">
      <c r="A6818" s="81"/>
    </row>
    <row r="6819" spans="1:1">
      <c r="A6819" s="81"/>
    </row>
    <row r="6820" spans="1:1">
      <c r="A6820" s="81"/>
    </row>
    <row r="6821" spans="1:1">
      <c r="A6821" s="81"/>
    </row>
    <row r="6822" spans="1:1">
      <c r="A6822" s="81"/>
    </row>
    <row r="6823" spans="1:1">
      <c r="A6823" s="81"/>
    </row>
    <row r="6824" spans="1:1">
      <c r="A6824" s="81"/>
    </row>
    <row r="6825" spans="1:1">
      <c r="A6825" s="81"/>
    </row>
    <row r="6826" spans="1:1">
      <c r="A6826" s="81"/>
    </row>
    <row r="6827" spans="1:1">
      <c r="A6827" s="81"/>
    </row>
    <row r="6828" spans="1:1">
      <c r="A6828" s="81"/>
    </row>
    <row r="6829" spans="1:1">
      <c r="A6829" s="81"/>
    </row>
    <row r="6830" spans="1:1">
      <c r="A6830" s="81"/>
    </row>
    <row r="6831" spans="1:1">
      <c r="A6831" s="81"/>
    </row>
    <row r="6832" spans="1:1">
      <c r="A6832" s="81"/>
    </row>
    <row r="6833" spans="1:1">
      <c r="A6833" s="81"/>
    </row>
    <row r="6834" spans="1:1">
      <c r="A6834" s="81"/>
    </row>
    <row r="6835" spans="1:1">
      <c r="A6835" s="81"/>
    </row>
    <row r="6836" spans="1:1">
      <c r="A6836" s="81"/>
    </row>
    <row r="6837" spans="1:1">
      <c r="A6837" s="81"/>
    </row>
    <row r="6838" spans="1:1">
      <c r="A6838" s="81"/>
    </row>
    <row r="6839" spans="1:1">
      <c r="A6839" s="81"/>
    </row>
    <row r="6840" spans="1:1">
      <c r="A6840" s="81"/>
    </row>
    <row r="6841" spans="1:1">
      <c r="A6841" s="81"/>
    </row>
    <row r="6842" spans="1:1">
      <c r="A6842" s="81"/>
    </row>
    <row r="6843" spans="1:1">
      <c r="A6843" s="81"/>
    </row>
    <row r="6844" spans="1:1">
      <c r="A6844" s="81"/>
    </row>
    <row r="6845" spans="1:1">
      <c r="A6845" s="81"/>
    </row>
    <row r="6846" spans="1:1">
      <c r="A6846" s="81"/>
    </row>
    <row r="6847" spans="1:1">
      <c r="A6847" s="81"/>
    </row>
    <row r="6848" spans="1:1">
      <c r="A6848" s="81"/>
    </row>
    <row r="6849" spans="1:1">
      <c r="A6849" s="81"/>
    </row>
    <row r="6850" spans="1:1">
      <c r="A6850" s="81"/>
    </row>
    <row r="6851" spans="1:1">
      <c r="A6851" s="81"/>
    </row>
    <row r="6852" spans="1:1">
      <c r="A6852" s="81"/>
    </row>
    <row r="6853" spans="1:1">
      <c r="A6853" s="81"/>
    </row>
    <row r="6854" spans="1:1">
      <c r="A6854" s="81"/>
    </row>
    <row r="6855" spans="1:1">
      <c r="A6855" s="81"/>
    </row>
    <row r="6856" spans="1:1">
      <c r="A6856" s="81"/>
    </row>
    <row r="6857" spans="1:1">
      <c r="A6857" s="81"/>
    </row>
    <row r="6858" spans="1:1">
      <c r="A6858" s="81"/>
    </row>
    <row r="6859" spans="1:1">
      <c r="A6859" s="81"/>
    </row>
    <row r="6860" spans="1:1">
      <c r="A6860" s="81"/>
    </row>
    <row r="6861" spans="1:1">
      <c r="A6861" s="81"/>
    </row>
    <row r="6862" spans="1:1">
      <c r="A6862" s="81"/>
    </row>
    <row r="6863" spans="1:1">
      <c r="A6863" s="81"/>
    </row>
    <row r="6864" spans="1:1">
      <c r="A6864" s="81"/>
    </row>
    <row r="6865" spans="1:1">
      <c r="A6865" s="81"/>
    </row>
    <row r="6866" spans="1:1">
      <c r="A6866" s="81"/>
    </row>
    <row r="6867" spans="1:1">
      <c r="A6867" s="81"/>
    </row>
    <row r="6868" spans="1:1">
      <c r="A6868" s="81"/>
    </row>
    <row r="6869" spans="1:1">
      <c r="A6869" s="81"/>
    </row>
    <row r="6870" spans="1:1">
      <c r="A6870" s="81"/>
    </row>
    <row r="6871" spans="1:1">
      <c r="A6871" s="81"/>
    </row>
    <row r="6872" spans="1:1">
      <c r="A6872" s="81"/>
    </row>
    <row r="6873" spans="1:1">
      <c r="A6873" s="81"/>
    </row>
    <row r="6874" spans="1:1">
      <c r="A6874" s="81"/>
    </row>
    <row r="6875" spans="1:1">
      <c r="A6875" s="81"/>
    </row>
    <row r="6876" spans="1:1">
      <c r="A6876" s="81"/>
    </row>
    <row r="6877" spans="1:1">
      <c r="A6877" s="81"/>
    </row>
    <row r="6878" spans="1:1">
      <c r="A6878" s="81"/>
    </row>
    <row r="6879" spans="1:1">
      <c r="A6879" s="81"/>
    </row>
    <row r="6880" spans="1:1">
      <c r="A6880" s="81"/>
    </row>
    <row r="6881" spans="1:1">
      <c r="A6881" s="81"/>
    </row>
    <row r="6882" spans="1:1">
      <c r="A6882" s="81"/>
    </row>
    <row r="6883" spans="1:1">
      <c r="A6883" s="81"/>
    </row>
    <row r="6884" spans="1:1">
      <c r="A6884" s="81"/>
    </row>
    <row r="6885" spans="1:1">
      <c r="A6885" s="81"/>
    </row>
    <row r="6886" spans="1:1">
      <c r="A6886" s="81"/>
    </row>
    <row r="6887" spans="1:1">
      <c r="A6887" s="81"/>
    </row>
    <row r="6888" spans="1:1">
      <c r="A6888" s="81"/>
    </row>
    <row r="6889" spans="1:1">
      <c r="A6889" s="81"/>
    </row>
    <row r="6890" spans="1:1">
      <c r="A6890" s="81"/>
    </row>
    <row r="6891" spans="1:1">
      <c r="A6891" s="81"/>
    </row>
    <row r="6892" spans="1:1">
      <c r="A6892" s="81"/>
    </row>
    <row r="6893" spans="1:1">
      <c r="A6893" s="81"/>
    </row>
    <row r="6894" spans="1:1">
      <c r="A6894" s="81"/>
    </row>
    <row r="6895" spans="1:1">
      <c r="A6895" s="81"/>
    </row>
    <row r="6896" spans="1:1">
      <c r="A6896" s="81"/>
    </row>
    <row r="6897" spans="1:1">
      <c r="A6897" s="81"/>
    </row>
    <row r="6898" spans="1:1">
      <c r="A6898" s="81"/>
    </row>
    <row r="6899" spans="1:1">
      <c r="A6899" s="81"/>
    </row>
    <row r="6900" spans="1:1">
      <c r="A6900" s="81"/>
    </row>
    <row r="6901" spans="1:1">
      <c r="A6901" s="81"/>
    </row>
    <row r="6902" spans="1:1">
      <c r="A6902" s="81"/>
    </row>
    <row r="6903" spans="1:1">
      <c r="A6903" s="81"/>
    </row>
    <row r="6904" spans="1:1">
      <c r="A6904" s="81"/>
    </row>
    <row r="6905" spans="1:1">
      <c r="A6905" s="81"/>
    </row>
    <row r="6906" spans="1:1">
      <c r="A6906" s="81"/>
    </row>
    <row r="6907" spans="1:1">
      <c r="A6907" s="81"/>
    </row>
    <row r="6908" spans="1:1">
      <c r="A6908" s="81"/>
    </row>
    <row r="6909" spans="1:1">
      <c r="A6909" s="81"/>
    </row>
    <row r="6910" spans="1:1">
      <c r="A6910" s="81"/>
    </row>
    <row r="6911" spans="1:1">
      <c r="A6911" s="81"/>
    </row>
    <row r="6912" spans="1:1">
      <c r="A6912" s="81"/>
    </row>
    <row r="6913" spans="1:1">
      <c r="A6913" s="81"/>
    </row>
    <row r="6914" spans="1:1">
      <c r="A6914" s="81"/>
    </row>
    <row r="6915" spans="1:1">
      <c r="A6915" s="81"/>
    </row>
    <row r="6916" spans="1:1">
      <c r="A6916" s="81"/>
    </row>
    <row r="6917" spans="1:1">
      <c r="A6917" s="81"/>
    </row>
    <row r="6918" spans="1:1">
      <c r="A6918" s="81"/>
    </row>
    <row r="6919" spans="1:1">
      <c r="A6919" s="81"/>
    </row>
    <row r="6920" spans="1:1">
      <c r="A6920" s="81"/>
    </row>
    <row r="6921" spans="1:1">
      <c r="A6921" s="81"/>
    </row>
    <row r="6922" spans="1:1">
      <c r="A6922" s="81"/>
    </row>
    <row r="6923" spans="1:1">
      <c r="A6923" s="81"/>
    </row>
    <row r="6924" spans="1:1">
      <c r="A6924" s="81"/>
    </row>
    <row r="6925" spans="1:1">
      <c r="A6925" s="81"/>
    </row>
    <row r="6926" spans="1:1">
      <c r="A6926" s="81"/>
    </row>
    <row r="6927" spans="1:1">
      <c r="A6927" s="81"/>
    </row>
    <row r="6928" spans="1:1">
      <c r="A6928" s="81"/>
    </row>
    <row r="6929" spans="1:1">
      <c r="A6929" s="81"/>
    </row>
    <row r="6930" spans="1:1">
      <c r="A6930" s="81"/>
    </row>
    <row r="6931" spans="1:1">
      <c r="A6931" s="81"/>
    </row>
    <row r="6932" spans="1:1">
      <c r="A6932" s="81"/>
    </row>
    <row r="6933" spans="1:1">
      <c r="A6933" s="81"/>
    </row>
    <row r="6934" spans="1:1">
      <c r="A6934" s="81"/>
    </row>
    <row r="6935" spans="1:1">
      <c r="A6935" s="81"/>
    </row>
    <row r="6936" spans="1:1">
      <c r="A6936" s="81"/>
    </row>
    <row r="6937" spans="1:1">
      <c r="A6937" s="81"/>
    </row>
    <row r="6938" spans="1:1">
      <c r="A6938" s="81"/>
    </row>
    <row r="6939" spans="1:1">
      <c r="A6939" s="81"/>
    </row>
    <row r="6940" spans="1:1">
      <c r="A6940" s="81"/>
    </row>
    <row r="6941" spans="1:1">
      <c r="A6941" s="81"/>
    </row>
    <row r="6942" spans="1:1">
      <c r="A6942" s="81"/>
    </row>
    <row r="6943" spans="1:1">
      <c r="A6943" s="81"/>
    </row>
    <row r="6944" spans="1:1">
      <c r="A6944" s="81"/>
    </row>
    <row r="6945" spans="1:1">
      <c r="A6945" s="81"/>
    </row>
    <row r="6946" spans="1:1">
      <c r="A6946" s="81"/>
    </row>
    <row r="6947" spans="1:1">
      <c r="A6947" s="81"/>
    </row>
    <row r="6948" spans="1:1">
      <c r="A6948" s="81"/>
    </row>
    <row r="6949" spans="1:1">
      <c r="A6949" s="81"/>
    </row>
    <row r="6950" spans="1:1">
      <c r="A6950" s="81"/>
    </row>
    <row r="6951" spans="1:1">
      <c r="A6951" s="81"/>
    </row>
    <row r="6952" spans="1:1">
      <c r="A6952" s="81"/>
    </row>
    <row r="6953" spans="1:1">
      <c r="A6953" s="81"/>
    </row>
    <row r="6954" spans="1:1">
      <c r="A6954" s="81"/>
    </row>
    <row r="6955" spans="1:1">
      <c r="A6955" s="81"/>
    </row>
    <row r="6956" spans="1:1">
      <c r="A6956" s="81"/>
    </row>
    <row r="6957" spans="1:1">
      <c r="A6957" s="81"/>
    </row>
    <row r="6958" spans="1:1">
      <c r="A6958" s="81"/>
    </row>
    <row r="6959" spans="1:1">
      <c r="A6959" s="81"/>
    </row>
    <row r="6960" spans="1:1">
      <c r="A6960" s="81"/>
    </row>
    <row r="6961" spans="1:1">
      <c r="A6961" s="81"/>
    </row>
    <row r="6962" spans="1:1">
      <c r="A6962" s="81"/>
    </row>
    <row r="6963" spans="1:1">
      <c r="A6963" s="81"/>
    </row>
    <row r="6964" spans="1:1">
      <c r="A6964" s="81"/>
    </row>
    <row r="6965" spans="1:1">
      <c r="A6965" s="81"/>
    </row>
    <row r="6966" spans="1:1">
      <c r="A6966" s="81"/>
    </row>
    <row r="6967" spans="1:1">
      <c r="A6967" s="81"/>
    </row>
    <row r="6968" spans="1:1">
      <c r="A6968" s="81"/>
    </row>
    <row r="6969" spans="1:1">
      <c r="A6969" s="81"/>
    </row>
    <row r="6970" spans="1:1">
      <c r="A6970" s="81"/>
    </row>
    <row r="6971" spans="1:1">
      <c r="A6971" s="81"/>
    </row>
    <row r="6972" spans="1:1">
      <c r="A6972" s="81"/>
    </row>
    <row r="6973" spans="1:1">
      <c r="A6973" s="81"/>
    </row>
    <row r="6974" spans="1:1">
      <c r="A6974" s="81"/>
    </row>
    <row r="6975" spans="1:1">
      <c r="A6975" s="81"/>
    </row>
    <row r="6976" spans="1:1">
      <c r="A6976" s="81"/>
    </row>
    <row r="6977" spans="1:1">
      <c r="A6977" s="81"/>
    </row>
    <row r="6978" spans="1:1">
      <c r="A6978" s="81"/>
    </row>
    <row r="6979" spans="1:1">
      <c r="A6979" s="81"/>
    </row>
    <row r="6980" spans="1:1">
      <c r="A6980" s="81"/>
    </row>
    <row r="6981" spans="1:1">
      <c r="A6981" s="81"/>
    </row>
    <row r="6982" spans="1:1">
      <c r="A6982" s="81"/>
    </row>
    <row r="6983" spans="1:1">
      <c r="A6983" s="81"/>
    </row>
    <row r="6984" spans="1:1">
      <c r="A6984" s="81"/>
    </row>
    <row r="6985" spans="1:1">
      <c r="A6985" s="81"/>
    </row>
    <row r="6986" spans="1:1">
      <c r="A6986" s="81"/>
    </row>
    <row r="6987" spans="1:1">
      <c r="A6987" s="81"/>
    </row>
    <row r="6988" spans="1:1">
      <c r="A6988" s="81"/>
    </row>
    <row r="6989" spans="1:1">
      <c r="A6989" s="81"/>
    </row>
    <row r="6990" spans="1:1">
      <c r="A6990" s="81"/>
    </row>
    <row r="6991" spans="1:1">
      <c r="A6991" s="81"/>
    </row>
    <row r="6992" spans="1:1">
      <c r="A6992" s="81"/>
    </row>
    <row r="6993" spans="1:1">
      <c r="A6993" s="81"/>
    </row>
    <row r="6994" spans="1:1">
      <c r="A6994" s="81"/>
    </row>
    <row r="6995" spans="1:1">
      <c r="A6995" s="81"/>
    </row>
    <row r="6996" spans="1:1">
      <c r="A6996" s="81"/>
    </row>
    <row r="6997" spans="1:1">
      <c r="A6997" s="81"/>
    </row>
    <row r="6998" spans="1:1">
      <c r="A6998" s="81"/>
    </row>
    <row r="6999" spans="1:1">
      <c r="A6999" s="81"/>
    </row>
    <row r="7000" spans="1:1">
      <c r="A7000" s="81"/>
    </row>
    <row r="7001" spans="1:1">
      <c r="A7001" s="81"/>
    </row>
    <row r="7002" spans="1:1">
      <c r="A7002" s="81"/>
    </row>
    <row r="7003" spans="1:1">
      <c r="A7003" s="81"/>
    </row>
    <row r="7004" spans="1:1">
      <c r="A7004" s="81"/>
    </row>
    <row r="7005" spans="1:1">
      <c r="A7005" s="81"/>
    </row>
    <row r="7006" spans="1:1">
      <c r="A7006" s="81"/>
    </row>
    <row r="7007" spans="1:1">
      <c r="A7007" s="81"/>
    </row>
    <row r="7008" spans="1:1">
      <c r="A7008" s="81"/>
    </row>
    <row r="7009" spans="1:1">
      <c r="A7009" s="81"/>
    </row>
    <row r="7010" spans="1:1">
      <c r="A7010" s="81"/>
    </row>
    <row r="7011" spans="1:1">
      <c r="A7011" s="81"/>
    </row>
    <row r="7012" spans="1:1">
      <c r="A7012" s="81"/>
    </row>
    <row r="7013" spans="1:1">
      <c r="A7013" s="81"/>
    </row>
    <row r="7014" spans="1:1">
      <c r="A7014" s="81"/>
    </row>
    <row r="7015" spans="1:1">
      <c r="A7015" s="81"/>
    </row>
    <row r="7016" spans="1:1">
      <c r="A7016" s="81"/>
    </row>
    <row r="7017" spans="1:1">
      <c r="A7017" s="81"/>
    </row>
    <row r="7018" spans="1:1">
      <c r="A7018" s="81"/>
    </row>
    <row r="7019" spans="1:1">
      <c r="A7019" s="81"/>
    </row>
    <row r="7020" spans="1:1">
      <c r="A7020" s="81"/>
    </row>
    <row r="7021" spans="1:1">
      <c r="A7021" s="81"/>
    </row>
    <row r="7022" spans="1:1">
      <c r="A7022" s="81"/>
    </row>
    <row r="7023" spans="1:1">
      <c r="A7023" s="81"/>
    </row>
    <row r="7024" spans="1:1">
      <c r="A7024" s="81"/>
    </row>
    <row r="7025" spans="1:1">
      <c r="A7025" s="81"/>
    </row>
    <row r="7026" spans="1:1">
      <c r="A7026" s="81"/>
    </row>
    <row r="7027" spans="1:1">
      <c r="A7027" s="81"/>
    </row>
    <row r="7028" spans="1:1">
      <c r="A7028" s="81"/>
    </row>
    <row r="7029" spans="1:1">
      <c r="A7029" s="81"/>
    </row>
    <row r="7030" spans="1:1">
      <c r="A7030" s="81"/>
    </row>
    <row r="7031" spans="1:1">
      <c r="A7031" s="81"/>
    </row>
    <row r="7032" spans="1:1">
      <c r="A7032" s="81"/>
    </row>
    <row r="7033" spans="1:1">
      <c r="A7033" s="81"/>
    </row>
    <row r="7034" spans="1:1">
      <c r="A7034" s="81"/>
    </row>
    <row r="7035" spans="1:1">
      <c r="A7035" s="81"/>
    </row>
    <row r="7036" spans="1:1">
      <c r="A7036" s="81"/>
    </row>
    <row r="7037" spans="1:1">
      <c r="A7037" s="81"/>
    </row>
    <row r="7038" spans="1:1">
      <c r="A7038" s="81"/>
    </row>
    <row r="7039" spans="1:1">
      <c r="A7039" s="81"/>
    </row>
    <row r="7040" spans="1:1">
      <c r="A7040" s="81"/>
    </row>
    <row r="7041" spans="1:1">
      <c r="A7041" s="81"/>
    </row>
    <row r="7042" spans="1:1">
      <c r="A7042" s="81"/>
    </row>
    <row r="7043" spans="1:1">
      <c r="A7043" s="81"/>
    </row>
    <row r="7044" spans="1:1">
      <c r="A7044" s="81"/>
    </row>
    <row r="7045" spans="1:1">
      <c r="A7045" s="81"/>
    </row>
    <row r="7046" spans="1:1">
      <c r="A7046" s="81"/>
    </row>
    <row r="7047" spans="1:1">
      <c r="A7047" s="81"/>
    </row>
    <row r="7048" spans="1:1">
      <c r="A7048" s="81"/>
    </row>
    <row r="7049" spans="1:1">
      <c r="A7049" s="81"/>
    </row>
    <row r="7050" spans="1:1">
      <c r="A7050" s="81"/>
    </row>
    <row r="7051" spans="1:1">
      <c r="A7051" s="81"/>
    </row>
    <row r="7052" spans="1:1">
      <c r="A7052" s="81"/>
    </row>
    <row r="7053" spans="1:1">
      <c r="A7053" s="81"/>
    </row>
    <row r="7054" spans="1:1">
      <c r="A7054" s="81"/>
    </row>
    <row r="7055" spans="1:1">
      <c r="A7055" s="81"/>
    </row>
    <row r="7056" spans="1:1">
      <c r="A7056" s="81"/>
    </row>
    <row r="7057" spans="1:1">
      <c r="A7057" s="81"/>
    </row>
    <row r="7058" spans="1:1">
      <c r="A7058" s="81"/>
    </row>
    <row r="7059" spans="1:1">
      <c r="A7059" s="81"/>
    </row>
    <row r="7060" spans="1:1">
      <c r="A7060" s="81"/>
    </row>
    <row r="7061" spans="1:1">
      <c r="A7061" s="81"/>
    </row>
    <row r="7062" spans="1:1">
      <c r="A7062" s="81"/>
    </row>
    <row r="7063" spans="1:1">
      <c r="A7063" s="81"/>
    </row>
    <row r="7064" spans="1:1">
      <c r="A7064" s="81"/>
    </row>
    <row r="7065" spans="1:1">
      <c r="A7065" s="81"/>
    </row>
    <row r="7066" spans="1:1">
      <c r="A7066" s="81"/>
    </row>
    <row r="7067" spans="1:1">
      <c r="A7067" s="81"/>
    </row>
    <row r="7068" spans="1:1">
      <c r="A7068" s="81"/>
    </row>
    <row r="7069" spans="1:1">
      <c r="A7069" s="81"/>
    </row>
    <row r="7070" spans="1:1">
      <c r="A7070" s="81"/>
    </row>
    <row r="7071" spans="1:1">
      <c r="A7071" s="81"/>
    </row>
    <row r="7072" spans="1:1">
      <c r="A7072" s="81"/>
    </row>
    <row r="7073" spans="1:1">
      <c r="A7073" s="81"/>
    </row>
    <row r="7074" spans="1:1">
      <c r="A7074" s="81"/>
    </row>
    <row r="7075" spans="1:1">
      <c r="A7075" s="81"/>
    </row>
    <row r="7076" spans="1:1">
      <c r="A7076" s="81"/>
    </row>
    <row r="7077" spans="1:1">
      <c r="A7077" s="81"/>
    </row>
    <row r="7078" spans="1:1">
      <c r="A7078" s="81"/>
    </row>
    <row r="7079" spans="1:1">
      <c r="A7079" s="81"/>
    </row>
    <row r="7080" spans="1:1">
      <c r="A7080" s="81"/>
    </row>
    <row r="7081" spans="1:1">
      <c r="A7081" s="81"/>
    </row>
    <row r="7082" spans="1:1">
      <c r="A7082" s="81"/>
    </row>
    <row r="7083" spans="1:1">
      <c r="A7083" s="81"/>
    </row>
    <row r="7084" spans="1:1">
      <c r="A7084" s="81"/>
    </row>
    <row r="7085" spans="1:1">
      <c r="A7085" s="81"/>
    </row>
    <row r="7086" spans="1:1">
      <c r="A7086" s="81"/>
    </row>
    <row r="7087" spans="1:1">
      <c r="A7087" s="81"/>
    </row>
    <row r="7088" spans="1:1">
      <c r="A7088" s="81"/>
    </row>
    <row r="7089" spans="1:1">
      <c r="A7089" s="81"/>
    </row>
    <row r="7090" spans="1:1">
      <c r="A7090" s="81"/>
    </row>
    <row r="7091" spans="1:1">
      <c r="A7091" s="81"/>
    </row>
    <row r="7092" spans="1:1">
      <c r="A7092" s="81"/>
    </row>
    <row r="7093" spans="1:1">
      <c r="A7093" s="81"/>
    </row>
    <row r="7094" spans="1:1">
      <c r="A7094" s="81"/>
    </row>
    <row r="7095" spans="1:1">
      <c r="A7095" s="81"/>
    </row>
    <row r="7096" spans="1:1">
      <c r="A7096" s="81"/>
    </row>
    <row r="7097" spans="1:1">
      <c r="A7097" s="81"/>
    </row>
    <row r="7098" spans="1:1">
      <c r="A7098" s="81"/>
    </row>
    <row r="7099" spans="1:1">
      <c r="A7099" s="81"/>
    </row>
    <row r="7100" spans="1:1">
      <c r="A7100" s="81"/>
    </row>
    <row r="7101" spans="1:1">
      <c r="A7101" s="81"/>
    </row>
    <row r="7102" spans="1:1">
      <c r="A7102" s="81"/>
    </row>
    <row r="7103" spans="1:1">
      <c r="A7103" s="81"/>
    </row>
    <row r="7104" spans="1:1">
      <c r="A7104" s="81"/>
    </row>
    <row r="7105" spans="1:1">
      <c r="A7105" s="81"/>
    </row>
    <row r="7106" spans="1:1">
      <c r="A7106" s="81"/>
    </row>
    <row r="7107" spans="1:1">
      <c r="A7107" s="81"/>
    </row>
    <row r="7108" spans="1:1">
      <c r="A7108" s="81"/>
    </row>
    <row r="7109" spans="1:1">
      <c r="A7109" s="81"/>
    </row>
    <row r="7110" spans="1:1">
      <c r="A7110" s="81"/>
    </row>
    <row r="7111" spans="1:1">
      <c r="A7111" s="81"/>
    </row>
    <row r="7112" spans="1:1">
      <c r="A7112" s="81"/>
    </row>
    <row r="7113" spans="1:1">
      <c r="A7113" s="81"/>
    </row>
    <row r="7114" spans="1:1">
      <c r="A7114" s="81"/>
    </row>
    <row r="7115" spans="1:1">
      <c r="A7115" s="81"/>
    </row>
    <row r="7116" spans="1:1">
      <c r="A7116" s="81"/>
    </row>
    <row r="7117" spans="1:1">
      <c r="A7117" s="81"/>
    </row>
    <row r="7118" spans="1:1">
      <c r="A7118" s="81"/>
    </row>
    <row r="7119" spans="1:1">
      <c r="A7119" s="81"/>
    </row>
    <row r="7120" spans="1:1">
      <c r="A7120" s="81"/>
    </row>
    <row r="7121" spans="1:1">
      <c r="A7121" s="81"/>
    </row>
    <row r="7122" spans="1:1">
      <c r="A7122" s="81"/>
    </row>
    <row r="7123" spans="1:1">
      <c r="A7123" s="81"/>
    </row>
    <row r="7124" spans="1:1">
      <c r="A7124" s="81"/>
    </row>
    <row r="7125" spans="1:1">
      <c r="A7125" s="81"/>
    </row>
    <row r="7126" spans="1:1">
      <c r="A7126" s="81"/>
    </row>
    <row r="7127" spans="1:1">
      <c r="A7127" s="81"/>
    </row>
    <row r="7128" spans="1:1">
      <c r="A7128" s="81"/>
    </row>
    <row r="7129" spans="1:1">
      <c r="A7129" s="81"/>
    </row>
    <row r="7130" spans="1:1">
      <c r="A7130" s="81"/>
    </row>
    <row r="7131" spans="1:1">
      <c r="A7131" s="81"/>
    </row>
    <row r="7132" spans="1:1">
      <c r="A7132" s="81"/>
    </row>
    <row r="7133" spans="1:1">
      <c r="A7133" s="81"/>
    </row>
    <row r="7134" spans="1:1">
      <c r="A7134" s="81"/>
    </row>
    <row r="7135" spans="1:1">
      <c r="A7135" s="81"/>
    </row>
    <row r="7136" spans="1:1">
      <c r="A7136" s="81"/>
    </row>
    <row r="7137" spans="1:1">
      <c r="A7137" s="81"/>
    </row>
    <row r="7138" spans="1:1">
      <c r="A7138" s="81"/>
    </row>
    <row r="7139" spans="1:1">
      <c r="A7139" s="81"/>
    </row>
    <row r="7140" spans="1:1">
      <c r="A7140" s="81"/>
    </row>
    <row r="7141" spans="1:1">
      <c r="A7141" s="81"/>
    </row>
    <row r="7142" spans="1:1">
      <c r="A7142" s="81"/>
    </row>
    <row r="7143" spans="1:1">
      <c r="A7143" s="81"/>
    </row>
    <row r="7144" spans="1:1">
      <c r="A7144" s="81"/>
    </row>
    <row r="7145" spans="1:1">
      <c r="A7145" s="81"/>
    </row>
    <row r="7146" spans="1:1">
      <c r="A7146" s="81"/>
    </row>
    <row r="7147" spans="1:1">
      <c r="A7147" s="81"/>
    </row>
    <row r="7148" spans="1:1">
      <c r="A7148" s="81"/>
    </row>
    <row r="7149" spans="1:1">
      <c r="A7149" s="81"/>
    </row>
    <row r="7150" spans="1:1">
      <c r="A7150" s="81"/>
    </row>
    <row r="7151" spans="1:1">
      <c r="A7151" s="81"/>
    </row>
    <row r="7152" spans="1:1">
      <c r="A7152" s="81"/>
    </row>
    <row r="7153" spans="1:1">
      <c r="A7153" s="81"/>
    </row>
    <row r="7154" spans="1:1">
      <c r="A7154" s="81"/>
    </row>
    <row r="7155" spans="1:1">
      <c r="A7155" s="81"/>
    </row>
    <row r="7156" spans="1:1">
      <c r="A7156" s="81"/>
    </row>
    <row r="7157" spans="1:1">
      <c r="A7157" s="81"/>
    </row>
    <row r="7158" spans="1:1">
      <c r="A7158" s="81"/>
    </row>
    <row r="7159" spans="1:1">
      <c r="A7159" s="81"/>
    </row>
    <row r="7160" spans="1:1">
      <c r="A7160" s="81"/>
    </row>
    <row r="7161" spans="1:1">
      <c r="A7161" s="81"/>
    </row>
    <row r="7162" spans="1:1">
      <c r="A7162" s="81"/>
    </row>
    <row r="7163" spans="1:1">
      <c r="A7163" s="81"/>
    </row>
    <row r="7164" spans="1:1">
      <c r="A7164" s="81"/>
    </row>
    <row r="7165" spans="1:1">
      <c r="A7165" s="81"/>
    </row>
    <row r="7166" spans="1:1">
      <c r="A7166" s="81"/>
    </row>
    <row r="7167" spans="1:1">
      <c r="A7167" s="81"/>
    </row>
    <row r="7168" spans="1:1">
      <c r="A7168" s="81"/>
    </row>
    <row r="7169" spans="1:1">
      <c r="A7169" s="81"/>
    </row>
    <row r="7170" spans="1:1">
      <c r="A7170" s="81"/>
    </row>
    <row r="7171" spans="1:1">
      <c r="A7171" s="81"/>
    </row>
    <row r="7172" spans="1:1">
      <c r="A7172" s="81"/>
    </row>
    <row r="7173" spans="1:1">
      <c r="A7173" s="81"/>
    </row>
    <row r="7174" spans="1:1">
      <c r="A7174" s="81"/>
    </row>
    <row r="7175" spans="1:1">
      <c r="A7175" s="81"/>
    </row>
    <row r="7176" spans="1:1">
      <c r="A7176" s="81"/>
    </row>
    <row r="7177" spans="1:1">
      <c r="A7177" s="81"/>
    </row>
    <row r="7178" spans="1:1">
      <c r="A7178" s="81"/>
    </row>
    <row r="7179" spans="1:1">
      <c r="A7179" s="81"/>
    </row>
    <row r="7180" spans="1:1">
      <c r="A7180" s="81"/>
    </row>
    <row r="7181" spans="1:1">
      <c r="A7181" s="81"/>
    </row>
    <row r="7182" spans="1:1">
      <c r="A7182" s="81"/>
    </row>
    <row r="7183" spans="1:1">
      <c r="A7183" s="81"/>
    </row>
    <row r="7184" spans="1:1">
      <c r="A7184" s="81"/>
    </row>
    <row r="7185" spans="1:1">
      <c r="A7185" s="81"/>
    </row>
    <row r="7186" spans="1:1">
      <c r="A7186" s="81"/>
    </row>
    <row r="7187" spans="1:1">
      <c r="A7187" s="81"/>
    </row>
    <row r="7188" spans="1:1">
      <c r="A7188" s="81"/>
    </row>
    <row r="7189" spans="1:1">
      <c r="A7189" s="81"/>
    </row>
    <row r="7190" spans="1:1">
      <c r="A7190" s="81"/>
    </row>
    <row r="7191" spans="1:1">
      <c r="A7191" s="81"/>
    </row>
    <row r="7192" spans="1:1">
      <c r="A7192" s="81"/>
    </row>
    <row r="7193" spans="1:1">
      <c r="A7193" s="81"/>
    </row>
    <row r="7194" spans="1:1">
      <c r="A7194" s="81"/>
    </row>
    <row r="7195" spans="1:1">
      <c r="A7195" s="81"/>
    </row>
    <row r="7196" spans="1:1">
      <c r="A7196" s="81"/>
    </row>
    <row r="7197" spans="1:1">
      <c r="A7197" s="81"/>
    </row>
    <row r="7198" spans="1:1">
      <c r="A7198" s="81"/>
    </row>
    <row r="7199" spans="1:1">
      <c r="A7199" s="81"/>
    </row>
    <row r="7200" spans="1:1">
      <c r="A7200" s="81"/>
    </row>
    <row r="7201" spans="1:1">
      <c r="A7201" s="81"/>
    </row>
    <row r="7202" spans="1:1">
      <c r="A7202" s="81"/>
    </row>
    <row r="7203" spans="1:1">
      <c r="A7203" s="81"/>
    </row>
    <row r="7204" spans="1:1">
      <c r="A7204" s="81"/>
    </row>
    <row r="7205" spans="1:1">
      <c r="A7205" s="81"/>
    </row>
    <row r="7206" spans="1:1">
      <c r="A7206" s="81"/>
    </row>
    <row r="7207" spans="1:1">
      <c r="A7207" s="81"/>
    </row>
    <row r="7208" spans="1:1">
      <c r="A7208" s="81"/>
    </row>
    <row r="7209" spans="1:1">
      <c r="A7209" s="81"/>
    </row>
    <row r="7210" spans="1:1">
      <c r="A7210" s="81"/>
    </row>
    <row r="7211" spans="1:1">
      <c r="A7211" s="81"/>
    </row>
    <row r="7212" spans="1:1">
      <c r="A7212" s="81"/>
    </row>
    <row r="7213" spans="1:1">
      <c r="A7213" s="81"/>
    </row>
    <row r="7214" spans="1:1">
      <c r="A7214" s="81"/>
    </row>
    <row r="7215" spans="1:1">
      <c r="A7215" s="81"/>
    </row>
  </sheetData>
  <sheetProtection select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voltar_Autditoria">
                <anchor moveWithCells="1">
                  <from>
                    <xdr:col>5</xdr:col>
                    <xdr:colOff>1323975</xdr:colOff>
                    <xdr:row>0</xdr:row>
                    <xdr:rowOff>66675</xdr:rowOff>
                  </from>
                  <to>
                    <xdr:col>6</xdr:col>
                    <xdr:colOff>1228725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300"/>
  <sheetViews>
    <sheetView workbookViewId="0">
      <selection activeCell="A4" sqref="A4"/>
    </sheetView>
  </sheetViews>
  <sheetFormatPr defaultRowHeight="15"/>
  <sheetData>
    <row r="1" spans="1:1">
      <c r="A1" t="str">
        <f>[1]Cliente!A2</f>
        <v>ADEMIR MIOTTO</v>
      </c>
    </row>
    <row r="2" spans="1:1">
      <c r="A2" s="7" t="str">
        <f>[1]Cliente!A3</f>
        <v>ALC PNEUS</v>
      </c>
    </row>
    <row r="3" spans="1:1">
      <c r="A3" s="7" t="str">
        <f>[1]Cliente!A4</f>
        <v>ALEX OLIVEIRA</v>
      </c>
    </row>
    <row r="4" spans="1:1">
      <c r="A4" s="7" t="str">
        <f>[1]Cliente!A5</f>
        <v>AUTO ELITE</v>
      </c>
    </row>
    <row r="5" spans="1:1">
      <c r="A5" s="7" t="str">
        <f>[1]Cliente!A6</f>
        <v>BAIANO</v>
      </c>
    </row>
    <row r="6" spans="1:1">
      <c r="A6" s="7" t="str">
        <f>[1]Cliente!A7</f>
        <v>BANANA</v>
      </c>
    </row>
    <row r="7" spans="1:1">
      <c r="A7" s="7" t="str">
        <f>[1]Cliente!A8</f>
        <v>BANANINHA</v>
      </c>
    </row>
    <row r="8" spans="1:1">
      <c r="A8" s="7" t="str">
        <f>[1]Cliente!A9</f>
        <v>BARTOLO</v>
      </c>
    </row>
    <row r="9" spans="1:1">
      <c r="A9" s="7" t="str">
        <f>[1]Cliente!A10</f>
        <v>BATTISTELLA</v>
      </c>
    </row>
    <row r="10" spans="1:1">
      <c r="A10" s="7" t="str">
        <f>[1]Cliente!A11</f>
        <v>BECKER</v>
      </c>
    </row>
    <row r="11" spans="1:1">
      <c r="A11" s="7" t="str">
        <f>[1]Cliente!A12</f>
        <v>BIKE MOTOS</v>
      </c>
    </row>
    <row r="12" spans="1:1">
      <c r="A12" s="7" t="str">
        <f>[1]Cliente!A13</f>
        <v>BOA VISTA</v>
      </c>
    </row>
    <row r="13" spans="1:1">
      <c r="A13" s="7" t="str">
        <f>[1]Cliente!A14</f>
        <v>BORRACHARIA</v>
      </c>
    </row>
    <row r="14" spans="1:1">
      <c r="A14" s="7" t="str">
        <f>[1]Cliente!A15</f>
        <v>BORRACHARIA BRASIL</v>
      </c>
    </row>
    <row r="15" spans="1:1">
      <c r="A15" s="7" t="str">
        <f>[1]Cliente!A16</f>
        <v>BR CONCÓRDIA</v>
      </c>
    </row>
    <row r="16" spans="1:1">
      <c r="A16" s="7" t="str">
        <f>[1]Cliente!A17</f>
        <v>BROETTO</v>
      </c>
    </row>
    <row r="17" spans="1:1">
      <c r="A17" s="7" t="str">
        <f>[1]Cliente!A18</f>
        <v>BROETTO CAPINZAL</v>
      </c>
    </row>
    <row r="18" spans="1:1">
      <c r="A18" s="7" t="str">
        <f>[1]Cliente!A19</f>
        <v>BUDA</v>
      </c>
    </row>
    <row r="19" spans="1:1">
      <c r="A19" s="7" t="str">
        <f>[1]Cliente!A20</f>
        <v>CANVEL</v>
      </c>
    </row>
    <row r="20" spans="1:1">
      <c r="A20" s="7" t="str">
        <f>[1]Cliente!A21</f>
        <v>CAPUCHO</v>
      </c>
    </row>
    <row r="21" spans="1:1">
      <c r="A21" s="7" t="str">
        <f>[1]Cliente!A22</f>
        <v>CARANDIRU</v>
      </c>
    </row>
    <row r="22" spans="1:1">
      <c r="A22" s="7" t="str">
        <f>[1]Cliente!A23</f>
        <v>CARBONI</v>
      </c>
    </row>
    <row r="23" spans="1:1">
      <c r="A23" s="7" t="str">
        <f>[1]Cliente!A24</f>
        <v>CAVALIERI</v>
      </c>
    </row>
    <row r="24" spans="1:1">
      <c r="A24" s="7" t="str">
        <f>[1]Cliente!A25</f>
        <v>CAVALIERI BR</v>
      </c>
    </row>
    <row r="25" spans="1:1">
      <c r="A25" s="7" t="str">
        <f>[1]Cliente!A26</f>
        <v>CELSO HOFF</v>
      </c>
    </row>
    <row r="26" spans="1:1">
      <c r="A26" s="7" t="str">
        <f>[1]Cliente!A27</f>
        <v>CELULOSE IRANI</v>
      </c>
    </row>
    <row r="27" spans="1:1">
      <c r="A27" s="7" t="str">
        <f>[1]Cliente!A28</f>
        <v>CG REFORMAS</v>
      </c>
    </row>
    <row r="28" spans="1:1">
      <c r="A28" s="7" t="str">
        <f>[1]Cliente!A29</f>
        <v>CHAPARTE</v>
      </c>
    </row>
    <row r="29" spans="1:1">
      <c r="A29" s="7" t="str">
        <f>[1]Cliente!A30</f>
        <v>CHILOF</v>
      </c>
    </row>
    <row r="30" spans="1:1">
      <c r="A30" s="7" t="str">
        <f>[1]Cliente!A31</f>
        <v>CL CHAPEAÇÃO</v>
      </c>
    </row>
    <row r="31" spans="1:1">
      <c r="A31" s="7" t="str">
        <f>[1]Cliente!A32</f>
        <v>CLADIR TRAGNAGO</v>
      </c>
    </row>
    <row r="32" spans="1:1">
      <c r="A32" s="7" t="str">
        <f>[1]Cliente!A33</f>
        <v>CLAYTON</v>
      </c>
    </row>
    <row r="33" spans="1:1">
      <c r="A33" s="7" t="str">
        <f>[1]Cliente!A34</f>
        <v>CLEBERSON DUTRA</v>
      </c>
    </row>
    <row r="34" spans="1:1">
      <c r="A34" s="7" t="str">
        <f>[1]Cliente!A35</f>
        <v>CORDIAL</v>
      </c>
    </row>
    <row r="35" spans="1:1">
      <c r="A35" s="7" t="str">
        <f>[1]Cliente!A36</f>
        <v>CRISTIANO DALLACOSTA</v>
      </c>
    </row>
    <row r="36" spans="1:1">
      <c r="A36" s="7" t="str">
        <f>[1]Cliente!A37</f>
        <v>CROSS MOTOS</v>
      </c>
    </row>
    <row r="37" spans="1:1">
      <c r="A37" s="7" t="str">
        <f>[1]Cliente!A38</f>
        <v>CUMERLATTO</v>
      </c>
    </row>
    <row r="38" spans="1:1">
      <c r="A38" s="7" t="str">
        <f>[1]Cliente!A39</f>
        <v>D E D</v>
      </c>
    </row>
    <row r="39" spans="1:1">
      <c r="A39" s="7" t="str">
        <f>[1]Cliente!A40</f>
        <v>D&amp;D MATRIZAMENTO</v>
      </c>
    </row>
    <row r="40" spans="1:1">
      <c r="A40" s="7" t="str">
        <f>[1]Cliente!A41</f>
        <v>DALMAQ</v>
      </c>
    </row>
    <row r="41" spans="1:1">
      <c r="A41" s="7" t="str">
        <f>[1]Cliente!A42</f>
        <v>DALTOÉ</v>
      </c>
    </row>
    <row r="42" spans="1:1">
      <c r="A42" s="7" t="str">
        <f>[1]Cliente!A43</f>
        <v>DARFER</v>
      </c>
    </row>
    <row r="43" spans="1:1">
      <c r="A43" s="7" t="str">
        <f>[1]Cliente!A44</f>
        <v>DAVICAR</v>
      </c>
    </row>
    <row r="44" spans="1:1">
      <c r="A44" s="7" t="str">
        <f>[1]Cliente!A45</f>
        <v>DE MARCO</v>
      </c>
    </row>
    <row r="45" spans="1:1">
      <c r="A45" s="7" t="str">
        <f>[1]Cliente!A46</f>
        <v>DÉDO</v>
      </c>
    </row>
    <row r="46" spans="1:1">
      <c r="A46" s="7" t="str">
        <f>[1]Cliente!A47</f>
        <v>DETALHE ESQUADRIAS</v>
      </c>
    </row>
    <row r="47" spans="1:1">
      <c r="A47" s="7" t="str">
        <f>[1]Cliente!A48</f>
        <v>DICAVE</v>
      </c>
    </row>
    <row r="48" spans="1:1">
      <c r="A48" s="7" t="str">
        <f>[1]Cliente!A49</f>
        <v>DICO</v>
      </c>
    </row>
    <row r="49" spans="1:1">
      <c r="A49" s="7" t="str">
        <f>[1]Cliente!A50</f>
        <v>DJ MOTOS</v>
      </c>
    </row>
    <row r="50" spans="1:1">
      <c r="A50" s="7" t="str">
        <f>[1]Cliente!A51</f>
        <v>ELISEO</v>
      </c>
    </row>
    <row r="51" spans="1:1">
      <c r="A51" s="7" t="str">
        <f>[1]Cliente!A52</f>
        <v>ELOIR LECARDELLI</v>
      </c>
    </row>
    <row r="52" spans="1:1">
      <c r="A52" s="7" t="str">
        <f>[1]Cliente!A53</f>
        <v>ENEIS BARBIERI</v>
      </c>
    </row>
    <row r="53" spans="1:1">
      <c r="A53" s="7" t="str">
        <f>[1]Cliente!A54</f>
        <v>FANTIN</v>
      </c>
    </row>
    <row r="54" spans="1:1">
      <c r="A54" s="7" t="str">
        <f>[1]Cliente!A55</f>
        <v>FAROL</v>
      </c>
    </row>
    <row r="55" spans="1:1">
      <c r="A55" s="7" t="str">
        <f>[1]Cliente!A56</f>
        <v>FASOLO</v>
      </c>
    </row>
    <row r="56" spans="1:1">
      <c r="A56" s="7" t="str">
        <f>[1]Cliente!A57</f>
        <v>FERMAC</v>
      </c>
    </row>
    <row r="57" spans="1:1">
      <c r="A57" s="7" t="str">
        <f>[1]Cliente!A58</f>
        <v>FERRONATTO</v>
      </c>
    </row>
    <row r="58" spans="1:1">
      <c r="A58" s="7" t="str">
        <f>[1]Cliente!A59</f>
        <v>FLAVIO MOTOS</v>
      </c>
    </row>
    <row r="59" spans="1:1">
      <c r="A59" s="7" t="str">
        <f>[1]Cliente!A60</f>
        <v>FRAN</v>
      </c>
    </row>
    <row r="60" spans="1:1">
      <c r="A60" s="7" t="str">
        <f>[1]Cliente!A61</f>
        <v>FRANCESCHINA</v>
      </c>
    </row>
    <row r="61" spans="1:1">
      <c r="A61" s="7" t="str">
        <f>[1]Cliente!A62</f>
        <v>FRANCIS</v>
      </c>
    </row>
    <row r="62" spans="1:1">
      <c r="A62" s="7" t="str">
        <f>[1]Cliente!A63</f>
        <v>FUMAÇA</v>
      </c>
    </row>
    <row r="63" spans="1:1">
      <c r="A63" s="7" t="str">
        <f>[1]Cliente!A64</f>
        <v>FUNILARIA FAMA</v>
      </c>
    </row>
    <row r="64" spans="1:1">
      <c r="A64" s="7" t="str">
        <f>[1]Cliente!A65</f>
        <v>G3 SOLUÇÕES</v>
      </c>
    </row>
    <row r="65" spans="1:1">
      <c r="A65" s="7" t="str">
        <f>[1]Cliente!A66</f>
        <v>GB REFRIGERAÇÃO</v>
      </c>
    </row>
    <row r="66" spans="1:1">
      <c r="A66" s="7" t="str">
        <f>[1]Cliente!A67</f>
        <v>GERA AUTOMAÇÃO</v>
      </c>
    </row>
    <row r="67" spans="1:1">
      <c r="A67" s="7" t="str">
        <f>[1]Cliente!A68</f>
        <v>GIACOMIM</v>
      </c>
    </row>
    <row r="68" spans="1:1">
      <c r="A68" s="7" t="str">
        <f>[1]Cliente!A69</f>
        <v>GILMAR</v>
      </c>
    </row>
    <row r="69" spans="1:1">
      <c r="A69" s="7" t="str">
        <f>[1]Cliente!A70</f>
        <v>GIRARDI</v>
      </c>
    </row>
    <row r="70" spans="1:1">
      <c r="A70" s="7" t="str">
        <f>[1]Cliente!A71</f>
        <v>GLOBPARTS</v>
      </c>
    </row>
    <row r="71" spans="1:1">
      <c r="A71" s="7" t="str">
        <f>[1]Cliente!A72</f>
        <v>GORY-ANE</v>
      </c>
    </row>
    <row r="72" spans="1:1">
      <c r="A72" s="7" t="str">
        <f>[1]Cliente!A73</f>
        <v>GRATT</v>
      </c>
    </row>
    <row r="73" spans="1:1">
      <c r="A73" s="7" t="str">
        <f>[1]Cliente!A74</f>
        <v>GUIGO</v>
      </c>
    </row>
    <row r="74" spans="1:1">
      <c r="A74" s="7" t="str">
        <f>[1]Cliente!A75</f>
        <v>HOLLYWOOD</v>
      </c>
    </row>
    <row r="75" spans="1:1">
      <c r="A75" s="7" t="str">
        <f>[1]Cliente!A76</f>
        <v>ITAENSE</v>
      </c>
    </row>
    <row r="76" spans="1:1">
      <c r="A76" s="7" t="str">
        <f>[1]Cliente!A77</f>
        <v>ITCHO</v>
      </c>
    </row>
    <row r="77" spans="1:1">
      <c r="A77" s="7" t="str">
        <f>[1]Cliente!A78</f>
        <v>IVANDRO VIECELLI</v>
      </c>
    </row>
    <row r="78" spans="1:1">
      <c r="A78" s="7" t="str">
        <f>[1]Cliente!A79</f>
        <v>JACOB BIEZUS</v>
      </c>
    </row>
    <row r="79" spans="1:1">
      <c r="A79" s="7" t="str">
        <f>[1]Cliente!A80</f>
        <v>JESSE</v>
      </c>
    </row>
    <row r="80" spans="1:1">
      <c r="A80" s="7" t="str">
        <f>[1]Cliente!A81</f>
        <v>JET CAR</v>
      </c>
    </row>
    <row r="81" spans="1:1">
      <c r="A81" s="7" t="str">
        <f>[1]Cliente!A82</f>
        <v>JVF ESQUADRIAS</v>
      </c>
    </row>
    <row r="82" spans="1:1">
      <c r="A82" s="7" t="str">
        <f>[1]Cliente!A83</f>
        <v>KEKO</v>
      </c>
    </row>
    <row r="83" spans="1:1">
      <c r="A83" s="7" t="str">
        <f>[1]Cliente!A84</f>
        <v>KERBER</v>
      </c>
    </row>
    <row r="84" spans="1:1">
      <c r="A84" s="7" t="str">
        <f>[1]Cliente!A85</f>
        <v>LAEFE</v>
      </c>
    </row>
    <row r="85" spans="1:1">
      <c r="A85" s="7" t="str">
        <f>[1]Cliente!A86</f>
        <v>LATA LISA</v>
      </c>
    </row>
    <row r="86" spans="1:1">
      <c r="A86" s="7" t="str">
        <f>[1]Cliente!A87</f>
        <v>LATINO</v>
      </c>
    </row>
    <row r="87" spans="1:1">
      <c r="A87" s="7" t="str">
        <f>[1]Cliente!A88</f>
        <v>LAZZARIN</v>
      </c>
    </row>
    <row r="88" spans="1:1">
      <c r="A88" s="7" t="str">
        <f>[1]Cliente!A89</f>
        <v>LIDER</v>
      </c>
    </row>
    <row r="89" spans="1:1">
      <c r="A89" s="7" t="str">
        <f>[1]Cliente!A90</f>
        <v>LILI DALACOSTA</v>
      </c>
    </row>
    <row r="90" spans="1:1">
      <c r="A90" s="7" t="str">
        <f>[1]Cliente!A91</f>
        <v>LIS</v>
      </c>
    </row>
    <row r="91" spans="1:1">
      <c r="A91" s="7" t="str">
        <f>[1]Cliente!A92</f>
        <v>MAGARINOS</v>
      </c>
    </row>
    <row r="92" spans="1:1">
      <c r="A92" s="7" t="str">
        <f>[1]Cliente!A93</f>
        <v>MAGAVEL</v>
      </c>
    </row>
    <row r="93" spans="1:1">
      <c r="A93" s="7" t="str">
        <f>[1]Cliente!A94</f>
        <v>MAQDIMA</v>
      </c>
    </row>
    <row r="94" spans="1:1">
      <c r="A94" s="7" t="str">
        <f>[1]Cliente!A95</f>
        <v>MARCHIORO</v>
      </c>
    </row>
    <row r="95" spans="1:1">
      <c r="A95" s="7" t="str">
        <f>[1]Cliente!A96</f>
        <v>MARECO</v>
      </c>
    </row>
    <row r="96" spans="1:1">
      <c r="A96" s="7" t="str">
        <f>[1]Cliente!A97</f>
        <v>MARTINELLO</v>
      </c>
    </row>
    <row r="97" spans="1:1">
      <c r="A97" s="7" t="str">
        <f>[1]Cliente!A98</f>
        <v>MASSOCCO</v>
      </c>
    </row>
    <row r="98" spans="1:1">
      <c r="A98" s="7" t="str">
        <f>[1]Cliente!A99</f>
        <v>MATIOLO</v>
      </c>
    </row>
    <row r="99" spans="1:1">
      <c r="A99" s="7" t="str">
        <f>[1]Cliente!A100</f>
        <v>MAURICIO ARENDT</v>
      </c>
    </row>
    <row r="100" spans="1:1">
      <c r="A100" s="7" t="str">
        <f>[1]Cliente!A101</f>
        <v>MINELLA MOTOS</v>
      </c>
    </row>
    <row r="101" spans="1:1">
      <c r="A101" s="7" t="str">
        <f>[1]Cliente!A102</f>
        <v>MOURA</v>
      </c>
    </row>
    <row r="102" spans="1:1">
      <c r="A102" s="7" t="str">
        <f>[1]Cliente!A103</f>
        <v>MOVEIS BR</v>
      </c>
    </row>
    <row r="103" spans="1:1">
      <c r="A103" s="7" t="str">
        <f>[1]Cliente!A104</f>
        <v>MOVELARIA MAGARINOS</v>
      </c>
    </row>
    <row r="104" spans="1:1">
      <c r="A104" s="7" t="str">
        <f>[1]Cliente!A105</f>
        <v>MOVER MEIVULOS</v>
      </c>
    </row>
    <row r="105" spans="1:1">
      <c r="A105" s="7" t="str">
        <f>[1]Cliente!A106</f>
        <v>MW AUTO CROMO</v>
      </c>
    </row>
    <row r="106" spans="1:1">
      <c r="A106" s="7" t="str">
        <f>[1]Cliente!A107</f>
        <v>MWW VEICULOS</v>
      </c>
    </row>
    <row r="107" spans="1:1">
      <c r="A107" s="7" t="str">
        <f>[1]Cliente!A108</f>
        <v>NENE</v>
      </c>
    </row>
    <row r="108" spans="1:1">
      <c r="A108" s="7" t="str">
        <f>[1]Cliente!A109</f>
        <v>NH TRATORES</v>
      </c>
    </row>
    <row r="109" spans="1:1">
      <c r="A109" s="7" t="str">
        <f>[1]Cliente!A110</f>
        <v>NORIMAR MORETTO</v>
      </c>
    </row>
    <row r="110" spans="1:1">
      <c r="A110" s="7" t="str">
        <f>[1]Cliente!A111</f>
        <v>OESTE TINTAS</v>
      </c>
    </row>
    <row r="111" spans="1:1">
      <c r="A111" s="7" t="str">
        <f>[1]Cliente!A112</f>
        <v>OLDONI</v>
      </c>
    </row>
    <row r="112" spans="1:1">
      <c r="A112" s="7" t="str">
        <f>[1]Cliente!A113</f>
        <v>PARAISO</v>
      </c>
    </row>
    <row r="113" spans="1:1">
      <c r="A113" s="7" t="str">
        <f>[1]Cliente!A114</f>
        <v>PAULÃO TINTAS</v>
      </c>
    </row>
    <row r="114" spans="1:1">
      <c r="A114" s="7" t="str">
        <f>[1]Cliente!A115</f>
        <v>PAVAN</v>
      </c>
    </row>
    <row r="115" spans="1:1">
      <c r="A115" s="7" t="str">
        <f>[1]Cliente!A116</f>
        <v>PECINI</v>
      </c>
    </row>
    <row r="116" spans="1:1">
      <c r="A116" s="7" t="str">
        <f>[1]Cliente!A117</f>
        <v>PILATTI</v>
      </c>
    </row>
    <row r="117" spans="1:1">
      <c r="A117" s="7" t="str">
        <f>[1]Cliente!A118</f>
        <v>PIVICA VEICULOS</v>
      </c>
    </row>
    <row r="118" spans="1:1">
      <c r="A118" s="7" t="str">
        <f>[1]Cliente!A119</f>
        <v>POTCHECA</v>
      </c>
    </row>
    <row r="119" spans="1:1">
      <c r="A119" s="7" t="str">
        <f>[1]Cliente!A120</f>
        <v>PREFEITURA</v>
      </c>
    </row>
    <row r="120" spans="1:1">
      <c r="A120" s="7" t="str">
        <f>[1]Cliente!A121</f>
        <v>RC REPARAÇÃO</v>
      </c>
    </row>
    <row r="121" spans="1:1">
      <c r="A121" s="7" t="str">
        <f>[1]Cliente!A122</f>
        <v>RETOK CAR</v>
      </c>
    </row>
    <row r="122" spans="1:1">
      <c r="A122" s="7" t="str">
        <f>[1]Cliente!A123</f>
        <v>REVESTIR</v>
      </c>
    </row>
    <row r="123" spans="1:1">
      <c r="A123" s="7" t="str">
        <f>[1]Cliente!A124</f>
        <v>RIBEIRO E COLLA</v>
      </c>
    </row>
    <row r="124" spans="1:1">
      <c r="A124" s="7" t="str">
        <f>[1]Cliente!A125</f>
        <v>RISK JET</v>
      </c>
    </row>
    <row r="125" spans="1:1">
      <c r="A125" s="7" t="str">
        <f>[1]Cliente!A126</f>
        <v>RODACAR</v>
      </c>
    </row>
    <row r="126" spans="1:1">
      <c r="A126" s="7" t="str">
        <f>[1]Cliente!A127</f>
        <v>RODRIGUES JBA</v>
      </c>
    </row>
    <row r="127" spans="1:1">
      <c r="A127" s="7" t="str">
        <f>[1]Cliente!A128</f>
        <v>ROGER</v>
      </c>
    </row>
    <row r="128" spans="1:1">
      <c r="A128" s="7" t="str">
        <f>[1]Cliente!A129</f>
        <v>RS AUTOMOVEIS</v>
      </c>
    </row>
    <row r="129" spans="1:1">
      <c r="A129" s="7" t="str">
        <f>[1]Cliente!A130</f>
        <v>SADI BARROTO</v>
      </c>
    </row>
    <row r="130" spans="1:1">
      <c r="A130" s="7" t="str">
        <f>[1]Cliente!A131</f>
        <v>SANTA PEDRA</v>
      </c>
    </row>
    <row r="131" spans="1:1">
      <c r="A131" s="7" t="str">
        <f>[1]Cliente!A132</f>
        <v>SANTOS</v>
      </c>
    </row>
    <row r="132" spans="1:1">
      <c r="A132" s="7" t="str">
        <f>[1]Cliente!A133</f>
        <v>SASSÁ</v>
      </c>
    </row>
    <row r="133" spans="1:1">
      <c r="A133" s="7" t="str">
        <f>[1]Cliente!A134</f>
        <v>SCHROEDER</v>
      </c>
    </row>
    <row r="134" spans="1:1">
      <c r="A134" s="7" t="str">
        <f>[1]Cliente!A135</f>
        <v>SCHUMACHER ARABUTÃ</v>
      </c>
    </row>
    <row r="135" spans="1:1">
      <c r="A135" s="7" t="str">
        <f>[1]Cliente!A136</f>
        <v>SCHUMACHER PERITIBA</v>
      </c>
    </row>
    <row r="136" spans="1:1">
      <c r="A136" s="7" t="str">
        <f>[1]Cliente!A137</f>
        <v>SERGIO DUTCHEWICZ</v>
      </c>
    </row>
    <row r="137" spans="1:1">
      <c r="A137" s="7" t="str">
        <f>[1]Cliente!A138</f>
        <v>SESI</v>
      </c>
    </row>
    <row r="138" spans="1:1">
      <c r="A138" s="7" t="str">
        <f>[1]Cliente!A139</f>
        <v>SETA ENGENHARIA</v>
      </c>
    </row>
    <row r="139" spans="1:1">
      <c r="A139" s="7" t="str">
        <f>[1]Cliente!A140</f>
        <v>SETTE</v>
      </c>
    </row>
    <row r="140" spans="1:1">
      <c r="A140" s="7" t="str">
        <f>[1]Cliente!A141</f>
        <v>SIDNEI DALVESCO</v>
      </c>
    </row>
    <row r="141" spans="1:1">
      <c r="A141" s="7" t="str">
        <f>[1]Cliente!A142</f>
        <v>SIMIONI</v>
      </c>
    </row>
    <row r="142" spans="1:1">
      <c r="A142" s="7" t="str">
        <f>[1]Cliente!A143</f>
        <v>SONO</v>
      </c>
    </row>
    <row r="143" spans="1:1">
      <c r="A143" s="7" t="str">
        <f>[1]Cliente!A144</f>
        <v>STRASBOURG</v>
      </c>
    </row>
    <row r="144" spans="1:1">
      <c r="A144" s="7" t="str">
        <f>[1]Cliente!A145</f>
        <v>SUL BRASIL</v>
      </c>
    </row>
    <row r="145" spans="1:1">
      <c r="A145" s="7" t="str">
        <f>[1]Cliente!A146</f>
        <v>SULENTA</v>
      </c>
    </row>
    <row r="146" spans="1:1">
      <c r="A146" s="7" t="str">
        <f>[1]Cliente!A147</f>
        <v>TATA</v>
      </c>
    </row>
    <row r="147" spans="1:1">
      <c r="A147" s="7" t="str">
        <f>[1]Cliente!A148</f>
        <v>THERMOVITA</v>
      </c>
    </row>
    <row r="148" spans="1:1">
      <c r="A148" s="7" t="str">
        <f>[1]Cliente!A149</f>
        <v>TOP TRUCK</v>
      </c>
    </row>
    <row r="149" spans="1:1">
      <c r="A149" s="7" t="str">
        <f>[1]Cliente!A150</f>
        <v>TUTI</v>
      </c>
    </row>
    <row r="150" spans="1:1">
      <c r="A150" s="7" t="str">
        <f>[1]Cliente!A151</f>
        <v>TUTUBA</v>
      </c>
    </row>
    <row r="151" spans="1:1">
      <c r="A151" s="7" t="str">
        <f>[1]Cliente!A152</f>
        <v>USINA DO SOM</v>
      </c>
    </row>
    <row r="152" spans="1:1">
      <c r="A152" s="7" t="str">
        <f>[1]Cliente!A153</f>
        <v>VALCA</v>
      </c>
    </row>
    <row r="153" spans="1:1">
      <c r="A153" s="7" t="str">
        <f>[1]Cliente!A154</f>
        <v>VALTER GONÇALVES</v>
      </c>
    </row>
    <row r="154" spans="1:1">
      <c r="A154" s="7" t="str">
        <f>[1]Cliente!A155</f>
        <v>VECO</v>
      </c>
    </row>
    <row r="155" spans="1:1">
      <c r="A155" s="7" t="str">
        <f>[1]Cliente!A156</f>
        <v>VIDECAR</v>
      </c>
    </row>
    <row r="156" spans="1:1">
      <c r="A156" s="7" t="str">
        <f>[1]Cliente!A157</f>
        <v>VJ PEROZIN</v>
      </c>
    </row>
    <row r="157" spans="1:1">
      <c r="A157" s="7" t="str">
        <f>[1]Cliente!A158</f>
        <v>VOLNEI</v>
      </c>
    </row>
    <row r="158" spans="1:1">
      <c r="A158" s="7" t="str">
        <f>[1]Cliente!A159</f>
        <v>WILLY</v>
      </c>
    </row>
    <row r="159" spans="1:1">
      <c r="A159" s="7" t="str">
        <f>[1]Cliente!A160</f>
        <v>Z3</v>
      </c>
    </row>
    <row r="160" spans="1:1">
      <c r="A160" s="7" t="str">
        <f>[1]Cliente!A161</f>
        <v>ZANELLA</v>
      </c>
    </row>
    <row r="161" spans="1:1">
      <c r="A161" s="7" t="str">
        <f>[1]Cliente!A162</f>
        <v>ZUMBI</v>
      </c>
    </row>
    <row r="162" spans="1:1">
      <c r="A162" s="7" t="str">
        <f>[1]Cliente!A163</f>
        <v>EDILSON</v>
      </c>
    </row>
    <row r="163" spans="1:1">
      <c r="A163" s="7" t="str">
        <f>[1]Cliente!A164</f>
        <v>ODAIR MENEGATTI</v>
      </c>
    </row>
    <row r="164" spans="1:1">
      <c r="A164" s="7">
        <f>[1]Cliente!A165</f>
        <v>0</v>
      </c>
    </row>
    <row r="165" spans="1:1">
      <c r="A165" s="7">
        <f>[1]Cliente!A166</f>
        <v>0</v>
      </c>
    </row>
    <row r="166" spans="1:1">
      <c r="A166" s="7">
        <f>[1]Cliente!A167</f>
        <v>0</v>
      </c>
    </row>
    <row r="167" spans="1:1">
      <c r="A167" s="7">
        <f>[1]Cliente!A168</f>
        <v>0</v>
      </c>
    </row>
    <row r="168" spans="1:1">
      <c r="A168" s="7">
        <f>[1]Cliente!A169</f>
        <v>0</v>
      </c>
    </row>
    <row r="169" spans="1:1">
      <c r="A169" s="7">
        <f>[1]Cliente!A170</f>
        <v>0</v>
      </c>
    </row>
    <row r="170" spans="1:1">
      <c r="A170" s="7">
        <f>[1]Cliente!A171</f>
        <v>0</v>
      </c>
    </row>
    <row r="171" spans="1:1">
      <c r="A171" s="7">
        <f>[1]Cliente!A172</f>
        <v>0</v>
      </c>
    </row>
    <row r="172" spans="1:1">
      <c r="A172" s="7">
        <f>[1]Cliente!A173</f>
        <v>0</v>
      </c>
    </row>
    <row r="173" spans="1:1">
      <c r="A173" s="7">
        <f>[1]Cliente!A174</f>
        <v>0</v>
      </c>
    </row>
    <row r="174" spans="1:1">
      <c r="A174" s="7">
        <f>[1]Cliente!A175</f>
        <v>0</v>
      </c>
    </row>
    <row r="175" spans="1:1">
      <c r="A175" s="7">
        <f>[1]Cliente!A176</f>
        <v>0</v>
      </c>
    </row>
    <row r="176" spans="1:1">
      <c r="A176" s="7">
        <f>[1]Cliente!A177</f>
        <v>0</v>
      </c>
    </row>
    <row r="177" spans="1:1">
      <c r="A177" s="7">
        <f>[1]Cliente!A178</f>
        <v>0</v>
      </c>
    </row>
    <row r="178" spans="1:1">
      <c r="A178" s="7">
        <f>[1]Cliente!A179</f>
        <v>0</v>
      </c>
    </row>
    <row r="179" spans="1:1">
      <c r="A179" s="7">
        <f>[1]Cliente!A180</f>
        <v>0</v>
      </c>
    </row>
    <row r="180" spans="1:1">
      <c r="A180" s="7">
        <f>[1]Cliente!A181</f>
        <v>0</v>
      </c>
    </row>
    <row r="181" spans="1:1">
      <c r="A181" s="7">
        <f>[1]Cliente!A182</f>
        <v>0</v>
      </c>
    </row>
    <row r="182" spans="1:1">
      <c r="A182" s="7">
        <f>[1]Cliente!A183</f>
        <v>0</v>
      </c>
    </row>
    <row r="183" spans="1:1">
      <c r="A183" s="7">
        <f>[1]Cliente!A184</f>
        <v>0</v>
      </c>
    </row>
    <row r="184" spans="1:1">
      <c r="A184" s="7">
        <f>[1]Cliente!A185</f>
        <v>0</v>
      </c>
    </row>
    <row r="185" spans="1:1">
      <c r="A185" s="7">
        <f>[1]Cliente!A186</f>
        <v>0</v>
      </c>
    </row>
    <row r="186" spans="1:1">
      <c r="A186" s="7">
        <f>[1]Cliente!A187</f>
        <v>0</v>
      </c>
    </row>
    <row r="187" spans="1:1">
      <c r="A187" s="7">
        <f>[1]Cliente!A188</f>
        <v>0</v>
      </c>
    </row>
    <row r="188" spans="1:1">
      <c r="A188" s="7">
        <f>[1]Cliente!A189</f>
        <v>0</v>
      </c>
    </row>
    <row r="189" spans="1:1">
      <c r="A189" s="7">
        <f>[1]Cliente!A190</f>
        <v>0</v>
      </c>
    </row>
    <row r="190" spans="1:1">
      <c r="A190" s="7">
        <f>[1]Cliente!A191</f>
        <v>0</v>
      </c>
    </row>
    <row r="191" spans="1:1">
      <c r="A191" s="7">
        <f>[1]Cliente!A192</f>
        <v>0</v>
      </c>
    </row>
    <row r="192" spans="1:1">
      <c r="A192" s="7">
        <f>[1]Cliente!A193</f>
        <v>0</v>
      </c>
    </row>
    <row r="193" spans="1:1">
      <c r="A193" s="7">
        <f>[1]Cliente!A194</f>
        <v>0</v>
      </c>
    </row>
    <row r="194" spans="1:1">
      <c r="A194" s="7">
        <f>[1]Cliente!A195</f>
        <v>0</v>
      </c>
    </row>
    <row r="195" spans="1:1">
      <c r="A195" s="7">
        <f>[1]Cliente!A196</f>
        <v>0</v>
      </c>
    </row>
    <row r="196" spans="1:1">
      <c r="A196" s="7">
        <f>[1]Cliente!A197</f>
        <v>0</v>
      </c>
    </row>
    <row r="197" spans="1:1">
      <c r="A197" s="7">
        <f>[1]Cliente!A198</f>
        <v>0</v>
      </c>
    </row>
    <row r="198" spans="1:1">
      <c r="A198" s="7">
        <f>[1]Cliente!A199</f>
        <v>0</v>
      </c>
    </row>
    <row r="199" spans="1:1">
      <c r="A199" s="7">
        <f>[1]Cliente!A200</f>
        <v>0</v>
      </c>
    </row>
    <row r="200" spans="1:1">
      <c r="A200" s="7">
        <f>[1]Cliente!A201</f>
        <v>0</v>
      </c>
    </row>
    <row r="201" spans="1:1">
      <c r="A201" s="7">
        <f>[1]Cliente!A202</f>
        <v>0</v>
      </c>
    </row>
    <row r="202" spans="1:1">
      <c r="A202" s="7">
        <f>[1]Cliente!A203</f>
        <v>0</v>
      </c>
    </row>
    <row r="203" spans="1:1">
      <c r="A203" s="7">
        <f>[1]Cliente!A204</f>
        <v>0</v>
      </c>
    </row>
    <row r="204" spans="1:1">
      <c r="A204" s="7">
        <f>[1]Cliente!A205</f>
        <v>0</v>
      </c>
    </row>
    <row r="205" spans="1:1">
      <c r="A205" s="7">
        <f>[1]Cliente!A206</f>
        <v>0</v>
      </c>
    </row>
    <row r="206" spans="1:1">
      <c r="A206" s="7">
        <f>[1]Cliente!A207</f>
        <v>0</v>
      </c>
    </row>
    <row r="207" spans="1:1">
      <c r="A207" s="7">
        <f>[1]Cliente!A208</f>
        <v>0</v>
      </c>
    </row>
    <row r="208" spans="1:1">
      <c r="A208" s="7">
        <f>[1]Cliente!A209</f>
        <v>0</v>
      </c>
    </row>
    <row r="209" spans="1:1">
      <c r="A209" s="7">
        <f>[1]Cliente!A210</f>
        <v>0</v>
      </c>
    </row>
    <row r="210" spans="1:1">
      <c r="A210" s="7">
        <f>[1]Cliente!A211</f>
        <v>0</v>
      </c>
    </row>
    <row r="211" spans="1:1">
      <c r="A211" s="7">
        <f>[1]Cliente!A212</f>
        <v>0</v>
      </c>
    </row>
    <row r="212" spans="1:1">
      <c r="A212" s="7">
        <f>[1]Cliente!A213</f>
        <v>0</v>
      </c>
    </row>
    <row r="213" spans="1:1">
      <c r="A213" s="7">
        <f>[1]Cliente!A214</f>
        <v>0</v>
      </c>
    </row>
    <row r="214" spans="1:1">
      <c r="A214" s="7">
        <f>[1]Cliente!A215</f>
        <v>0</v>
      </c>
    </row>
    <row r="215" spans="1:1">
      <c r="A215" s="7">
        <f>[1]Cliente!A216</f>
        <v>0</v>
      </c>
    </row>
    <row r="216" spans="1:1">
      <c r="A216" s="7">
        <f>[1]Cliente!A217</f>
        <v>0</v>
      </c>
    </row>
    <row r="217" spans="1:1">
      <c r="A217" s="7">
        <f>[1]Cliente!A218</f>
        <v>0</v>
      </c>
    </row>
    <row r="218" spans="1:1">
      <c r="A218" s="7">
        <f>[1]Cliente!A219</f>
        <v>0</v>
      </c>
    </row>
    <row r="219" spans="1:1">
      <c r="A219" s="7">
        <f>[1]Cliente!A220</f>
        <v>0</v>
      </c>
    </row>
    <row r="220" spans="1:1">
      <c r="A220" s="7">
        <f>[1]Cliente!A221</f>
        <v>0</v>
      </c>
    </row>
    <row r="221" spans="1:1">
      <c r="A221" s="7">
        <f>[1]Cliente!A222</f>
        <v>0</v>
      </c>
    </row>
    <row r="222" spans="1:1">
      <c r="A222" s="7">
        <f>[1]Cliente!A223</f>
        <v>0</v>
      </c>
    </row>
    <row r="223" spans="1:1">
      <c r="A223" s="7">
        <f>[1]Cliente!A224</f>
        <v>0</v>
      </c>
    </row>
    <row r="224" spans="1:1">
      <c r="A224" s="7">
        <f>[1]Cliente!A225</f>
        <v>0</v>
      </c>
    </row>
    <row r="225" spans="1:1">
      <c r="A225" s="7">
        <f>[1]Cliente!A226</f>
        <v>0</v>
      </c>
    </row>
    <row r="226" spans="1:1">
      <c r="A226" s="7">
        <f>[1]Cliente!A227</f>
        <v>0</v>
      </c>
    </row>
    <row r="227" spans="1:1">
      <c r="A227" s="7">
        <f>[1]Cliente!A228</f>
        <v>0</v>
      </c>
    </row>
    <row r="228" spans="1:1">
      <c r="A228" s="7">
        <f>[1]Cliente!A229</f>
        <v>0</v>
      </c>
    </row>
    <row r="229" spans="1:1">
      <c r="A229" s="7">
        <f>[1]Cliente!A230</f>
        <v>0</v>
      </c>
    </row>
    <row r="230" spans="1:1">
      <c r="A230" s="7">
        <f>[1]Cliente!A231</f>
        <v>0</v>
      </c>
    </row>
    <row r="231" spans="1:1">
      <c r="A231" s="7">
        <f>[1]Cliente!A232</f>
        <v>0</v>
      </c>
    </row>
    <row r="232" spans="1:1">
      <c r="A232" s="7">
        <f>[1]Cliente!A233</f>
        <v>0</v>
      </c>
    </row>
    <row r="233" spans="1:1">
      <c r="A233" s="7">
        <f>[1]Cliente!A234</f>
        <v>0</v>
      </c>
    </row>
    <row r="234" spans="1:1">
      <c r="A234" s="7">
        <f>[1]Cliente!A235</f>
        <v>0</v>
      </c>
    </row>
    <row r="235" spans="1:1">
      <c r="A235" s="7">
        <f>[1]Cliente!A236</f>
        <v>0</v>
      </c>
    </row>
    <row r="236" spans="1:1">
      <c r="A236" s="7">
        <f>[1]Cliente!A237</f>
        <v>0</v>
      </c>
    </row>
    <row r="237" spans="1:1">
      <c r="A237" s="7">
        <f>[1]Cliente!A238</f>
        <v>0</v>
      </c>
    </row>
    <row r="238" spans="1:1">
      <c r="A238" s="7">
        <f>[1]Cliente!A239</f>
        <v>0</v>
      </c>
    </row>
    <row r="239" spans="1:1">
      <c r="A239" s="7">
        <f>[1]Cliente!A240</f>
        <v>0</v>
      </c>
    </row>
    <row r="240" spans="1:1">
      <c r="A240" s="7">
        <f>[1]Cliente!A241</f>
        <v>0</v>
      </c>
    </row>
    <row r="241" spans="1:1">
      <c r="A241" s="7">
        <f>[1]Cliente!A242</f>
        <v>0</v>
      </c>
    </row>
    <row r="242" spans="1:1">
      <c r="A242" s="7">
        <f>[1]Cliente!A243</f>
        <v>0</v>
      </c>
    </row>
    <row r="243" spans="1:1">
      <c r="A243" s="7">
        <f>[1]Cliente!A244</f>
        <v>0</v>
      </c>
    </row>
    <row r="244" spans="1:1">
      <c r="A244" s="7">
        <f>[1]Cliente!A245</f>
        <v>0</v>
      </c>
    </row>
    <row r="245" spans="1:1">
      <c r="A245" s="7">
        <f>[1]Cliente!A246</f>
        <v>0</v>
      </c>
    </row>
    <row r="246" spans="1:1">
      <c r="A246" s="7">
        <f>[1]Cliente!A247</f>
        <v>0</v>
      </c>
    </row>
    <row r="247" spans="1:1">
      <c r="A247" s="7">
        <f>[1]Cliente!A248</f>
        <v>0</v>
      </c>
    </row>
    <row r="248" spans="1:1">
      <c r="A248" s="7">
        <f>[1]Cliente!A249</f>
        <v>0</v>
      </c>
    </row>
    <row r="249" spans="1:1">
      <c r="A249" s="7">
        <f>[1]Cliente!A250</f>
        <v>0</v>
      </c>
    </row>
    <row r="250" spans="1:1">
      <c r="A250" s="7">
        <f>[1]Cliente!A251</f>
        <v>0</v>
      </c>
    </row>
    <row r="251" spans="1:1">
      <c r="A251" s="7">
        <f>[1]Cliente!A252</f>
        <v>0</v>
      </c>
    </row>
    <row r="252" spans="1:1">
      <c r="A252" s="7">
        <f>[1]Cliente!A253</f>
        <v>0</v>
      </c>
    </row>
    <row r="253" spans="1:1">
      <c r="A253" s="7">
        <f>[1]Cliente!A254</f>
        <v>0</v>
      </c>
    </row>
    <row r="254" spans="1:1">
      <c r="A254" s="7">
        <f>[1]Cliente!A255</f>
        <v>0</v>
      </c>
    </row>
    <row r="255" spans="1:1">
      <c r="A255" s="7">
        <f>[1]Cliente!A256</f>
        <v>0</v>
      </c>
    </row>
    <row r="256" spans="1:1">
      <c r="A256" s="7">
        <f>[1]Cliente!A257</f>
        <v>0</v>
      </c>
    </row>
    <row r="257" spans="1:1">
      <c r="A257" s="7">
        <f>[1]Cliente!A258</f>
        <v>0</v>
      </c>
    </row>
    <row r="258" spans="1:1">
      <c r="A258" s="7">
        <f>[1]Cliente!A259</f>
        <v>0</v>
      </c>
    </row>
    <row r="259" spans="1:1">
      <c r="A259" s="7">
        <f>[1]Cliente!A260</f>
        <v>0</v>
      </c>
    </row>
    <row r="260" spans="1:1">
      <c r="A260" s="7">
        <f>[1]Cliente!A261</f>
        <v>0</v>
      </c>
    </row>
    <row r="261" spans="1:1">
      <c r="A261" s="7">
        <f>[1]Cliente!A262</f>
        <v>0</v>
      </c>
    </row>
    <row r="262" spans="1:1">
      <c r="A262" s="7">
        <f>[1]Cliente!A263</f>
        <v>0</v>
      </c>
    </row>
    <row r="263" spans="1:1">
      <c r="A263" s="7">
        <f>[1]Cliente!A264</f>
        <v>0</v>
      </c>
    </row>
    <row r="264" spans="1:1">
      <c r="A264" s="7">
        <f>[1]Cliente!A265</f>
        <v>0</v>
      </c>
    </row>
    <row r="265" spans="1:1">
      <c r="A265" s="7">
        <f>[1]Cliente!A266</f>
        <v>0</v>
      </c>
    </row>
    <row r="266" spans="1:1">
      <c r="A266" s="7">
        <f>[1]Cliente!A267</f>
        <v>0</v>
      </c>
    </row>
    <row r="267" spans="1:1">
      <c r="A267" s="7">
        <f>[1]Cliente!A268</f>
        <v>0</v>
      </c>
    </row>
    <row r="268" spans="1:1">
      <c r="A268" s="7">
        <f>[1]Cliente!A269</f>
        <v>0</v>
      </c>
    </row>
    <row r="269" spans="1:1">
      <c r="A269" s="7">
        <f>[1]Cliente!A270</f>
        <v>0</v>
      </c>
    </row>
    <row r="270" spans="1:1">
      <c r="A270" s="7">
        <f>[1]Cliente!A271</f>
        <v>0</v>
      </c>
    </row>
    <row r="271" spans="1:1">
      <c r="A271" s="7">
        <f>[1]Cliente!A272</f>
        <v>0</v>
      </c>
    </row>
    <row r="272" spans="1:1">
      <c r="A272" s="7">
        <f>[1]Cliente!A273</f>
        <v>0</v>
      </c>
    </row>
    <row r="273" spans="1:1">
      <c r="A273" s="7">
        <f>[1]Cliente!A274</f>
        <v>0</v>
      </c>
    </row>
    <row r="274" spans="1:1">
      <c r="A274" s="7">
        <f>[1]Cliente!A275</f>
        <v>0</v>
      </c>
    </row>
    <row r="275" spans="1:1">
      <c r="A275" s="7">
        <f>[1]Cliente!A276</f>
        <v>0</v>
      </c>
    </row>
    <row r="276" spans="1:1">
      <c r="A276" s="7">
        <f>[1]Cliente!A277</f>
        <v>0</v>
      </c>
    </row>
    <row r="277" spans="1:1">
      <c r="A277" s="7">
        <f>[1]Cliente!A278</f>
        <v>0</v>
      </c>
    </row>
    <row r="278" spans="1:1">
      <c r="A278" s="7">
        <f>[1]Cliente!A279</f>
        <v>0</v>
      </c>
    </row>
    <row r="279" spans="1:1">
      <c r="A279" s="7">
        <f>[1]Cliente!A280</f>
        <v>0</v>
      </c>
    </row>
    <row r="280" spans="1:1">
      <c r="A280" s="7">
        <f>[1]Cliente!A281</f>
        <v>0</v>
      </c>
    </row>
    <row r="281" spans="1:1">
      <c r="A281" s="7">
        <f>[1]Cliente!A282</f>
        <v>0</v>
      </c>
    </row>
    <row r="282" spans="1:1">
      <c r="A282" s="7">
        <f>[1]Cliente!A283</f>
        <v>0</v>
      </c>
    </row>
    <row r="283" spans="1:1">
      <c r="A283" s="7">
        <f>[1]Cliente!A284</f>
        <v>0</v>
      </c>
    </row>
    <row r="284" spans="1:1">
      <c r="A284" s="7">
        <f>[1]Cliente!A285</f>
        <v>0</v>
      </c>
    </row>
    <row r="285" spans="1:1">
      <c r="A285" s="7">
        <f>[1]Cliente!A286</f>
        <v>0</v>
      </c>
    </row>
    <row r="286" spans="1:1">
      <c r="A286" s="7">
        <f>[1]Cliente!A287</f>
        <v>0</v>
      </c>
    </row>
    <row r="287" spans="1:1">
      <c r="A287" s="7">
        <f>[1]Cliente!A288</f>
        <v>0</v>
      </c>
    </row>
    <row r="288" spans="1:1">
      <c r="A288" s="7">
        <f>[1]Cliente!A289</f>
        <v>0</v>
      </c>
    </row>
    <row r="289" spans="1:1">
      <c r="A289" s="7">
        <f>[1]Cliente!A290</f>
        <v>0</v>
      </c>
    </row>
    <row r="290" spans="1:1">
      <c r="A290" s="7">
        <f>[1]Cliente!A291</f>
        <v>0</v>
      </c>
    </row>
    <row r="291" spans="1:1">
      <c r="A291" s="7">
        <f>[1]Cliente!A292</f>
        <v>0</v>
      </c>
    </row>
    <row r="292" spans="1:1">
      <c r="A292" s="7">
        <f>[1]Cliente!A293</f>
        <v>0</v>
      </c>
    </row>
    <row r="293" spans="1:1">
      <c r="A293" s="7">
        <f>[1]Cliente!A294</f>
        <v>0</v>
      </c>
    </row>
    <row r="294" spans="1:1">
      <c r="A294" s="7">
        <f>[1]Cliente!A295</f>
        <v>0</v>
      </c>
    </row>
    <row r="295" spans="1:1">
      <c r="A295" s="7">
        <f>[1]Cliente!A296</f>
        <v>0</v>
      </c>
    </row>
    <row r="296" spans="1:1">
      <c r="A296" s="7">
        <f>[1]Cliente!A297</f>
        <v>0</v>
      </c>
    </row>
    <row r="297" spans="1:1">
      <c r="A297" s="7">
        <f>[1]Cliente!A298</f>
        <v>0</v>
      </c>
    </row>
    <row r="298" spans="1:1">
      <c r="A298" s="7">
        <f>[1]Cliente!A299</f>
        <v>0</v>
      </c>
    </row>
    <row r="299" spans="1:1">
      <c r="A299" s="7">
        <f>[1]Cliente!A300</f>
        <v>0</v>
      </c>
    </row>
    <row r="300" spans="1:1">
      <c r="A300" s="7">
        <f>[1]Cliente!A301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24"/>
  <sheetViews>
    <sheetView topLeftCell="A7" workbookViewId="0">
      <selection activeCell="A7" sqref="A7"/>
    </sheetView>
  </sheetViews>
  <sheetFormatPr defaultRowHeight="15"/>
  <cols>
    <col min="1" max="1" width="26.85546875" style="77" bestFit="1" customWidth="1"/>
    <col min="2" max="2" width="10.5703125" style="77" customWidth="1"/>
    <col min="3" max="16384" width="9.140625" style="77"/>
  </cols>
  <sheetData>
    <row r="1" spans="1:2">
      <c r="A1" s="77" t="str">
        <f>'[1]Configurações OS'!A5</f>
        <v>ENDEREÇE BANCO DE DADOS</v>
      </c>
      <c r="B1" s="77" t="str">
        <f>'[1]Configurações OS'!B5</f>
        <v>\\LABORATORIO\Users\Public\Documents\Modelo\Database\Database_OS.mdb</v>
      </c>
    </row>
    <row r="2" spans="1:2">
      <c r="A2" s="77" t="str">
        <f>'[1]Configurações OS'!A6</f>
        <v>CARGA</v>
      </c>
      <c r="B2" s="77" t="str">
        <f>'[1]Configurações OS'!B6</f>
        <v>Visivel</v>
      </c>
    </row>
    <row r="3" spans="1:2">
      <c r="A3" s="77" t="str">
        <f>'[1]Configurações OS'!A7</f>
        <v>MENSAGEM CARGA</v>
      </c>
      <c r="B3" s="77" t="str">
        <f>'[1]Configurações OS'!B7</f>
        <v>Visivel</v>
      </c>
    </row>
    <row r="4" spans="1:2">
      <c r="A4" s="77" t="str">
        <f>'[1]Configurações OS'!A8</f>
        <v>GRAMAS FALTANDO</v>
      </c>
      <c r="B4" s="77" t="str">
        <f>'[1]Configurações OS'!B8</f>
        <v>Visivel</v>
      </c>
    </row>
    <row r="5" spans="1:2">
      <c r="A5" s="77" t="str">
        <f>'[1]Configurações OS'!A9</f>
        <v>VALOR SUGERIDO</v>
      </c>
      <c r="B5" s="77" t="str">
        <f>'[1]Configurações OS'!B9</f>
        <v>Visivel</v>
      </c>
    </row>
    <row r="6" spans="1:2">
      <c r="A6" s="77" t="str">
        <f>'[1]Configurações OS'!A10</f>
        <v>CONTADOR DE CHAPINHAS</v>
      </c>
      <c r="B6" s="77" t="str">
        <f>'[1]Configurações OS'!B10</f>
        <v>Visivel</v>
      </c>
    </row>
    <row r="7" spans="1:2">
      <c r="A7" s="77" t="str">
        <f>'[1]Configurações OS'!A11</f>
        <v>TEMPO</v>
      </c>
      <c r="B7" s="77" t="str">
        <f>'[1]Configurações OS'!B11</f>
        <v>Visivel</v>
      </c>
    </row>
    <row r="8" spans="1:2">
      <c r="A8" s="77" t="str">
        <f>'[1]Configurações OS'!A12</f>
        <v>VALOR MÃO DE OBRA</v>
      </c>
      <c r="B8" s="77" t="str">
        <f>'[1]Configurações OS'!B12</f>
        <v>Visivel</v>
      </c>
    </row>
    <row r="9" spans="1:2">
      <c r="A9" s="77" t="str">
        <f>'[1]Configurações OS'!A13</f>
        <v>CUSTOS</v>
      </c>
      <c r="B9" s="77" t="str">
        <f>'[1]Configurações OS'!B13</f>
        <v>Visivel</v>
      </c>
    </row>
    <row r="10" spans="1:2">
      <c r="A10" s="77" t="str">
        <f>'[1]Configurações OS'!A14</f>
        <v>VOLUME REAL</v>
      </c>
      <c r="B10" s="77" t="str">
        <f>'[1]Configurações OS'!B14</f>
        <v>Visivel</v>
      </c>
    </row>
    <row r="11" spans="1:2">
      <c r="A11" s="77" t="str">
        <f>'[1]Configurações OS'!A15</f>
        <v>REPESAGEM</v>
      </c>
      <c r="B11" s="77" t="str">
        <f>'[1]Configurações OS'!B15</f>
        <v>Visivel</v>
      </c>
    </row>
    <row r="12" spans="1:2">
      <c r="A12" s="77" t="str">
        <f>'[1]Configurações OS'!A16</f>
        <v>CONSUMO DE TINTAS</v>
      </c>
      <c r="B12" s="77" t="str">
        <f>'[1]Configurações OS'!B16</f>
        <v>Visivel</v>
      </c>
    </row>
    <row r="13" spans="1:2">
      <c r="A13" s="77" t="str">
        <f>'[1]Configurações OS'!A17</f>
        <v>CONSUMO DE VERNIZ</v>
      </c>
      <c r="B13" s="77" t="str">
        <f>'[1]Configurações OS'!B17</f>
        <v>Visivel</v>
      </c>
    </row>
    <row r="14" spans="1:2">
      <c r="A14" s="77" t="str">
        <f>'[1]Configurações OS'!A18</f>
        <v>REPOSIÇÃO DO DESPERDICIO</v>
      </c>
      <c r="B14" s="77" t="str">
        <f>'[1]Configurações OS'!B18</f>
        <v>Visivel</v>
      </c>
    </row>
    <row r="15" spans="1:2">
      <c r="A15" s="77" t="str">
        <f>'[1]Configurações OS'!A19</f>
        <v>CONSUMO TINTA P/  CHAPINHA</v>
      </c>
      <c r="B15" s="77">
        <f>'[1]Configurações OS'!B19</f>
        <v>10</v>
      </c>
    </row>
    <row r="16" spans="1:2">
      <c r="A16" s="77" t="str">
        <f>'[1]Configurações OS'!A20</f>
        <v>CONSUMO VERNIZ P/CHAPINHA</v>
      </c>
      <c r="B16" s="77">
        <f>'[1]Configurações OS'!B20</f>
        <v>5</v>
      </c>
    </row>
    <row r="17" spans="1:2">
      <c r="A17" s="77" t="str">
        <f>'[1]Configurações OS'!A21</f>
        <v>BOTÕES DO CABEÇALHO</v>
      </c>
      <c r="B17" s="77" t="str">
        <f>'[1]Configurações OS'!B21</f>
        <v>Habilitado</v>
      </c>
    </row>
    <row r="18" spans="1:2">
      <c r="A18" s="77" t="str">
        <f>'[1]Configurações OS'!A22</f>
        <v>EXIBIR BOTÃOS Limpar OS</v>
      </c>
      <c r="B18" s="77" t="str">
        <f>'[1]Configurações OS'!B22</f>
        <v>Visivel</v>
      </c>
    </row>
    <row r="19" spans="1:2">
      <c r="A19" s="77" t="str">
        <f>'[1]Configurações OS'!A23</f>
        <v>EXIBIR BOTÃOS Os Antiga</v>
      </c>
      <c r="B19" s="77" t="str">
        <f>'[1]Configurações OS'!B23</f>
        <v>Visivel</v>
      </c>
    </row>
    <row r="20" spans="1:2">
      <c r="A20" s="77" t="str">
        <f>'[1]Configurações OS'!A24</f>
        <v>EXIBIR BOTÃOS Fórmula</v>
      </c>
      <c r="B20" s="77" t="str">
        <f>'[1]Configurações OS'!B24</f>
        <v>Visivel</v>
      </c>
    </row>
    <row r="21" spans="1:2">
      <c r="A21" s="77" t="str">
        <f>'[1]Configurações OS'!A25</f>
        <v>EXIBIR BOTÃOS Exibir Logs</v>
      </c>
      <c r="B21" s="77" t="str">
        <f>'[1]Configurações OS'!B25</f>
        <v>Visivel</v>
      </c>
    </row>
    <row r="22" spans="1:2">
      <c r="A22" s="77" t="str">
        <f>'[1]Configurações OS'!A26</f>
        <v>EXIBIR BOTÃOS Observações</v>
      </c>
      <c r="B22" s="77" t="str">
        <f>'[1]Configurações OS'!B26</f>
        <v>Visivel</v>
      </c>
    </row>
    <row r="23" spans="1:2">
      <c r="A23" s="77" t="str">
        <f>'[1]Configurações OS'!A27</f>
        <v>EXIBIR BOTÃOS Auditoria</v>
      </c>
      <c r="B23" s="77" t="str">
        <f>'[1]Configurações OS'!B27</f>
        <v>Visivel</v>
      </c>
    </row>
    <row r="24" spans="1:2">
      <c r="A24" s="77" t="str">
        <f>'[1]Configurações OS'!A28</f>
        <v>EXIBIR BOTÃOS Colorista</v>
      </c>
      <c r="B24" s="77" t="str">
        <f>'[1]Configurações OS'!B28</f>
        <v>Visivel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6</vt:i4>
      </vt:variant>
    </vt:vector>
  </HeadingPairs>
  <TitlesOfParts>
    <vt:vector size="16" baseType="lpstr">
      <vt:lpstr>Ordem de Serviço</vt:lpstr>
      <vt:lpstr>Dados</vt:lpstr>
      <vt:lpstr>PIgmentos Desconsiderados Carga</vt:lpstr>
      <vt:lpstr>Etiqueta</vt:lpstr>
      <vt:lpstr>Tempo</vt:lpstr>
      <vt:lpstr>Observações</vt:lpstr>
      <vt:lpstr>Logs</vt:lpstr>
      <vt:lpstr>Teste</vt:lpstr>
      <vt:lpstr>Clientes</vt:lpstr>
      <vt:lpstr>Config</vt:lpstr>
      <vt:lpstr>CLIENTES</vt:lpstr>
      <vt:lpstr>Pigmentos_Desconsiderados</vt:lpstr>
      <vt:lpstr>'PIgmentos Desconsiderados Carga'!SP</vt:lpstr>
      <vt:lpstr>SP</vt:lpstr>
      <vt:lpstr>'PIgmentos Desconsiderados Carga'!TipoDeCor</vt:lpstr>
      <vt:lpstr>TipoDeCor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Giacomolli</dc:creator>
  <cp:lastModifiedBy>Jhoni Giacomolli</cp:lastModifiedBy>
  <cp:lastPrinted>2017-04-29T19:02:59Z</cp:lastPrinted>
  <dcterms:created xsi:type="dcterms:W3CDTF">2014-04-17T00:56:21Z</dcterms:created>
  <dcterms:modified xsi:type="dcterms:W3CDTF">2018-03-14T01:43:53Z</dcterms:modified>
</cp:coreProperties>
</file>